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ACONCAGUA_BAY_PY-01" sheetId="1" r:id="rId4"/>
    <sheet state="hidden" name="ACONCAGUA_BAY_BR_01" sheetId="2" r:id="rId5"/>
    <sheet state="hidden" name="AUTUMN_STREAM_BR" sheetId="3" r:id="rId6"/>
    <sheet state="hidden" name="PACIFIC_MERMAID_BR" sheetId="4" r:id="rId7"/>
    <sheet state="hidden" name="GREEN_BRAZIL_ANTECIPADO" sheetId="5" r:id="rId8"/>
    <sheet state="hidden" name="ACONCAGUA_BAY_BR_02" sheetId="6" r:id="rId9"/>
    <sheet state="hidden" name="FEGULUS_BR" sheetId="7" r:id="rId10"/>
    <sheet state="hidden" name="FEGULUS_PY" sheetId="8" r:id="rId11"/>
    <sheet state="hidden" name="FUJI-BAY_PY" sheetId="9" r:id="rId12"/>
    <sheet state="hidden" name="ACONCAGUA_BAY_PY_03" sheetId="10" r:id="rId13"/>
    <sheet state="hidden" name="PAFICIC_MERMAID_BR-03" sheetId="11" r:id="rId14"/>
    <sheet state="visible" name="ACONCAGUA_BAY_04" sheetId="12" r:id="rId15"/>
    <sheet state="hidden" name="RUNAWAY_BAI_PY" sheetId="13" r:id="rId16"/>
    <sheet state="hidden" name="RUNAWAY_BAY_BR" sheetId="14" r:id="rId17"/>
    <sheet state="hidden" name="PACIFIC_MERMAID_PY-03" sheetId="15" r:id="rId18"/>
    <sheet state="hidden" name="FUJI-BAY_BR" sheetId="16" r:id="rId19"/>
    <sheet state="hidden" name="ACONCAGUA_BAY_BR_03" sheetId="17" r:id="rId20"/>
    <sheet state="hidden" name="GREENSEA_BERMEO" sheetId="18" r:id="rId21"/>
    <sheet state="hidden" name="PACIFIC_MERMAID_02" sheetId="19" r:id="rId22"/>
    <sheet state="hidden" name="GREEN_BRAZIL_NORMAL" sheetId="20" r:id="rId23"/>
    <sheet state="hidden" name="AUTUMN_STREAM_PY" sheetId="21" r:id="rId24"/>
    <sheet state="hidden" name="PACIFIC_MERMAID_PY" sheetId="22" r:id="rId25"/>
    <sheet state="hidden" name="BALTIC_PERFORMER_BR" sheetId="23" r:id="rId26"/>
  </sheets>
  <definedNames/>
  <calcPr/>
  <extLst>
    <ext uri="GoogleSheetsCustomDataVersion2">
      <go:sheetsCustomData xmlns:go="http://customooxmlschemas.google.com/" r:id="rId27" roundtripDataChecksum="Xavh1jU7Edb6Y0l8AgRFeDtkti53E64k3DMFAVYbz9A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ID#AAAByu1hAUg
    (2026-01-19 17:35:32)
Porão 4
	-Luiz - LPL
----
Porão 4
	-Luiz - LPL</t>
      </text>
    </comment>
  </commentList>
  <extLst>
    <ext uri="GoogleSheetsCustomDataVersion2">
      <go:sheetsCustomData xmlns:go="http://customooxmlschemas.google.com/" r:id="rId1" roundtripDataSignature="AMtx7mgdUSkFoOXXD/oe998Ezj1A8y03Tw=="/>
    </ext>
  </extLst>
</comments>
</file>

<file path=xl/sharedStrings.xml><?xml version="1.0" encoding="utf-8"?>
<sst xmlns="http://schemas.openxmlformats.org/spreadsheetml/2006/main" count="8741" uniqueCount="3677">
  <si>
    <t>LPL COMISSARIA DE DESPACHOS LTDA</t>
  </si>
  <si>
    <t>AVENIDA CORONEL MARCOS KONDER, 22 - CENTRO - ITAJAÍ - SC - CEP 88301-300</t>
  </si>
  <si>
    <t>TEL. 047-2103-5200 - CEL. 047-99605-2060</t>
  </si>
  <si>
    <t>E-MAIL. exp@lplcomissaria.com.br</t>
  </si>
  <si>
    <t>DATA: 01/07/2023</t>
  </si>
  <si>
    <t>LPL : RODRIGO- 2103-5200 // 99605-2060</t>
  </si>
  <si>
    <t>LISTA DE CARGA - MV ACONCAGUA BAY - FRIGOMERC // BEEF PARAGUAY S/A - ( MINERVA FOODS )</t>
  </si>
  <si>
    <t>001-004-0000858 - FRIGOMERC - (MINERVA FOODS) SO/1545-1</t>
  </si>
  <si>
    <t>QUANTIDADES</t>
  </si>
  <si>
    <t>LIQUIDO</t>
  </si>
  <si>
    <t>BRUTO</t>
  </si>
  <si>
    <t>MERCADORIA EM CONTAINER NO TERMINAL DA SEARA/ BRASKARNE</t>
  </si>
  <si>
    <t>CARGA VINDA DO PARAGUAY ATRAVES DE TRANSITO DE PASSAGEM MIC-DTA, DESTINADA A RUSSA VIA BREAK BULK</t>
  </si>
  <si>
    <t>CONSIGNEE: "Miratorg Zapad" Ltd.</t>
  </si>
  <si>
    <t>FROZEN BONELLES BEEF ROBBED FOREQUARTER</t>
  </si>
  <si>
    <t>CARNE CONG. DE BOV. S/O CORTES DO DIANTEIRO</t>
  </si>
  <si>
    <t>CRT.: PY.2530.15424</t>
  </si>
  <si>
    <t>CNTR - REAU6929217</t>
  </si>
  <si>
    <t>MIC-DTA.: 2303055843</t>
  </si>
  <si>
    <t>BL.: 202303ITAKAL001</t>
  </si>
  <si>
    <t>001-004-0000883 - FRIGOMERC - (MINERVA FOODS) SO/1545-2</t>
  </si>
  <si>
    <t>CRT.: PY.2530.15435</t>
  </si>
  <si>
    <t>CNTR - AMCU9291260</t>
  </si>
  <si>
    <t>MIC-DTA.: 2303100750</t>
  </si>
  <si>
    <t>BL.: 202303ITAKAL002</t>
  </si>
  <si>
    <t>001-004-0000892 - FRIGOMERC - (MINERVA FOODS) SO/1545-4</t>
  </si>
  <si>
    <t>CRT.: PY.2530.15438</t>
  </si>
  <si>
    <t>CNTR - TRLU1874712</t>
  </si>
  <si>
    <t>MIC-DTA.: 2303124853</t>
  </si>
  <si>
    <t>BL.: 202303ITAKAL004</t>
  </si>
  <si>
    <t>001-004-0000898 - FRIGOMERC - (MINERVA FOODS) SO/1545-3</t>
  </si>
  <si>
    <t>CRT.: PY.2530.15440</t>
  </si>
  <si>
    <t>CNTR - FSCU5632998</t>
  </si>
  <si>
    <t>MIC-DTA.: 2303125353</t>
  </si>
  <si>
    <t>BL.: 202303ITAKAL003</t>
  </si>
  <si>
    <t>001-004-0000911 - FRIGOMERC - (MINERVA FOODS) SO/1545-5</t>
  </si>
  <si>
    <t>CRT.: PY.2530.15443</t>
  </si>
  <si>
    <t>CNTR - SZLU9117264</t>
  </si>
  <si>
    <t>MIC-DTA.: 2303148035</t>
  </si>
  <si>
    <t>BL.: 202303ITAKAL005</t>
  </si>
  <si>
    <t>001-004-0000914 - FRIGOMERC - (MINERVA FOODS) SO/1545-6</t>
  </si>
  <si>
    <t>CRT.: PY.2530.15444</t>
  </si>
  <si>
    <t>CNTR - REAU6125179</t>
  </si>
  <si>
    <t>MIC-DTA.: 2303147500</t>
  </si>
  <si>
    <t>BL.: 202303ITAKAL006</t>
  </si>
  <si>
    <t>001-004-0000936 - FRIGOMERC - (MINERVA FOODS) SO/1545-8</t>
  </si>
  <si>
    <t>CRT.: PY.2530.15451</t>
  </si>
  <si>
    <t>CNTR - REAU1110197</t>
  </si>
  <si>
    <t>MIC-DTA.: 2303183620</t>
  </si>
  <si>
    <t>BL.: 202303ITAKAL008</t>
  </si>
  <si>
    <t>001-004-0000948 - FRIGOMERC - (MINERVA FOODS) SO/1545-9</t>
  </si>
  <si>
    <t>CRT.: PY.2530.15460</t>
  </si>
  <si>
    <t>CNTR - REAU4859105</t>
  </si>
  <si>
    <t>MIC-DTA.: 2303203192</t>
  </si>
  <si>
    <t>BL.: 202303ITAKAL009</t>
  </si>
  <si>
    <t>001-004-0000963 - FRIGOMERC - (MINERVA FOODS) SO/1545-10</t>
  </si>
  <si>
    <t>CRT.: PY.2530.15473</t>
  </si>
  <si>
    <t>CNTR - REAU6698885</t>
  </si>
  <si>
    <t>MIC-DTA.: 2303236406</t>
  </si>
  <si>
    <t>BL.: 202303ITAKAL010</t>
  </si>
  <si>
    <t>001-004-0000998 - FRIGOMERC - (MINERVA FOODS) SO/1545-7</t>
  </si>
  <si>
    <t>CRT.: PY.2530.15493</t>
  </si>
  <si>
    <t>CNTR - MSWU0062987</t>
  </si>
  <si>
    <t>MIC-DTA.: 2303342010</t>
  </si>
  <si>
    <t>BL.: 202303ITAKAL007</t>
  </si>
  <si>
    <t>001-004-0001000 - FRIGOMERC - (MINERVA FOODS) SO/1545-11</t>
  </si>
  <si>
    <t>CRT.: PY.2530.15495</t>
  </si>
  <si>
    <t>CNTR - MWCU6928379</t>
  </si>
  <si>
    <t>MIC-DTA.: 2303342150</t>
  </si>
  <si>
    <t>BL.: 202303ITAKAL011</t>
  </si>
  <si>
    <t>002-004-0000159 - FRIGOMERC - (MINERVA FOODS) SO/1545-55</t>
  </si>
  <si>
    <t>CRT.: PY.2530.15488</t>
  </si>
  <si>
    <t>CNTR - MWCU6662139</t>
  </si>
  <si>
    <t>MIC-DTA.: 2303342761</t>
  </si>
  <si>
    <t>BL.: 202303ITAKAL012</t>
  </si>
  <si>
    <t>003-004-0000740 - BEEF PARAGUAY S/A- (MINERVA FOODS) SO/1545-12</t>
  </si>
  <si>
    <t>CRT.: PY.2530.15422</t>
  </si>
  <si>
    <t>CNTR - GESU9158671</t>
  </si>
  <si>
    <t>MIC-DTA.: 2303039015</t>
  </si>
  <si>
    <t>BL.: 202303ITAKAL013</t>
  </si>
  <si>
    <t>003-004-0000758 - BEEF PARAGUAY S/A- (MINERVA FOODS) SO/1545-19</t>
  </si>
  <si>
    <t>CRT.: PY.2530.15428</t>
  </si>
  <si>
    <t>REAU6547678</t>
  </si>
  <si>
    <t>MIC-DTA.: 2303071296</t>
  </si>
  <si>
    <t>BL.: 202303ITAKAL020</t>
  </si>
  <si>
    <t>003-004-0000788 - BEEF PARAGUAY S/A- (MINERVA FOODS) SO/1545-13</t>
  </si>
  <si>
    <t>CRT.: PY.2530.15439</t>
  </si>
  <si>
    <t>CNTR - GESU9169022</t>
  </si>
  <si>
    <t>MIC-DTA.: 2303124365</t>
  </si>
  <si>
    <t>BL.: 202303ITAKAL014</t>
  </si>
  <si>
    <t>005-012-0001473 - BEEF PARAGUAY S/A- (MINERVA FOODS) SO/1545-20</t>
  </si>
  <si>
    <t>CRT.: PY.2530.15421</t>
  </si>
  <si>
    <t>CNTR - REAU4960110</t>
  </si>
  <si>
    <t>MIC-DTA.: 2303038825</t>
  </si>
  <si>
    <t>BL.: 202303ITAKAL021</t>
  </si>
  <si>
    <t>005-012-0001475 - BEEF PARAGUAY S/A- (MINERVA FOODS) SO/1545-21</t>
  </si>
  <si>
    <t>CRT.: PY.2530.15423</t>
  </si>
  <si>
    <t>CNTR - REAU0031703</t>
  </si>
  <si>
    <t>MIC-DTA.: 2303039333</t>
  </si>
  <si>
    <t>BL.: 202303ITAKAL022</t>
  </si>
  <si>
    <t>005-012-0001487 - BEEF PARAGUAY S/A- (MINERVA FOODS) SO/1545-22</t>
  </si>
  <si>
    <t>CRT.: PY.2530.15427</t>
  </si>
  <si>
    <t>CNTR - REAU1143251</t>
  </si>
  <si>
    <t>MIC-DTA.: 2303067213</t>
  </si>
  <si>
    <t>BL.: 202303ITAKAL023</t>
  </si>
  <si>
    <t>005-012-0001495 - BEEF PARAGUAY S/A- (MINERVA FOODS) SO/1545-23</t>
  </si>
  <si>
    <t>CRT.: PY.2530.15433</t>
  </si>
  <si>
    <t>CNTR - REAU7479048</t>
  </si>
  <si>
    <t>MIC-DTA.: 2303097490</t>
  </si>
  <si>
    <t>BL.: 202303ITAKAL024</t>
  </si>
  <si>
    <t>005-012-0001498 - BEEF PARAGUAY S/A- (MINERVA FOODS) SO/1545-50</t>
  </si>
  <si>
    <t>CRT.: PY.2530.15432</t>
  </si>
  <si>
    <t>CNTR - GESU9055842</t>
  </si>
  <si>
    <t>MIC-DTA.: 2303091459</t>
  </si>
  <si>
    <t>BL.: 202303ITAKAL051</t>
  </si>
  <si>
    <t>005-012-0001515 - BEEF PARAGUAY S/A- (MINERVA FOODS) SO/1545-24</t>
  </si>
  <si>
    <t>CRT.: PY.2530.15436</t>
  </si>
  <si>
    <t>CNTR - GESU9063339</t>
  </si>
  <si>
    <t>MIC-DTA.: 2303091297</t>
  </si>
  <si>
    <t>BL.: 202303ITAKAL025</t>
  </si>
  <si>
    <t>005-012-0001549 - BEEF PARAGUAY S/A- (MINERVA FOODS) SO/1545-26</t>
  </si>
  <si>
    <t>CRT.: PY.2530.15441</t>
  </si>
  <si>
    <t>CNTR - MWCU6822690</t>
  </si>
  <si>
    <t>MIC-DTA.: 2303147365</t>
  </si>
  <si>
    <t>BL.: 202303ITAKAL027</t>
  </si>
  <si>
    <t>005-012-0001566 - BEEF PARAGUAY S/A- (MINERVA FOODS) SO/1545-25</t>
  </si>
  <si>
    <t>CRT.: PY.2530.15445</t>
  </si>
  <si>
    <t>CNTR - REAU5174970</t>
  </si>
  <si>
    <t>MIC-DTA.: 2303163638</t>
  </si>
  <si>
    <t>BL.: 202303ITAKAL026</t>
  </si>
  <si>
    <t>005-012-0001575 - BEEF PARAGUAY S/A- (MINERVA FOODS) SO/1545-27</t>
  </si>
  <si>
    <t>CRT.: PY.2530.15448</t>
  </si>
  <si>
    <t>CNTR - MWCU6919850</t>
  </si>
  <si>
    <t>MIC-DTA.: 2303161481</t>
  </si>
  <si>
    <t>BL.: 202303ITAKAL028</t>
  </si>
  <si>
    <t>003-004-0000795 - BEEF PARAGUAY S/A- (MINERVA FOODS) SO/1545-52</t>
  </si>
  <si>
    <t>FROZEN BONELLES BEEF HEAD MEAT</t>
  </si>
  <si>
    <t>CARNE CONG. DE BOV. S/O CARNE DA CABECA</t>
  </si>
  <si>
    <t>CRT.: PY.2530.15425</t>
  </si>
  <si>
    <t>CNTR - REAU6291591</t>
  </si>
  <si>
    <t>MIC-DTA.: 2303145370</t>
  </si>
  <si>
    <t>BL.: 202303ITAKAL053</t>
  </si>
  <si>
    <t>003-004-0000813 - BEEF PARAGUAY S/A- (MINERVA FOODS) SO/1545-16</t>
  </si>
  <si>
    <t>CRT.: PY.2530.15446</t>
  </si>
  <si>
    <t>CNTR - PONU4914761</t>
  </si>
  <si>
    <t>MIC-DTA.: 2303162178</t>
  </si>
  <si>
    <t>BL.: 202303ITAKAL017</t>
  </si>
  <si>
    <t>003-004-0000814 - BEEF PARAGUAY S/A- (MINERVA FOODS) SO/1545-14</t>
  </si>
  <si>
    <t>CRT.: PY.2530.15449</t>
  </si>
  <si>
    <t>CNTR - MSWU4000052</t>
  </si>
  <si>
    <t>MIC-DTA.: 2303161945</t>
  </si>
  <si>
    <t>BL.: 202303ITAKAL015</t>
  </si>
  <si>
    <t>003-004-0000817 - BEEF PARAGUAY S/A- (MINERVA FOODS) SO/1545-17</t>
  </si>
  <si>
    <t>CRT.: PY.2530.15447</t>
  </si>
  <si>
    <t>CNTR - PONU4879341</t>
  </si>
  <si>
    <t>MIC-DTA.: 2303161651</t>
  </si>
  <si>
    <t>BL.: 202303ITAKAL018</t>
  </si>
  <si>
    <t>003-004-0000823 - BEEF PARAGUAY S/A- (MINERVA FOODS) SO/1545-18</t>
  </si>
  <si>
    <t>CRT.: PY.2530.15454</t>
  </si>
  <si>
    <t>CNTR - MWCU6849135</t>
  </si>
  <si>
    <t>MIC-DTA.: 2303205594</t>
  </si>
  <si>
    <t>BL.: 202303ITAKAL019</t>
  </si>
  <si>
    <t>005-012-0001594 - BEEF PARAGUAY S/A- (MINERVA FOODS) SO/1545-31</t>
  </si>
  <si>
    <t>CRT.: PY.2530.15456</t>
  </si>
  <si>
    <t>CNTR - MWMU6437842</t>
  </si>
  <si>
    <t>MIC-DTA.: 2303205250</t>
  </si>
  <si>
    <t>BL.: 202303ITAKAL032</t>
  </si>
  <si>
    <t>005-012-0001600 - BEEF PARAGUAY S/A- (MINERVA FOODS) SO/1545-28</t>
  </si>
  <si>
    <t>CRT.: PY.2530.15459</t>
  </si>
  <si>
    <t>CNTR - PONU4928451</t>
  </si>
  <si>
    <t>MIC-DTA.: 2303202552</t>
  </si>
  <si>
    <t>BL.: 202303ITAKAL029</t>
  </si>
  <si>
    <t>005-012-0001603 - BEEF PARAGUAY S/A- (MINERVA FOODS) SO/1545-51</t>
  </si>
  <si>
    <t>CRT.: PY.2530.15458</t>
  </si>
  <si>
    <t>CNTR - MWCU6677885</t>
  </si>
  <si>
    <t>MIC-DTA.: 2303200410</t>
  </si>
  <si>
    <t>BL.: 202303ITAKAL052</t>
  </si>
  <si>
    <t>005-012-0001606 - BEEF PARAGUAY S/A- (MINERVA FOODS) SO/1545-32</t>
  </si>
  <si>
    <t>CRT.: PY.2530.15461</t>
  </si>
  <si>
    <t>CNTR - REAU6066950</t>
  </si>
  <si>
    <t>MIC-DTA.: 2303203028</t>
  </si>
  <si>
    <t>BL.: 202303ITAKAL033</t>
  </si>
  <si>
    <t>005-012-0001610 - BEEF PARAGUAY S/A- (MINERVA FOODS) SO/1545-33</t>
  </si>
  <si>
    <t>CRT.: PY.2530.15466</t>
  </si>
  <si>
    <t>CNTR - REAU9112257</t>
  </si>
  <si>
    <t>MIC-DTA.: 2303232052</t>
  </si>
  <si>
    <t>BL.: 202303ITAKAL034</t>
  </si>
  <si>
    <t>005-012-0001621 - BEEF PARAGUAY S/A- (MINERVA FOODS) SO/1545-30</t>
  </si>
  <si>
    <t>CRT.: PY.2530.15465</t>
  </si>
  <si>
    <t>CNTR - REAU6859450</t>
  </si>
  <si>
    <t>MIC-DTA.: 2303231277</t>
  </si>
  <si>
    <t>BL.: 202303ITAKAL031</t>
  </si>
  <si>
    <t>005-012-0001632 - BEEF PARAGUAY S/A- (MINERVA FOODS) SO/1545-34</t>
  </si>
  <si>
    <t>CRT.: PY.2530.15470</t>
  </si>
  <si>
    <t>CNTR - GESU9211462</t>
  </si>
  <si>
    <t>MIC-DTA.: 2303231587</t>
  </si>
  <si>
    <t>BL.: 202303ITAKAL035</t>
  </si>
  <si>
    <t>003-004-0000842 - BEEF PARAGUAY S/A- (MINERVA FOODS) SO/1545-15</t>
  </si>
  <si>
    <t>CRT.: PY.2530.15463</t>
  </si>
  <si>
    <t>CNTR - REAU5837097</t>
  </si>
  <si>
    <t>MIC-DTA.: 2303252746</t>
  </si>
  <si>
    <t>BL.: 202303ITAKAL016</t>
  </si>
  <si>
    <t>005-012-0001649 - BEEF PARAGUAY S/A- (MINERVA FOODS) SO/1545-38</t>
  </si>
  <si>
    <t>CRT.: PY.2530.15472</t>
  </si>
  <si>
    <t>CNTR - MWCU6950860</t>
  </si>
  <si>
    <t>MIC-DTA.: 2303252851</t>
  </si>
  <si>
    <t>BL.: 202303ITAKAL039</t>
  </si>
  <si>
    <t>005-012-0001646 - BEEF PARAGUAY S/A- (MINERVA FOODS) SO/1545-36</t>
  </si>
  <si>
    <t>CRT.: PY.2530.15471</t>
  </si>
  <si>
    <t>CNTR - MWCU6858008</t>
  </si>
  <si>
    <t>MIC-DTA.: 2303241205</t>
  </si>
  <si>
    <t>BL.: 202303ITAKAL037</t>
  </si>
  <si>
    <t>003-004-0000848 - BEEF PARAGUAY S/A- (MINERVA FOODS) SO/1545-49</t>
  </si>
  <si>
    <t>CRT.: PY.2530.15474</t>
  </si>
  <si>
    <t>CNTR - MNBU0023972</t>
  </si>
  <si>
    <t>MIC-DTA.: 2303257810</t>
  </si>
  <si>
    <t>BL.: 202303ITAKAL050</t>
  </si>
  <si>
    <t>003-004-0000841 - BEEF PARAGUAY S/A- (MINERVA FOODS) SO/1545-53</t>
  </si>
  <si>
    <t>CRT.: PY.2530.15464</t>
  </si>
  <si>
    <t>CNTR - SUDU5154610</t>
  </si>
  <si>
    <t>MIC-DTA.: 2303258132</t>
  </si>
  <si>
    <t>BL.: 202303ITAKAL054</t>
  </si>
  <si>
    <t>005-012-0001631 - BEEF PARAGUAY S/A- (MINERVA FOODS) SO/1545-35</t>
  </si>
  <si>
    <t>CRT.: PY.2530.15467</t>
  </si>
  <si>
    <t>CNTR - MSWU1001693</t>
  </si>
  <si>
    <t>MIC-DTA.: 2303232575</t>
  </si>
  <si>
    <t>BL.: 202303ITAKAL036</t>
  </si>
  <si>
    <t>005-012-0001653 - BEEF PARAGUAY S/A- (MINERVA FOODS) SO/1545-37</t>
  </si>
  <si>
    <t>CRT.: PY.2530.15475</t>
  </si>
  <si>
    <t>CNTR - APRU5602882</t>
  </si>
  <si>
    <t>MIC-DTA.: 2303253068</t>
  </si>
  <si>
    <t>BL.: 202303ITAKAL038</t>
  </si>
  <si>
    <t>005-012-0001671 - BEEF PARAGUAY S/A- (MINERVA FOODS) SO/1545-41</t>
  </si>
  <si>
    <t>CRT.: PY.2530.15477</t>
  </si>
  <si>
    <t>CNTR - REAU5828460</t>
  </si>
  <si>
    <t>MIC-DTA.: 2303254668</t>
  </si>
  <si>
    <t>BL.: 202303ITAKAL042</t>
  </si>
  <si>
    <t>005-012-0001672 - BEEF PARAGUAY S/A- (MINERVA FOODS) SO/1545-40</t>
  </si>
  <si>
    <t>CRT.: PY.2530.15476</t>
  </si>
  <si>
    <t>CNTR - MWMU6338388</t>
  </si>
  <si>
    <t>MIC-DTA.: 2303254650</t>
  </si>
  <si>
    <t>BL.: 202303ITAKAL041</t>
  </si>
  <si>
    <t>005-012-0001627 - BEEF PARAGUAY S/A- (MINERVA FOODS) SO/1545-29</t>
  </si>
  <si>
    <t>CRT.: PY.2530.15462</t>
  </si>
  <si>
    <t>CNTR - APRU5835570</t>
  </si>
  <si>
    <t>MIC-DTA.: 2303232389</t>
  </si>
  <si>
    <t>BL.: 202303ITAKAL030</t>
  </si>
  <si>
    <t>005-012-0001691 - BEEF PARAGUAY S/A- (MINERVA FOODS) SO/1545-42</t>
  </si>
  <si>
    <t>CRT.: PY.2530.15480</t>
  </si>
  <si>
    <t>CNTR - MWCU6803833</t>
  </si>
  <si>
    <t>MIC-DTA.: 2303303332</t>
  </si>
  <si>
    <t>BL.: 202303ITAKAL043</t>
  </si>
  <si>
    <t>005-012-0001695 - BEEF PARAGUAY S/A- (MINERVA FOODS) SO/1545-46</t>
  </si>
  <si>
    <t>CRT.: PY.2530.15482</t>
  </si>
  <si>
    <t>CNTR - MSWU0051154</t>
  </si>
  <si>
    <t>MIC-DTA.: 2303303030</t>
  </si>
  <si>
    <t>BL.: 202303ITAKAL047</t>
  </si>
  <si>
    <t>005-012-0001686 - BEEF PARAGUAY S/A- (MINERVA FOODS) SO/1545-47</t>
  </si>
  <si>
    <t>CRT.: PY.2530.15479</t>
  </si>
  <si>
    <t>CNTR - MWCU6950731</t>
  </si>
  <si>
    <t>MIC-DTA.: 2303303804</t>
  </si>
  <si>
    <t>BL.: 202303ITAKAL048</t>
  </si>
  <si>
    <t>003-004-0000872 - BEEF PARAGUAY S/A- (MINERVA FOODS) SO/1545-54</t>
  </si>
  <si>
    <t>CRT.: PY.2530.15481</t>
  </si>
  <si>
    <t>CNTR - REAU6694046</t>
  </si>
  <si>
    <t>MIC-DTA.: 2303311491</t>
  </si>
  <si>
    <t>BL.: 202303ITAKAL055</t>
  </si>
  <si>
    <t>005-012-0001733 - BEEF PARAGUAY S/A- (MINERVA FOODS) SO/1545-44</t>
  </si>
  <si>
    <t>CRT.: PY.2530.15496</t>
  </si>
  <si>
    <t>CNTR - REAU5218430</t>
  </si>
  <si>
    <t>MIC-DTA.: 2303342125</t>
  </si>
  <si>
    <t>BL.: 202303ITAKAL045</t>
  </si>
  <si>
    <t>005-012-0001736 - BEEF PARAGUAY S/A- (MINERVA FOODS) SO/1545-45</t>
  </si>
  <si>
    <t>CRT.: PY.2530.15497</t>
  </si>
  <si>
    <t>CNTR - MWCU7008159</t>
  </si>
  <si>
    <t>MIC-DTA.: 2303342630</t>
  </si>
  <si>
    <t>BL.: 202303ITAKAL046</t>
  </si>
  <si>
    <t>005-012-0001705 - BEEF PARAGUAY S/A- (MINERVA FOODS) SO/1545-39</t>
  </si>
  <si>
    <t>CRT.: PY.2530.15486</t>
  </si>
  <si>
    <t>CNTR - MNBU3071085</t>
  </si>
  <si>
    <t>MIC-DTA.: 2303342028</t>
  </si>
  <si>
    <t>BL.: 202303ITAKAL040</t>
  </si>
  <si>
    <t>005-012-0001714 - BEEF PARAGUAY S/A- (MINERVA FOODS) SO/1545-48</t>
  </si>
  <si>
    <t>CRT.: PY.2530.15487</t>
  </si>
  <si>
    <t>CNTR - MWCU5250796</t>
  </si>
  <si>
    <t>MIC-DTA.: 2303339914</t>
  </si>
  <si>
    <t>BL.: 202303ITAKAL049</t>
  </si>
  <si>
    <t>005-012-0001711 - BEEF PARAGUAY S/A- (MINERVA FOODS) SO/1545-43</t>
  </si>
  <si>
    <t>CRT.: PY.2530.15485</t>
  </si>
  <si>
    <t>CNTR - MWMU6433913</t>
  </si>
  <si>
    <t>MIC-DTA.: 2303339345</t>
  </si>
  <si>
    <t>BL.: 202303ITAKAL044</t>
  </si>
  <si>
    <t>TOTAL</t>
  </si>
  <si>
    <t xml:space="preserve">             LPL COMISSARIA DE DESPACHOS LTDA</t>
  </si>
  <si>
    <t xml:space="preserve">                    AVENIDA CORONEL MARCOS KONDER, 22 - CENTRO - ITAJAÍ - SC - CEP 88301-300</t>
  </si>
  <si>
    <t>DATA</t>
  </si>
  <si>
    <t>LPL : RODRIGO-  2103-5200 // 99605-2060</t>
  </si>
  <si>
    <t>LISTA DE CARGA  -  MV ACONCAGUA BAY - MINERVA S/A</t>
  </si>
  <si>
    <t>SO/1486-1 - MINERVA S/A - BARRETOS - CNPJ. 67.620.377/0001-14</t>
  </si>
  <si>
    <t>CAIXAS</t>
  </si>
  <si>
    <t>N.WEIGHT</t>
  </si>
  <si>
    <t>G.WEIGHT</t>
  </si>
  <si>
    <t>DESTINO: RUSSIA / SIF 421</t>
  </si>
  <si>
    <t>GOODS</t>
  </si>
  <si>
    <t>GUIA</t>
  </si>
  <si>
    <t>LPCO.: E2300376665</t>
  </si>
  <si>
    <t>83587 - FROZEN BONELLES BEEF ROBBED FOREQUARTER 90 VL BP</t>
  </si>
  <si>
    <t>DU-E.: 23BR001371892-2</t>
  </si>
  <si>
    <t>41274 - FROZEN BONELLES BEEF ROBBED HINDQUARTER 90 VL BP</t>
  </si>
  <si>
    <t>CARNE CONG. DE BOV. S/O CORTES DO TRASEIRO</t>
  </si>
  <si>
    <t>RUC: 3BR676203772LPL0650723</t>
  </si>
  <si>
    <t>BL.:  202303ITAKAL060</t>
  </si>
  <si>
    <t>PARTE LOTE - NF 262409 - MWCU6753460 - CSN N0-00349012/CC-IAI/23</t>
  </si>
  <si>
    <t xml:space="preserve">PARTE LOTE - NF 262511 - MWMU6335985 - CSN N000353275/CC-IAI/23 </t>
  </si>
  <si>
    <t>20 PALLETS COM O TOTAL DE 500,00 KG</t>
  </si>
  <si>
    <t>NF EXPORTAÇÃO.:  262862</t>
  </si>
  <si>
    <t>OBS:</t>
  </si>
  <si>
    <t>35230867620377000114550010002628621007888658</t>
  </si>
  <si>
    <t>SO/1486-2 - MINERVA S/A - PALMEIRAS DE GOIAS - CNPJ. 67.620.377/0004-67</t>
  </si>
  <si>
    <t>DESTINO: RUSSIA / SIF 431</t>
  </si>
  <si>
    <t>LPCO.: E2300376677</t>
  </si>
  <si>
    <t>DU-E.: 23BR001372264-4</t>
  </si>
  <si>
    <t>RUC: 3BR676203772LPL0650823</t>
  </si>
  <si>
    <t>BL.:  202303ITAKAL061</t>
  </si>
  <si>
    <t xml:space="preserve">NF 565544 - CCLU8617222 - CSN N0-00331126/431/23 </t>
  </si>
  <si>
    <t>NF 565662 - MWCU5244746 - CSN N0-00355171/431/23</t>
  </si>
  <si>
    <t>92 PALLETS COM O TOTAL DE 2.300,00 KG</t>
  </si>
  <si>
    <t>NF 565804 - PONU4849563 - CSN N0-00339862/431/23</t>
  </si>
  <si>
    <t>PARTE LOTE - NF 566209 - MNBU0303248 - CSN N0-00347323/CC-IAI/23</t>
  </si>
  <si>
    <t>NF EXPORTAÇÃO.:  566757</t>
  </si>
  <si>
    <t>PARTE LOTE - NF 566210 - MWCU6753460 - CSN N0-00349012/CC-IAI/23</t>
  </si>
  <si>
    <t>PARTE LOTE - NF 566348 - MWCU6652207 - CSN N0-00354741/CC-IAI/23</t>
  </si>
  <si>
    <t>52230867620377000467550010005667571011976906</t>
  </si>
  <si>
    <t>PARTE LOTE - NF 566374 - SUDU5156720 - CSN N0-00361705/CC-IAI/23 E N0-00361706/CC-IAI/23</t>
  </si>
  <si>
    <t>SO/1486-3 - MINERVA S/A - PALMEIRAS DE GOIAS - CNPJ. 67.620.377/0004-67</t>
  </si>
  <si>
    <t>LPCO.: E2300376696</t>
  </si>
  <si>
    <t>86656 - FROZEN BONELLES BEEF FLANKS WITH SHORT PLATE BP</t>
  </si>
  <si>
    <t>CARNE CONG. DE BOV. S/O PONTA DE AGULHA</t>
  </si>
  <si>
    <t>DU-E.: 23BR001372393-4</t>
  </si>
  <si>
    <t xml:space="preserve">RUC: 3BR676203772LPL0650923 </t>
  </si>
  <si>
    <t>PARTE DE LOTE - NF 566376 - MNBU0041847- CSN CSN N0-00358666/CC-IAI/23</t>
  </si>
  <si>
    <t>NF 565695 - SUDU6186930 - CSN N0-00345526/431/23</t>
  </si>
  <si>
    <t>BL.:  202303ITAKAL062</t>
  </si>
  <si>
    <t>28 PALLETS COM O TOTAL DE 700,00KG</t>
  </si>
  <si>
    <t>NF EXPORTAÇÃO.:  566678</t>
  </si>
  <si>
    <t>52230867620377000467550010005666781011974355</t>
  </si>
  <si>
    <t>SO/1486-4 - MINERVA S/A - PALMEIRAS DE GOIAS - CNPJ. 67.620.377/0004-67</t>
  </si>
  <si>
    <t>LPCO.: E2300376720</t>
  </si>
  <si>
    <t>93724 - FROZEN BONELLES BEEF HEAD MEAT BP FZN</t>
  </si>
  <si>
    <t>CARNE CONG. DE BOV. S/O CARNE INDUSTRIAL</t>
  </si>
  <si>
    <t>DU-E.: 23BR001372502-3</t>
  </si>
  <si>
    <t>RUC: 3BR676203772LPL0651023</t>
  </si>
  <si>
    <t>PARTE LOTE - NF 566237 - MWCU5239605 - CSN N0-00350317/CC-IAI/23</t>
  </si>
  <si>
    <t>PARTE LOTE - NF 566376 - MNBU0041847- CSN N0-00358819/CC-IAI/23</t>
  </si>
  <si>
    <t>BL.:  202303ITAKAL063</t>
  </si>
  <si>
    <t>13 PALLETS COM O TOTAL DE 325,00KG</t>
  </si>
  <si>
    <t>NF EXPORTAÇÃO.:  566680</t>
  </si>
  <si>
    <t>52230867620377000467550010005666801011974604</t>
  </si>
  <si>
    <t>SO/1486-5 - MINERVA S/A - PALMEIRAS DE GOIAS - CNPJ. 67.620.377/0004-67</t>
  </si>
  <si>
    <t>LPCO.: E2300376730</t>
  </si>
  <si>
    <t>2564 - FROZEN BONELLES BEEF TRIMMING 80 VL BP</t>
  </si>
  <si>
    <t>CARNE CONG. DE BOV. S/O RECORTES</t>
  </si>
  <si>
    <t>DU-E.: 23BR001372719-0</t>
  </si>
  <si>
    <t>RUC: 3BR676203772LPL0651123</t>
  </si>
  <si>
    <t>NF 565974 - MWCU6672707 - CSN N0-00347601/CC-IAI/23</t>
  </si>
  <si>
    <t>NF 566030 - MWCU6958922 - CSN N0-00352723/CC-IAI/23</t>
  </si>
  <si>
    <t>BL.:  202303ITAKAL064</t>
  </si>
  <si>
    <t>NF 566046 - PONU4957790 - CSN N0-00346544/CC-IAI/23</t>
  </si>
  <si>
    <t>64 PALLETS COM O TOTAL DE 1.600 KG</t>
  </si>
  <si>
    <t>NF EXPORTAÇÃO.:  566682</t>
  </si>
  <si>
    <t>52230867620377000467550010005666821011974650</t>
  </si>
  <si>
    <t>SO/1486-6 - MINERVA S/A - PALMEIRAS DE GOIAS - CNPJ. 67.620.377/0004-67</t>
  </si>
  <si>
    <t>LPCO.: E2300376786</t>
  </si>
  <si>
    <t>83579 - FROZEN BONELLES BEEF TRIMMING BP</t>
  </si>
  <si>
    <t>DU-E.: 23BR001372593-7</t>
  </si>
  <si>
    <t>RUC: 3BR676203772LPL0651223</t>
  </si>
  <si>
    <t>NF 566028 - MSWU0005312 - CSN N0-00348794/CC-IAI/23</t>
  </si>
  <si>
    <t>NF 566048 - SUDU5120013 - CSN N0-00352580/CC-IAI/23</t>
  </si>
  <si>
    <t>BL.:  202303ITAKAL065</t>
  </si>
  <si>
    <t>NF 566113 - MWMU6401407 - CSN N0-00352595/CC-IAI/23</t>
  </si>
  <si>
    <t>63 PALLETS COM O TOTAL DE 1.575,00 KG</t>
  </si>
  <si>
    <t>NF EXPORTAÇÃO.:  566684</t>
  </si>
  <si>
    <t xml:space="preserve">OBS: </t>
  </si>
  <si>
    <t>52230867620377000467550010005666841011974786</t>
  </si>
  <si>
    <t>SO/1486-7 - MINERVA S/A - JOSE BONIFACIO - CNPJ. 67.620.377/0003-86</t>
  </si>
  <si>
    <t>DESTINO: RUSSIA / SIF 451</t>
  </si>
  <si>
    <t>LPCO.: E2300376796</t>
  </si>
  <si>
    <t>DU-E.: 23BR001372841-3</t>
  </si>
  <si>
    <t>RUC: 3BR676203772LPL0658023</t>
  </si>
  <si>
    <t>BL.:  202303ITAKAL066</t>
  </si>
  <si>
    <t>NF 158016 - MWCU5246815 - CSN N0-00325952/451/23</t>
  </si>
  <si>
    <t>NF 158074 - SUDU5142687 - CSN N0-00326665/451/23</t>
  </si>
  <si>
    <t>100 PALLETS COM O TOTAL DE 2.500,00 KG</t>
  </si>
  <si>
    <t>PARTE LOTE - NF 158505 - MNBU0303248 - CSN N0-00347323/CC-IAI/23</t>
  </si>
  <si>
    <t>PARTE LOTE - NF 158513 - SUDU6131603 - CSN N0-00348991/CC-IAI/23</t>
  </si>
  <si>
    <t>NF EXPORTAÇÃO.:  158808</t>
  </si>
  <si>
    <t>PARTE LOTE - NF 158514 - SUDU6158179 - CSN N0-00353226/CC-IAI/23</t>
  </si>
  <si>
    <t>PARTE LOTE - NF 158515 - SUDU6158179 - CSN N0-00353226/CC-IAI/23</t>
  </si>
  <si>
    <t>35230867620377000386550010001588081005129441</t>
  </si>
  <si>
    <t>PARTE LOTE - NF 158551 - PONU4514364 - CSN N0-00350199/CC-IAI/23</t>
  </si>
  <si>
    <t>PARTE LOTE - NF 158555 - MSWU9080092 - CSN N0-00357548/CC-IAI/23</t>
  </si>
  <si>
    <t>SO/1486-8 - MINERVA S/A - JOSE BONIFACIO - CNPJ. 67.620.377/0003-86</t>
  </si>
  <si>
    <t>LPCO.: E2300376819</t>
  </si>
  <si>
    <t>DU-E.: 23BR001373052-3</t>
  </si>
  <si>
    <t>RUC: 3BR676203772LPL0658123</t>
  </si>
  <si>
    <t>NF 158241 - MWMU6369183 - CSN N0-00334045/451/33</t>
  </si>
  <si>
    <t>BL.:  202303ITAKAL067</t>
  </si>
  <si>
    <t>21 PALLETS COM O TOTAL DE 525,00 KG</t>
  </si>
  <si>
    <t>NF EXPORTAÇÃO.:  158790</t>
  </si>
  <si>
    <t>35230867620377000386550010001587901005129119</t>
  </si>
  <si>
    <t>SO/1486-9 - MINERVA S/A - JOSE BONIFACIO - CNPJ. 67.620.377/0003-86</t>
  </si>
  <si>
    <t>LPCO.: E2300376843</t>
  </si>
  <si>
    <t>DU-E.: 23BR001373215-1</t>
  </si>
  <si>
    <t xml:space="preserve">RUC: 3BR676203772LPL0658223  </t>
  </si>
  <si>
    <t>PARTE DE LOTE - NF 158601 - MNBU0041847 - CSN N0-00358650/CC-IAI/23</t>
  </si>
  <si>
    <t>BL.:  202303ITAKAL068</t>
  </si>
  <si>
    <t>3 PALLETS COM O TOTAL DE 75,00KG</t>
  </si>
  <si>
    <t>NF EXPORTAÇÃO.:  158792</t>
  </si>
  <si>
    <t>35230867620377000386550010001587921005129180</t>
  </si>
  <si>
    <t>SO/1486-10 - MINERVA S/A - JOSE BONIFACIO - CNPJ. 67.620.377/0003-86</t>
  </si>
  <si>
    <t>LPCO.: E2300376862</t>
  </si>
  <si>
    <t>DU-E.: 23BR001373352-2</t>
  </si>
  <si>
    <t>RUC: 3BR676203772LPL0658323</t>
  </si>
  <si>
    <t>NF 158389 - PONU4864043 - CSN N0-00347658/CC-IAI/23</t>
  </si>
  <si>
    <t>NF 158363 - PONU4880234 - CSN N0-00347640/CC-IAI/23</t>
  </si>
  <si>
    <t>BL.:  202303ITAKAL069</t>
  </si>
  <si>
    <t>41 PALLETS COM O TOTAL DE 1.025,00 KG</t>
  </si>
  <si>
    <t>NF EXPORTAÇÃO.:  158791</t>
  </si>
  <si>
    <t>35230867620377000386550010001587911005129159</t>
  </si>
  <si>
    <t>SO/1486-11 - MINERVA S/A - JOSE BONIFACIO - CNPJ. 67.620.377/0003-86</t>
  </si>
  <si>
    <t>LPCO.: E2300376868</t>
  </si>
  <si>
    <t>DU-E.: 23BR001373769-2</t>
  </si>
  <si>
    <t xml:space="preserve">RUC: 3BR676203772LPL0658423 </t>
  </si>
  <si>
    <t>NF 158364 - MWCU6556862 - CSN N0-00342900/CC-IAI/23</t>
  </si>
  <si>
    <t>NF 158365 - MWMU6378293 - CSN N0-00342908/CC-IAI/23</t>
  </si>
  <si>
    <t>BL.:  202303ITAKAL070</t>
  </si>
  <si>
    <t>42 PALLETS COM O TOTAL DE 1.050,00 KG</t>
  </si>
  <si>
    <t>NF EXPORTAÇÃO.:  158793</t>
  </si>
  <si>
    <t>35230867620377000386550010001587931005129218</t>
  </si>
  <si>
    <t>SO/1486-12 - MINERVA S/A - ROLIM DE MOURA - CNPJ. 67.620.377/0074-70</t>
  </si>
  <si>
    <t>DESTINO: RUSSIA / SIF 791</t>
  </si>
  <si>
    <t>LPCO.: E2300376883</t>
  </si>
  <si>
    <t>DU-E.: 23BR001374235-1</t>
  </si>
  <si>
    <t xml:space="preserve">RUC: 3BR676203772LPL0660223 </t>
  </si>
  <si>
    <t>BL.:  202303ITAKAL071</t>
  </si>
  <si>
    <t>PARTE DE LOTE - NF 41614 - MWCU6753460 - CSN N0-00349012/CC-IAI/23</t>
  </si>
  <si>
    <t>PARTE DE LOTE - NF 41618 - SUDU6131603 - CSN N0-00348826/CC-IAI/23</t>
  </si>
  <si>
    <t>35 PALLETS COM O TOTAL DE 875,00 KG</t>
  </si>
  <si>
    <t>PARTE DE LOTE - NF 41674 - MSWU9080092 - CSN N0-00357548/CC-IAI/23</t>
  </si>
  <si>
    <t>PARTE DE LOTE - NF 41679 - MWCU6658890 - CSN N0-00350327/CC-IAI/23</t>
  </si>
  <si>
    <t>NF EXPORTAÇÃO.:  41903</t>
  </si>
  <si>
    <t>11230867620377007470550010000419031001621190</t>
  </si>
  <si>
    <t>SO/1486-13 - MINERVA S/A - ROLIM DE MOURA - CNPJ. 67.620.377/0074-70</t>
  </si>
  <si>
    <t>LPCO.: E2300376894</t>
  </si>
  <si>
    <t>86656 - FROZEN BONELLES BEEF FLANKS WITCH SHORT PLATE BP</t>
  </si>
  <si>
    <t>DU-E.: 23BR001374309-9</t>
  </si>
  <si>
    <t>RUC: 3BR676203772LPL0660323</t>
  </si>
  <si>
    <t>NF 41426 - MWCU6711974 - CSN N0-00361288/791/23</t>
  </si>
  <si>
    <t>NF 41541 - MWCU6676620 - CSN N0-00346534/CC-IAI/23</t>
  </si>
  <si>
    <t>BL.:  202303ITAKAL072</t>
  </si>
  <si>
    <t>PARTE DE LOTE - NF 41675 - MSWU9016175 - CSN N0-00352911/CC-IAI/23</t>
  </si>
  <si>
    <t>52 PALLETS COM O TOTAL DE 1.300,00 KG</t>
  </si>
  <si>
    <t>NF EXPORTAÇÃO.:  41895</t>
  </si>
  <si>
    <t>11230867620377007470550010000418951001620963</t>
  </si>
  <si>
    <t>SO/1486-14 - MINERVA S/A - ROLIM DE MOURA - CNPJ. 67.620.377/0074-70</t>
  </si>
  <si>
    <t>LPCO.: E2300376906</t>
  </si>
  <si>
    <t>DU-E.: 23BR001374415-0</t>
  </si>
  <si>
    <t>RUC: 3BR676203772LPL0660423</t>
  </si>
  <si>
    <t>PARTE DE LOTE - NF 41634 - MWCU5239605 - CSN N0-00350348/CC-IAI/23</t>
  </si>
  <si>
    <t>PARTE DE LOTE - NF 41706 - MNBU0041847 - CSN N0-00355245/CC-IAI/23</t>
  </si>
  <si>
    <t>BL.:  202303ITAKAL073</t>
  </si>
  <si>
    <t>5 PALLETS COM O TOTAL DE 125,00 KG</t>
  </si>
  <si>
    <t>NF EXPORTAÇÃO.:  41896</t>
  </si>
  <si>
    <t>11230867620377007470550010000418961001620995</t>
  </si>
  <si>
    <t>SO/1486-15 - MINERVA S/A - ROLIM DE MOURA - CNPJ. 67.620.377/0074-70</t>
  </si>
  <si>
    <t>LPCO.: E2300377019</t>
  </si>
  <si>
    <t>DU-E.: 23BR001374493-1</t>
  </si>
  <si>
    <t>RUC: 3BR676203772LPL0660523</t>
  </si>
  <si>
    <t>NF 41509 - MWCU6552152 - CSN N0-00341088/CC-IAI/23</t>
  </si>
  <si>
    <t>NF 41567 - MWCU6706031 - CSN N0-00345684/CC-IAI/23</t>
  </si>
  <si>
    <t>BL.:  202303ITAKAL074</t>
  </si>
  <si>
    <t>NF 41569 - MSWU0064207 - CSN N0-00345887/CC-IAI/23</t>
  </si>
  <si>
    <t>64 PALLETS COM O TOTAL DE 1.600,00 KG</t>
  </si>
  <si>
    <t>NF EXPORTAÇÃO.:  41897</t>
  </si>
  <si>
    <t>11230867620377007470550010000418971001621034</t>
  </si>
  <si>
    <t>SO/1486-16 - MINERVA S/A - JANAUBA - CNPJ. 67.620.377/0061-55</t>
  </si>
  <si>
    <t>DESTINO: RUSSIA / SIF 2471</t>
  </si>
  <si>
    <t>LPCO.: E2300377025</t>
  </si>
  <si>
    <t>DU-E.: 23BR001374604-7</t>
  </si>
  <si>
    <t xml:space="preserve">RUC: 3BR676203772LPL0660823 </t>
  </si>
  <si>
    <t>BL.:  202303ITAKAL075</t>
  </si>
  <si>
    <t>NF 49998 - MSWU9048207 - CSN N0-00333185/2471/23</t>
  </si>
  <si>
    <t>NF 50090 - SUDU6054507  - CSN N0-00343223/2471/23</t>
  </si>
  <si>
    <t>118 PALLETS COM O TOTAL DE 2.950,00 KG</t>
  </si>
  <si>
    <t>NF 50213 - MWCU6797896 - CSN N0-00345665/CC-IAI/23</t>
  </si>
  <si>
    <t>PARTE DE LOTE - NF 50253 - SUDU6106679 - CSN N0-00347284/CC-IAI/23</t>
  </si>
  <si>
    <t>NF EXPORTAÇÃO.:  50407</t>
  </si>
  <si>
    <t>NF 50265 - MWCU6883361 - CSN N0-00350351/CC-IAI/23</t>
  </si>
  <si>
    <t>PARTE DE LOTE - NF 50281 - PONU4514364 - CSN N0-00350199/CC-IAI/23</t>
  </si>
  <si>
    <t>31230867620377006155550010000504071001400388</t>
  </si>
  <si>
    <t>PARTE DE LOTE - NF 50282 - MSWU9080092 - CSN N0-00357548/CC-IAI/23</t>
  </si>
  <si>
    <t>PARTE DE LOTE - NF 50283 - MWCU6658890 - CSN N0-00350271/CC-IAI/23</t>
  </si>
  <si>
    <t>PARTE DE LOTE - NF 50284 - MWCU6658890 - CSN N0-00350245/CC-IAI/23</t>
  </si>
  <si>
    <t>SO/1486-17 - MINERVA S/A - JANAUBA - CNPJ. 67.620.377/0061-55</t>
  </si>
  <si>
    <t>LPCO.: E2300377032</t>
  </si>
  <si>
    <t>DU-E.: 23BR001374671-3</t>
  </si>
  <si>
    <t>RUC: 3BR676203772LPL0660923</t>
  </si>
  <si>
    <t>PARTE DE LOTE - NF 50255 - MWCU5239605 - CSN N0-00350340/CC-IAI/23</t>
  </si>
  <si>
    <t>PARTE DE LOTE - NF 50312 - MNBU0041847 - CSN N0-00358831/CC-IAI/23</t>
  </si>
  <si>
    <t>BL.:  202303ITAKAL076</t>
  </si>
  <si>
    <t>4 PALLETS COM O TOTAL DE 100,00 KG</t>
  </si>
  <si>
    <t>NF EXPORTAÇÃO.:  50398</t>
  </si>
  <si>
    <t>31230867620377006155550010000503981001399923</t>
  </si>
  <si>
    <t>SO/1486-18 - MINERVA S/A - JANAUBA - CNPJ. 67.620.377/0061-55</t>
  </si>
  <si>
    <t>LPCO.: E2300377054</t>
  </si>
  <si>
    <t>DU-E.: 23BR001374761-2</t>
  </si>
  <si>
    <t>RUC: 3BR676203772LPL0661023</t>
  </si>
  <si>
    <t>NF 49922 - SUDU5152181 - CSN N0-00323874/2471/23</t>
  </si>
  <si>
    <t>NF 49932 - MWCU6997019 - CSN N0-00323857/2471/23</t>
  </si>
  <si>
    <t>BL.:  202303ITAKAL077</t>
  </si>
  <si>
    <t>NF EXPORTAÇÃO.:  50399</t>
  </si>
  <si>
    <t>31230867620377006155550010000503991001399955</t>
  </si>
  <si>
    <t>SO/1486-19 - MINERVA S/A - PARANATINGA - CNPJ. 67.620.377/0080-18</t>
  </si>
  <si>
    <t>DESTINO: RUSSIA / SIF 2500</t>
  </si>
  <si>
    <t xml:space="preserve">LPCO.: E2300377114 </t>
  </si>
  <si>
    <t>DU-E.: 23BR001374853-8</t>
  </si>
  <si>
    <t>RUC: 3BR676203772LPL0661523</t>
  </si>
  <si>
    <t>BL.:  202303ITAKAL078</t>
  </si>
  <si>
    <t>NF 24581 - MSWU0039293 - CSN N0-00331080/2500/23</t>
  </si>
  <si>
    <t>PARTE DE LOTE - NF 24851 - MSWU9102294 - CSN N0-00348965/CC-IAI/23</t>
  </si>
  <si>
    <t>53 PALLETS COM O TOTAL DE 1.325,00 KG</t>
  </si>
  <si>
    <t>PARTE DE LOTE - NF 24857 - SUDU6106679 - CSN N0-00347277/CC-IAI/23</t>
  </si>
  <si>
    <t>PARTE DE LOTE - NF 24880 - MWCU6860685 - CSN N0-00352941/CC-IAI/23</t>
  </si>
  <si>
    <t>NF EXPORTAÇÃO.:  25121</t>
  </si>
  <si>
    <t>51230867620377008018550010000251211001121778</t>
  </si>
  <si>
    <t>SO/1486-20 - MINERVA S/A - PARANATINGA - CNPJ. 67.620.377/0080-18</t>
  </si>
  <si>
    <t xml:space="preserve">LPCO.: E2300377124 </t>
  </si>
  <si>
    <t>DU-E.: 23BR001374909-7</t>
  </si>
  <si>
    <t xml:space="preserve">RUC: 3BR676203772LPL0661623 </t>
  </si>
  <si>
    <t>NF 24499 - MSWU1007900 - CSN N0-00323761/2500/23</t>
  </si>
  <si>
    <t>NF 24508 - MWMU6310930 - CSN N0-00323814/2500/23</t>
  </si>
  <si>
    <t>BL.:  202303ITAKAL079</t>
  </si>
  <si>
    <t>44 PALLETS COM O TOTAL DE 1.100,00 KG</t>
  </si>
  <si>
    <t>NF EXPORTAÇÃO.:  25120</t>
  </si>
  <si>
    <t>51230867620377008018550010000251201001121800</t>
  </si>
  <si>
    <t>SO/1486-21 - MINERVA S/A - PARANATINGA - CNPJ. 67.620.377/0080-18</t>
  </si>
  <si>
    <t xml:space="preserve">LPCO.: E2300377139 </t>
  </si>
  <si>
    <t>DU-E.: 23BR001374940-2</t>
  </si>
  <si>
    <t xml:space="preserve">RUC: 3BR676203772LPL0661723 </t>
  </si>
  <si>
    <t>PARTE DE LOTE - NF 24864 - MWCU5239605 - CSN N0-00350294/CC-IAI/23</t>
  </si>
  <si>
    <t>BL.:  202303ITAKAL080</t>
  </si>
  <si>
    <t>1 PALLETS COM O TOTAL DE 25,00 KG</t>
  </si>
  <si>
    <t>NF EXPORTAÇÃO.:  25122</t>
  </si>
  <si>
    <t>51230867620377008018550010000251221001121830</t>
  </si>
  <si>
    <t>SO/1486-22 - MINERVA S/A - PARANATINGA - CNPJ. 67.620.377/0080-18</t>
  </si>
  <si>
    <t>LPCO.: E2300377149</t>
  </si>
  <si>
    <t>DU-E.: 23BR001374987-9</t>
  </si>
  <si>
    <t>RUC: 3BR676203772LPL0661823</t>
  </si>
  <si>
    <t>PARTE DE LOTE - NF 24899 - MSWU9016175 - CSN N0-00352911/CC-IAI/23</t>
  </si>
  <si>
    <t>BL.:  202303ITAKAL081</t>
  </si>
  <si>
    <t>7 PALLETS COM O TOTAL DE 175,00 KG</t>
  </si>
  <si>
    <t>NF EXPORTAÇÃO.:  25125</t>
  </si>
  <si>
    <t>51230867620377008018550010000251251001121882</t>
  </si>
  <si>
    <t>SO/1486-23 - MINERVA S/A - PARANATINGA - CNPJ. 67.620.377/0080-18</t>
  </si>
  <si>
    <t xml:space="preserve">LPCO.: E2300377164 </t>
  </si>
  <si>
    <t>DU-E.: 23BR001375033-8</t>
  </si>
  <si>
    <t>RUC: 3BR676203772LPL0661923</t>
  </si>
  <si>
    <t>NF 24738 - PONU4931075 - CSN N0-00341096/CC-IAI/23</t>
  </si>
  <si>
    <t>BL.:  202303ITAKAL082</t>
  </si>
  <si>
    <t>NF EXPORTAÇÃO.:  25129</t>
  </si>
  <si>
    <t>51230867620377008018550010000251291001121920</t>
  </si>
  <si>
    <t>SO/1486-24 - MINERVA S/A - MIRASSOL DO OESTE - CNPJ. 67.620.377/0062-36</t>
  </si>
  <si>
    <t>DESTINO: RUSSIA / SIF 2911</t>
  </si>
  <si>
    <t xml:space="preserve">LPCO.: E2300377272 </t>
  </si>
  <si>
    <t xml:space="preserve">DU-E.: 23BR001414590-0
</t>
  </si>
  <si>
    <t>RUC: 3BR676203772LPL0708523</t>
  </si>
  <si>
    <t>BL.:  202303ITAKAL083</t>
  </si>
  <si>
    <t>NF 45719 - MWCU6880439 - CSN N0-00326292/2911/23</t>
  </si>
  <si>
    <t>NF 45740 - MWCU6724077 - CSN N0-00326284/2911/23</t>
  </si>
  <si>
    <t>155 PALLETS COM O TOTAL DE 3.875,00 KG</t>
  </si>
  <si>
    <t>NF 45762 - MWMU6320814 - CSN N0-00328023/2911/23</t>
  </si>
  <si>
    <t>NF 46065 - SUDU6083552 - CSN N0-00346516/CC-IAI/23</t>
  </si>
  <si>
    <t>NF EXPORTAÇÃO.:  46450</t>
  </si>
  <si>
    <t>PARTE DE LOTE - NF 46149 - MSWU9102294 - CSN N0-00348977/CC-IAI/23</t>
  </si>
  <si>
    <t>PARTE DE LOTE - NF 46207 - MWCU6860685 - CSN N0-00352941/CC-IAI/23</t>
  </si>
  <si>
    <t>51230867620377006236550010000464501001051634</t>
  </si>
  <si>
    <t>PARTE DE LOTE - NF 46209 - PONU4514364 - CSN N0-00350199/CC-IAI/23</t>
  </si>
  <si>
    <t>PARTE DE LOTE - NF 46214 - MWMU6335985 - CSN N0-00353243/CC-IAI/23</t>
  </si>
  <si>
    <t>NF 46229 - MWCU5308769 - CSN N0-00352981/CC-IAI/23</t>
  </si>
  <si>
    <t>PARTE DE LOTE - NF 46245 - MWCU6652207 - CSN N0-00354741/CC-IAI/23</t>
  </si>
  <si>
    <t>PARTE DE LOTE - NF 46247 - SUDU5156720 - CSN N0-00361711/CC-IAI/23</t>
  </si>
  <si>
    <t>SO/1486-25 - MINERVA S/A - MIRASSOL DO OESTE - CNPJ. 67.620.377/0062-36</t>
  </si>
  <si>
    <t xml:space="preserve">LPCO.: E2300377200 </t>
  </si>
  <si>
    <t>DU-E.: 23BR001375126-1</t>
  </si>
  <si>
    <t>RUC: 3BR676203772LPL0662523</t>
  </si>
  <si>
    <t>NF 45730 - MWCU6686845 - CSN N0-00326310/2911/23</t>
  </si>
  <si>
    <t>BL.:  202303ITAKAL084</t>
  </si>
  <si>
    <t>23 PALLETS COM O TOTAL DE 575,00 KG</t>
  </si>
  <si>
    <t>NF EXPORTAÇÃO.:  46436</t>
  </si>
  <si>
    <t xml:space="preserve">51230867620377006236550010000464361001051228
</t>
  </si>
  <si>
    <t>SO/1486-26 - MINERVA S/A - MIRASSOL DO OESTE - CNPJ. 67.620.377/0062-36</t>
  </si>
  <si>
    <t xml:space="preserve">LPCO.: E2300377290 </t>
  </si>
  <si>
    <t>DU-E.: 23BR001376085-6</t>
  </si>
  <si>
    <t>RUC: 3BR676203772LPL0662623</t>
  </si>
  <si>
    <t>PARTE DE LOTE - NF 46251 - MNBU0041847 - CSN N0-00359417/CC-IAI/23</t>
  </si>
  <si>
    <t>BL.:  202303ITAKAL085</t>
  </si>
  <si>
    <t>2 PALLETS COM O TOTAL DE 50,00 KG</t>
  </si>
  <si>
    <t>NF EXPORTAÇÃO.: 46439</t>
  </si>
  <si>
    <t>51230867620377006236550010000464391001051297</t>
  </si>
  <si>
    <t>SO/1486-27 - MINERVA S/A - MIRASSOL DO OESTE - CNPJ. 67.620.377/0062-36</t>
  </si>
  <si>
    <t xml:space="preserve">LPCO.: E2300377338 </t>
  </si>
  <si>
    <t>DU-E.: 23BR001376106-2</t>
  </si>
  <si>
    <t>RUC: 3BR676203772LPL0662723</t>
  </si>
  <si>
    <t>PARTE DE LOTE - NF 46213 - MSWU9016175 - CSN N0-00352911/CC-IAI/23</t>
  </si>
  <si>
    <t xml:space="preserve"> </t>
  </si>
  <si>
    <t>BL.:  202303ITAKAL086</t>
  </si>
  <si>
    <t>9 PALLETS COM O TOTAL DE 225,00 KG</t>
  </si>
  <si>
    <t>NF EXPORTAÇÃO.:  46438</t>
  </si>
  <si>
    <t>51230867620377006236550010000464381001051273</t>
  </si>
  <si>
    <t>SO/1486-28 - MINERVA S/A - MIRASSOL DO OESTE - CNPJ. 67.620.377/0062-36</t>
  </si>
  <si>
    <t>LPCO.: E2300377443</t>
  </si>
  <si>
    <t>DU-E.: 23BR001376137-2</t>
  </si>
  <si>
    <t>RUC:3BR676203772LPL0662823</t>
  </si>
  <si>
    <t>NF 45642 - MWCU6678639 - CSN N0-00332953/CC-IAI/23</t>
  </si>
  <si>
    <t>NF 45709 - MWCU6989564 - CSN N0-00326280/2911/23</t>
  </si>
  <si>
    <t>BL.:  202303ITAKAL087</t>
  </si>
  <si>
    <t>NF 46020 - MWCU6760407 - CSN N0-00343065/CC-IAI/23</t>
  </si>
  <si>
    <t>NF 46040 - MWCU6691179 - CSN N0-00341905/CC-IAI/23</t>
  </si>
  <si>
    <t>107 PALLETS COM O TOTAL DE 2.675,00 KG</t>
  </si>
  <si>
    <t>NF 46041 - CCLU8612982 - CSN N0-00342956/CC-IAI/23</t>
  </si>
  <si>
    <t>NF EXPORTAÇÃO.:  46446</t>
  </si>
  <si>
    <t>51230867620377006236550010000464461001051429</t>
  </si>
  <si>
    <t>DATA.: 26/12/2023</t>
  </si>
  <si>
    <t>LISTA DE CARGA  -  MV AUTUMN STREAM - MINERVA S/A</t>
  </si>
  <si>
    <t>SO/1958-40 - MINERVA S/A - ARAGUAINA - CNPJ. 67.620.377/0018-62</t>
  </si>
  <si>
    <t>BRUTO SEM
 PALLETS</t>
  </si>
  <si>
    <t>BRUTO COM
 PALLETS</t>
  </si>
  <si>
    <t>DESTINO: RUSSIA / SIF 1940</t>
  </si>
  <si>
    <t>LPCO.: E2300598436</t>
  </si>
  <si>
    <t>83578 - FROZEN BONELLES BEEF TRIMMING 70 VL BP</t>
  </si>
  <si>
    <t>DU-E.: 23BR0021333546</t>
  </si>
  <si>
    <t>RUC: 3BR676203772LPL1135423</t>
  </si>
  <si>
    <t>NF 159446- MWCU6797896- 1168 CXS- CSN N0-00541984/CC-IAI/23</t>
  </si>
  <si>
    <t>BL.: No. 202307ITJCALL57</t>
  </si>
  <si>
    <t>NF EXPORTAÇÃO.: 159725</t>
  </si>
  <si>
    <t>17231267620377001862550010001597251003394204</t>
  </si>
  <si>
    <t>SO/1958-41 - MINERVA S/A - JOSE BONIFACIO - CNPJ. 67.620.377/0003-86</t>
  </si>
  <si>
    <t xml:space="preserve">LPCO.: E2300598509 </t>
  </si>
  <si>
    <t>DU-E.: 23BR0021335883</t>
  </si>
  <si>
    <t>RUC: 3BR676203772LPL1136323</t>
  </si>
  <si>
    <t>NF 161977- PONU4864043- 1061 CXS- CSN N0-00542002/CC-IAI/23</t>
  </si>
  <si>
    <t>NF 161979- MWCU6556862- 1059 CXS- CSN N0-00540891/CC-IAI/23</t>
  </si>
  <si>
    <t>BL.: No. 202307ITJCALL56</t>
  </si>
  <si>
    <t>NF 162009- PONU4914761- 1067 CXS- CSN N0-00542916/CC-IAI/23</t>
  </si>
  <si>
    <t>PARTE LOTE- NF 162203- MSWU0064207- 1024 CXS- CSN N0-00553869/CC-IAI/23</t>
  </si>
  <si>
    <t>86 PALLETS COM O TOTAL DE 2.150,00 KG</t>
  </si>
  <si>
    <t>NF EXPORTAÇÃO.: 162552</t>
  </si>
  <si>
    <t xml:space="preserve">35231267620377000386550010001625521005184107
</t>
  </si>
  <si>
    <t>SO/1958-42 - MINERVA S/A - MIRASSOL DO OESTE - CNPJ. 67.620.377/0062-36</t>
  </si>
  <si>
    <t xml:space="preserve">LPCO.: E2300598524 </t>
  </si>
  <si>
    <t>DU-E.: 23BR0021337622</t>
  </si>
  <si>
    <t>RUC: 3BR676203772LPL1136223</t>
  </si>
  <si>
    <t>NF 49420- PONU4879341- 1088 CXS- CSN N0-00542940/CC-IAI/23</t>
  </si>
  <si>
    <t>NF 49446- MWMU6401407- 1050 CXS- CSN N0-00548743/CC-IAI/23</t>
  </si>
  <si>
    <t>BL.: No. 202307ITJCALL55</t>
  </si>
  <si>
    <t>NF 49447- MWCU6706031- 1090 CXS- CSN N0-00542911/CC-IAI/23</t>
  </si>
  <si>
    <t>NF 49450- MWCU5244746- 1093 CXS- CSN N0-00548760/CC-IAI/23</t>
  </si>
  <si>
    <t>109 PALLETS COM O TOTAL DE 2.725,00 KG</t>
  </si>
  <si>
    <t>NF 49512- MWCU6676620- 1089 CXS- CSN N0-00545336/CC-IAI/23</t>
  </si>
  <si>
    <t>PARTE LOTE- NF 49627- MSWU0064207- 41 CXS- CSN N0-00553869/CC-IAI/23</t>
  </si>
  <si>
    <t>NF EXPORTAÇÃO.: 50024</t>
  </si>
  <si>
    <t>51231267620377006236550010000500241001133288</t>
  </si>
  <si>
    <t>SO/1958-43 - MINERVA S/A - ROLIM DE MOURA - CNPJ. 67.620.377/0074-70</t>
  </si>
  <si>
    <t xml:space="preserve">LPCO.: E2300598534 </t>
  </si>
  <si>
    <t>DU-E.: 23BR0021342049</t>
  </si>
  <si>
    <t>RUC: 3BR676203772LPL1136123</t>
  </si>
  <si>
    <t>NF 44956- MWCU6926294- 1026 CXS- CSN N0-00565390/CC-IAI/23</t>
  </si>
  <si>
    <t>BL.: No. 202307ITJCALL54</t>
  </si>
  <si>
    <t>NF EXPORTAÇÃO.: 45377</t>
  </si>
  <si>
    <t xml:space="preserve">11231267620377007470550010000453771001756907
</t>
  </si>
  <si>
    <t>SO/1958-44 - MINERVA S/A - PARANATINGA - CNPJ. 67.620.377/0080-18</t>
  </si>
  <si>
    <t xml:space="preserve">LPCO.: E2300598548 </t>
  </si>
  <si>
    <t>DU-E.: 23BR0021344467</t>
  </si>
  <si>
    <t>RUC: 3BR676203772LPL1136023</t>
  </si>
  <si>
    <t>NF 27615- CCLU8617222- 1075 CXS- CSN N0-00544971/CC-IAI/23</t>
  </si>
  <si>
    <t>NF 27616- PONU4880234- 1067 CXS- CSN N0-00545265/CC-IAI/23</t>
  </si>
  <si>
    <t>BL.: No. 202307ITJCALL53</t>
  </si>
  <si>
    <t>NF 27617- MWMU6320814- 1071 CXS- CSN N0-00545313/CC-IAI/23</t>
  </si>
  <si>
    <t>65 PALLETS COM O TOTAL DE 1.625,00 KG</t>
  </si>
  <si>
    <t>NF EXPORTAÇÃO.: 28008</t>
  </si>
  <si>
    <t>51231267620377008018550010000280081001195990</t>
  </si>
  <si>
    <t>SO/1958-45 - MINERVA S/A - JANAUBA - CNPJ. 67.620.377/0061-55</t>
  </si>
  <si>
    <t xml:space="preserve">LPCO.: E2300598557 </t>
  </si>
  <si>
    <t>DU-E.: 23BR0021345994</t>
  </si>
  <si>
    <t>RUC: 3BR676203772LPL1135823</t>
  </si>
  <si>
    <t>NF 52347- SUDU5203170- 1012 CXS- CSN N0-00560099/CC-IAI/23</t>
  </si>
  <si>
    <t>BL.: No. 202307ITJCALL52</t>
  </si>
  <si>
    <t>NF EXPORTAÇÃO.: 52507</t>
  </si>
  <si>
    <t>31231267620377006155550010000525071001466899</t>
  </si>
  <si>
    <t>SO/1958-46 - MINERVA S/A - PALMEIRAS DE GOIAS - CNPJ. 67.620.377/0004-67</t>
  </si>
  <si>
    <t xml:space="preserve">LPCO.: E2300598573 </t>
  </si>
  <si>
    <t>DU-E.: 23BR0021349400</t>
  </si>
  <si>
    <t>RUC: 3BR676203772LPL1135923</t>
  </si>
  <si>
    <t>NF 573263- REAU5035548- 1005 CXS- CSN N0-00564566/CC-IAI/23</t>
  </si>
  <si>
    <t>BL.: No. 202307ITJCALL51</t>
  </si>
  <si>
    <t>NF EXPORTAÇÃO.: 573594</t>
  </si>
  <si>
    <t>52231267620377000467550010005735941012203645</t>
  </si>
  <si>
    <t xml:space="preserve">                    RUA CÔNEGO THOMAZ FONTES, 145, 7º ANDAR - ED. LION CENTER - CENTRO - ITAJAÍ - SC - CEP 88301-100</t>
  </si>
  <si>
    <t>DATA.: 18/03/24</t>
  </si>
  <si>
    <t>LISTA DE CARGA  -  MV PACIFIC MERMAID - MINERVA S/A</t>
  </si>
  <si>
    <t>SO/2516-1 - MINERVA S/A - ARAGUAINA - CNPJ. 67.620.377/0018-62</t>
  </si>
  <si>
    <t>LPCO.: E2400166845</t>
  </si>
  <si>
    <t>49178 - FROZEN BONELLES BEEF ROBBED FOREQUARTER 90 VL BP FZN</t>
  </si>
  <si>
    <t>DU-E.: 24BR0005098708</t>
  </si>
  <si>
    <t>56679 - FROZEN BONELLES BEEF ROBBED FOREQUARTER 90 VL BP</t>
  </si>
  <si>
    <t>RUC: 4BR676203772LPL</t>
  </si>
  <si>
    <t>BL.: 202403ITAKAL023</t>
  </si>
  <si>
    <t>NF 160895 - MSWU9102294 - 994 CXS - CSN N0-00114181/CC-IAI/24</t>
  </si>
  <si>
    <t>NF 160896 - MWCU6668899 - 1006 CXS - CSN N0-00124640/CC-IAI/24</t>
  </si>
  <si>
    <t>83 PALLETS COM O TOTAL DE 2075,00 KG</t>
  </si>
  <si>
    <t>PARTE LOTE - NF 160951 - MNBU0041847 - 845 CXS - CSN N0-00120752/CC-IAI/24</t>
  </si>
  <si>
    <t>PARTE LOTE - NF 160952 - MSWU0064207 - 684 CXS - CSN N0-00127646/CC-IAI/24</t>
  </si>
  <si>
    <t>NF EXPORTAÇÃO.: 161199</t>
  </si>
  <si>
    <t>PARTE LOTE - NF 161023 - MWCU6958922 - 640 CXS - CSN N0-00137993/CC-IAI/24</t>
  </si>
  <si>
    <t>17240367620377001862550010001611991003437923</t>
  </si>
  <si>
    <t>SO/2516-2 - MINERVA S/A - ARAGUAINA - CNPJ. 67.620.377/0018-62</t>
  </si>
  <si>
    <t>LPCO.: E2400166691</t>
  </si>
  <si>
    <t>DU-E.: 24BR0005024305</t>
  </si>
  <si>
    <t>PARTE LOTE - NF 160951 - MNBU0041847 - 354 CXS - CSN N0-00120752/CC-IAI/24</t>
  </si>
  <si>
    <t>PARTE LOTE - NF 160952 - MSWU0064207 - 518 CXS - CSN N0-00127646/CC-IAI/24</t>
  </si>
  <si>
    <t>BL.: 202403ITAKAL024</t>
  </si>
  <si>
    <t>PARTE LOTE - NF 161023 - MWCU6958922 - 301 CXS - CSN N0-00??????/CC-IAI/24</t>
  </si>
  <si>
    <t>NF EXPORTAÇÃO.: 161173</t>
  </si>
  <si>
    <t>17240367620377001862550010001611731003437196</t>
  </si>
  <si>
    <t>SO/2516-3 - MINERVA S/A - ARAGUAINA - CNPJ. 67.620.377/0018-62</t>
  </si>
  <si>
    <t>LPCO.: E2400166861</t>
  </si>
  <si>
    <t>DU-E.: 24BR0005025026</t>
  </si>
  <si>
    <t>BL.: 202403ITAKAL007</t>
  </si>
  <si>
    <t>NF 160826 - SUDU6083552 - 1100 CXS - CSN N0-00116193/1940/24</t>
  </si>
  <si>
    <t>NF 160910 - MWCU6552152 - 1195 CXS - CSN N0-00120886/CC-IAI/24</t>
  </si>
  <si>
    <t>92 PALLETS COM O TOTAL DE 2300,00 KG</t>
  </si>
  <si>
    <t>NF 160942 - MWMU6320814 - 1094 CXS - CSN N0-00127191/1940/24</t>
  </si>
  <si>
    <t>NF 161025 -  REAU6706342 - 1184 CXS - CSN N0-00127694/CC-IAI/24</t>
  </si>
  <si>
    <t>NF EXPORTAÇÃO.: 161176</t>
  </si>
  <si>
    <t>17240367620377001862550010001611761003437252</t>
  </si>
  <si>
    <t>SO/2516-4 - MINERVA S/A - JOSE BONIFACIO - CNPJ. 67.620.377/0003-86</t>
  </si>
  <si>
    <t>LPCO.: E2400166867</t>
  </si>
  <si>
    <t>DU-E.: 24BR0005026294</t>
  </si>
  <si>
    <t>PARTE LOTE - NF 164472 - PONU4931075 - 562 CXS - CSN N0-00107372/451/24</t>
  </si>
  <si>
    <t>PARTE LOTE - NF 164600 - EMCU5297820 - 752 CXS - CSN N0-115845/451/24</t>
  </si>
  <si>
    <t>BL.: 202403ITAKAL008</t>
  </si>
  <si>
    <t>NF 164655 - PONU4880234 - 1106 CXS - CSN N0-00113910/CC-IAI/24</t>
  </si>
  <si>
    <t>NF 164767 - MNBU0303248 - 1131 CXS - CSN N0-00120770/CC-IAI/24</t>
  </si>
  <si>
    <t>71 PALLETS COM O TOTAL DE 1776,00 KG</t>
  </si>
  <si>
    <t>NF EXPORTAÇÃO.: 165230</t>
  </si>
  <si>
    <t>35240367620377000386550010001652301005227445</t>
  </si>
  <si>
    <t>SO/2516-5 - MINERVA S/A - JOSE BONIFACIO - CNPJ. 67.620.377/0003-86</t>
  </si>
  <si>
    <t>LPCO.: E2400166872</t>
  </si>
  <si>
    <t>DU-E.: 24BR0005026545</t>
  </si>
  <si>
    <t>PARTE LOTE - NF 164472 - PONU4931075 - 556 CXS - CSN N0-107372/451/24</t>
  </si>
  <si>
    <t>PARTE LOTE - NF 164600 - EMCU5297820 - 338 CXS - CSN N0-115845/451/24</t>
  </si>
  <si>
    <t>BL.: 202403ITAKAL009</t>
  </si>
  <si>
    <t>18 PALLETS COM O TOTAL DE 450,00 KG</t>
  </si>
  <si>
    <t>NF EXPORTAÇÃO.: 165233</t>
  </si>
  <si>
    <t>35240367620377000386550010001652331005227480</t>
  </si>
  <si>
    <t>SO/2516-6 - MINERVA S/A - JANAUBA - CNPJ. 67.620.377/0061-55</t>
  </si>
  <si>
    <t>LPCO.: E2400166873</t>
  </si>
  <si>
    <t>DU-E.: 24BR0005026820</t>
  </si>
  <si>
    <t>BL.: 202403ITAKAL010</t>
  </si>
  <si>
    <t>NF 53575 - SUDU5246716 - 1050 CXS - CSN N0-00112797/2471/24</t>
  </si>
  <si>
    <t>PARTE LOTE - NF 53698 - MWCU6658890 - 920 CXS - CSN N0-00120743/CC-IAI/24</t>
  </si>
  <si>
    <t>59 PALLETS COM O TOTAL DE 1475,00 KG</t>
  </si>
  <si>
    <t>PARTE LOTE - NF 53701 - PONU4928451 - 964 CXS - CSN N0-00120728/CC-IAI/24</t>
  </si>
  <si>
    <t>NF EXPORTAÇÃO.: 53909</t>
  </si>
  <si>
    <t>31240367620377006155550010000539091001516121</t>
  </si>
  <si>
    <t>SO/2516-7 - MINERVA S/A - JANAUBA - CNPJ. 67.620.377/0061-55</t>
  </si>
  <si>
    <t>LPCO.: E2400166863</t>
  </si>
  <si>
    <t>DU-E.: 24BR0005027100</t>
  </si>
  <si>
    <t>BL.: 202403ITAKAL011</t>
  </si>
  <si>
    <t>PARTE LOTE - NF 53698 - MWCU6658890 - 137 CXS - CSN N0-00120743/CC-IAI/24</t>
  </si>
  <si>
    <t>PARTE LOTE - NF 53701 - PONU4928451 - 91 CXS - CSN N0-00120728/CC-IAI/24</t>
  </si>
  <si>
    <t>NF EXPORTAÇÃO.: 53917</t>
  </si>
  <si>
    <t>31240367620377006155550010000539171001516158</t>
  </si>
  <si>
    <t>SO/2516-8 - MINERVA S/A - MIRASSOL DO OESTE - CNPJ. 67.620.377/0062-36</t>
  </si>
  <si>
    <t>LPCO.: E2400166857</t>
  </si>
  <si>
    <t>DU-E.: 24BR0005100176</t>
  </si>
  <si>
    <t>BL.: 202403ITAKAL012</t>
  </si>
  <si>
    <t>NF 52153 - SUDU5203170 - 1031 CXS - CSN N0-00125998/CC-IAI/24</t>
  </si>
  <si>
    <t>NF 52154 - MWCU6652207 - 1036 CXS - CSN N0-00125992/CC-IAI/24</t>
  </si>
  <si>
    <t>91 PALLETS COM O TOTAL DE 2275,00 KG</t>
  </si>
  <si>
    <t>NF 52155 - REAU0018759 - 1028 CXS - CSN N0-00126012/CC-IAI/24</t>
  </si>
  <si>
    <t>NF 52169 - SUDU6106679 - 1030 CXS - CSN N0-00116717/CC-IAI/24</t>
  </si>
  <si>
    <t>NF EXPORTAÇÃO.: 52714</t>
  </si>
  <si>
    <t>PARTE LOTE - NF 52268 - SUDU5120013 - 418 CXS - CSN N0-00126004/CC-IAI/24</t>
  </si>
  <si>
    <t>51240367620377006236550010000527141001200655</t>
  </si>
  <si>
    <t>SO/2516-9 - MINERVA S/A - MIRASSOL DO OESTE - CNPJ. 67.620.377/0062-36</t>
  </si>
  <si>
    <t>LPCO.: E2400166846</t>
  </si>
  <si>
    <t>DU-E.: 24BR0005027622</t>
  </si>
  <si>
    <t>PARTE LOTE - NF 52268 - SUDU5120013 - 707 CXS - CSN N0-00126004/CC-IAI/24</t>
  </si>
  <si>
    <t>BL.: 202403ITAKAL013</t>
  </si>
  <si>
    <t>14 PALLETS COM O TOTAL DE 350,00 KG</t>
  </si>
  <si>
    <t>NF EXPORTAÇÃO.: 52701</t>
  </si>
  <si>
    <t>51240367620377006236550010000527011001200436</t>
  </si>
  <si>
    <t>SO/2516-10 - MINERVA S/A - MIRASSOL DO OESTE - CNPJ. 67.620.377/0062-36</t>
  </si>
  <si>
    <t>LPCO.: E2400166754</t>
  </si>
  <si>
    <t>DU-E.: 24BR0005027940</t>
  </si>
  <si>
    <t>BL.: 202403ITAKAL014</t>
  </si>
  <si>
    <t>NF 52095 - SUDU5159571 - 1087 CXS - CSN N0-00133875/CC-SJP/24</t>
  </si>
  <si>
    <t>NF 52176 - MSWU4000052 - 1092 CXS - CSN N0-00116698/CC-IAI/24</t>
  </si>
  <si>
    <t>131 PALLETS COM O TOTAL DE 3275,00 KG</t>
  </si>
  <si>
    <t>NF 52177 - MWMU6401407 - 1092 CXS - CSN N0-00126049/CC-IAI/24</t>
  </si>
  <si>
    <t>NF 52178 - MWCU6556862 - 1090 CXS - CSN N0-00126042/CC-IAI/24</t>
  </si>
  <si>
    <t>NF EXPORTAÇÃO.: 52717</t>
  </si>
  <si>
    <t>NF 52179 - MWCU6858008 - 1089 CXS - CSN N0-00126017/CC-IAI/24</t>
  </si>
  <si>
    <t>NF 52220 - MWCU6260910 - 1090 CXS - CSN N0-00134494/CC-SJP/24</t>
  </si>
  <si>
    <t>51240367620377006236550010000527171001200959</t>
  </si>
  <si>
    <t>SO/2516-11 - MINERVA S/A - PALMEIRAS DE GOIAS - CNPJ. 67.620.377/0004-67</t>
  </si>
  <si>
    <t>LPCO.: E2400166748</t>
  </si>
  <si>
    <t>DU-E.: 24BR0005103477</t>
  </si>
  <si>
    <t>BL.: 202403ITAKAL015</t>
  </si>
  <si>
    <t>NF 578032 - MWCU5244746 - 1030 CXS - CSN N0-00113865/CC-IAI/24</t>
  </si>
  <si>
    <t>NF 578034 - MWMU6310930 - 963 CXS - CSN N0-00127658/CC-IAI/24</t>
  </si>
  <si>
    <t>241 PALLETS COM O TOTAL DE 6025,00 KG</t>
  </si>
  <si>
    <t>NF 578035 - REAU6096975 - 1022 CXS - CSN N0-00114045/CC-IAI/24</t>
  </si>
  <si>
    <t>NF 578036 - MWCU5294618 - 1032 CXS - CSN N0-00114068/CC-IAI/24</t>
  </si>
  <si>
    <t>NF EXPORTAÇÃO.: 579254</t>
  </si>
  <si>
    <t>NF 578037 - PONU4914761 - 1019 CXS - CSN N0-139513/CC-IAI/24</t>
  </si>
  <si>
    <t>NF 578038 - MWCU6706031 - 1036 CXS - CSN N0-00126029/CC-IAI/24</t>
  </si>
  <si>
    <t>52240367620377000467550010005792541012406595</t>
  </si>
  <si>
    <t>NF 578152 - SUDU5231721 - 1048 CXS - CSN N0-00113801/CC-IAI/24</t>
  </si>
  <si>
    <t>NF 578186 - SUDU6131603 - 936 CXS - CSN N0-00117763/CC-IAI/24</t>
  </si>
  <si>
    <t>PARTE LOTE - NF 578273 - SUDU6054507 - 776 CXS - CSN N0-00127728/CC-IAI/24</t>
  </si>
  <si>
    <t>PARTE LOTE - NF 578275 - REAU9188627 - 466 CXS - CSN N0-00120790/CC-IAI/24</t>
  </si>
  <si>
    <t>PARTE LOTE - NF 578276 - SZLU9087107 - 132 CXS - CSN N0-00120843/CC-IAI/24</t>
  </si>
  <si>
    <t>NF 578366 - MWCU6989564 - 1034 CXS - CSN N0-00124249/CC-IAI/24</t>
  </si>
  <si>
    <t>PARTE LOTE - NF 578582 - MWCU6672707 - 360 CXS - CSN N0-00127698/CC-IAI/24</t>
  </si>
  <si>
    <t>PARTE LOTE - NF 578583 - WGMU5025447 - 497 CXS - CSN N0-00127680/CC-IAI/24</t>
  </si>
  <si>
    <t>PARTE LOTE - NF 578607 - MSWU9080092 - 685 CXS - CSN N0-00127650/CC-IAI/24</t>
  </si>
  <si>
    <t>SO/2516-12 - MINERVA S/A - PALMEIRAS DE GOIAS - CNPJ. 67.620.377/0004-67</t>
  </si>
  <si>
    <t>LPCO.: E2400166707</t>
  </si>
  <si>
    <t>DU-E.: 24BR0005037563</t>
  </si>
  <si>
    <t>PARTE LOTE - NF 578273 - SUDU6054507 - 310 CXS - CSN N0-00127728/CC-IAI/24</t>
  </si>
  <si>
    <t>PARTE LOTE - NF 578275 - REAU9188627 - 615 CXS - CSN N0-00120790/CC-IAI/24</t>
  </si>
  <si>
    <t>BL.: 202403ITAKAL016</t>
  </si>
  <si>
    <t>PARTE LOTE - NF 578276 - SZLU9087107 - 954 CXS - CSN N0-00120843/CC-IAI/24</t>
  </si>
  <si>
    <t>PARTE LOTE - NF 578582 - MWCU6672707 - 717 CXS - CSN N0-00127698/CC-IAI/24</t>
  </si>
  <si>
    <t>72 PALLETS COM O TOTAL DE 1800,00 KG</t>
  </si>
  <si>
    <t>PARTE LOTE - NF 578583 - WGMU5025447 - 582 CXS - CSN N0-00127680/CC-IAI/24</t>
  </si>
  <si>
    <t>PARTE LOTE - NF 578584 - MWCU6958922 - 38 CXS - CSN N0-00149506/CC-IAI/24</t>
  </si>
  <si>
    <t>NF EXPORTAÇÃO.: 579235</t>
  </si>
  <si>
    <t>PARTE LOTE - NF 578607 - MSWU9080092 - 398 CXS - CSN N0-00127650/CC-IAI/24</t>
  </si>
  <si>
    <t>52240367620377000467550010005792351012406182</t>
  </si>
  <si>
    <t>SO/2516-13 - MINERVA S/A - PALMEIRAS DE GOIAS - CNPJ. 67.620.377/0004-67</t>
  </si>
  <si>
    <t>LPCO.: E2400166711</t>
  </si>
  <si>
    <t>DU-E.: 24BR0005037962</t>
  </si>
  <si>
    <t>BL.: 202403ITAKAL017</t>
  </si>
  <si>
    <t>NF 578162 - EGSU5010630 - 1065 CXS - CSN N0-00118916/431/24</t>
  </si>
  <si>
    <t>NF 578647 - MWCU6677885 - 993 CXS - CSN N0-00135070/CC-IAI/24</t>
  </si>
  <si>
    <t>41 PALLETS COM O TOTAL DE 1025,00 KG</t>
  </si>
  <si>
    <t>NF EXPORTAÇÃO.: 579175</t>
  </si>
  <si>
    <t>52240367620377000467550010005791751012403787</t>
  </si>
  <si>
    <t>SO/2516-14 - MINERVA S/A - PARANATINGA - CNPJ. 67.620.377/0080-18</t>
  </si>
  <si>
    <t>LPCO.: E2400166723</t>
  </si>
  <si>
    <t>DU-E.: 24BR0005104961</t>
  </si>
  <si>
    <t>BL.: 202403ITAKAL018</t>
  </si>
  <si>
    <t>NF 29637 - MWCU6860685 - 1029 CXS - CSN N0-00124219/CC-IAI/24</t>
  </si>
  <si>
    <t>PARTE LOTE - NF 29759 - MWCU6928379 - 696 CXS - CSN N0-00146645/2500/24</t>
  </si>
  <si>
    <t>40 PALLETS COM O TOTAL DE 1000,00 KG</t>
  </si>
  <si>
    <t>PARTE LOTE - NF 29803 - MWCU6760407 - 278 CXS - CSN N0-00131388/CC-IAI/24</t>
  </si>
  <si>
    <t>NF EXPORTAÇÃO.: 30092</t>
  </si>
  <si>
    <t>51240367620377008018550010000300921001259401</t>
  </si>
  <si>
    <t>SO/2516-15 - MINERVA S/A - PARANATINGA - CNPJ. 67.620.377/0080-18</t>
  </si>
  <si>
    <t>LPCO.: E2400166727</t>
  </si>
  <si>
    <t>DU-E.: 24BR0005038802</t>
  </si>
  <si>
    <t>PARTE LOTE - NF 29759 - MWCU6928379 - 97 CXS - CSN N0-00146645/2500/24</t>
  </si>
  <si>
    <t>PARTE LOTE - NF 29803 - MWCU6760407 - 812 CXS - CSN N0-00131388/CC-IAI/24</t>
  </si>
  <si>
    <t>BL.: 202403ITAKAL019</t>
  </si>
  <si>
    <t>NF EXPORTAÇÃO.: 30020</t>
  </si>
  <si>
    <t>51240367620377008018550010000300201001258155</t>
  </si>
  <si>
    <t>SO/2516-16 - MINERVA S/A - PARANATINGA - CNPJ. 67.620.377/0080-18</t>
  </si>
  <si>
    <t>LPCO.: E2400166734</t>
  </si>
  <si>
    <t>DU-E.: 24BR0005039256</t>
  </si>
  <si>
    <t>NF 29605 - MWCU5250796 - 1071 CXS - CSN N0-00131307/2500/24</t>
  </si>
  <si>
    <t>PARTE LOTE - NF 29759 - MWCU6928379 - 256 CXS - CSN N0-00146645/2500/24</t>
  </si>
  <si>
    <t>BL.: 202403ITAKAL020</t>
  </si>
  <si>
    <t>27 PALLETS COM O TOTAL DE 675,00 KG</t>
  </si>
  <si>
    <t>NF EXPORTAÇÃO.: 30025</t>
  </si>
  <si>
    <t>51240367620377008018550010000300251001258224</t>
  </si>
  <si>
    <t>SO/2516-17 - MINERVA S/A - ROLIM DE MOURA - CNPJ. 67.620.377/0074-70</t>
  </si>
  <si>
    <t>LPCO.: E2400166740</t>
  </si>
  <si>
    <t>DU-E.: 24BR0005039906</t>
  </si>
  <si>
    <t>BL.: 202403ITAKAL021</t>
  </si>
  <si>
    <t>PARTE LOTE - NF 47444 - MWCU6676620 - 706 CXS - CSN N0-00127664/CC-IAI/24</t>
  </si>
  <si>
    <t>PARTE LOTE - NF 47494 - EGHU5006241 - 689 CXS - CSN N0-00127688/CC-IAI/24</t>
  </si>
  <si>
    <t>75 PALLETS COM O TOTAL DE 1875,00 KG</t>
  </si>
  <si>
    <t>PARTE LOTE - NF 47499 - MWCU6880439 - 679 CXS - CSN N0-00124207/CC-IAI/24</t>
  </si>
  <si>
    <t>NF 47626 - MWMU6369183 - 1058 CXS - CSN N0-00130751CC-IAI/24</t>
  </si>
  <si>
    <t>NF EXPORTAÇÃO.: 47933</t>
  </si>
  <si>
    <t>PARTE LOTE - NF 47632 - MWCU6803833 - 613 CXS - CSN N0-00131429/CC-IAI/24</t>
  </si>
  <si>
    <t>11240367620377007470550010000479331001863851</t>
  </si>
  <si>
    <t>SO/2516-18 - MINERVA S/A - ROLIM DE MOURA - CNPJ. 67.620.377/0074-70</t>
  </si>
  <si>
    <t>LPCO.: E2400166744</t>
  </si>
  <si>
    <t>DU-E.: 24BR0005041196</t>
  </si>
  <si>
    <t>BL.: 202403ITAKAL022</t>
  </si>
  <si>
    <t>PARTE LOTE - NF 47444 - MWCU6676620 - 377 CXS - CSN N0-00127664/CC-IAI/24</t>
  </si>
  <si>
    <t>PARTE LOTE - NF 47494 - EGHU5006241 - 399 CXS - CSN N0-00127688/CC-IAI/24</t>
  </si>
  <si>
    <t>33 PALLETS COM O TOTAL DE 825,00 KG</t>
  </si>
  <si>
    <t>PARTE LOTE - NF 47499 - MWCU6880439 - 400 CXS - CSN N0-00124207/CC-IAI/24</t>
  </si>
  <si>
    <t>PARTE LOTE - NF 47632 - MWCU6803833 - 469 CXS - CSN N0-00131429/CC-IAI/24</t>
  </si>
  <si>
    <t>NF EXPORTAÇÃO.:47931</t>
  </si>
  <si>
    <t>11240367620377007470550010000479311001863849</t>
  </si>
  <si>
    <t>DATA.: 06/05/24</t>
  </si>
  <si>
    <t>LISTA DE CARGA  -  MV GREEN BRAZIL - MINERVA S/A</t>
  </si>
  <si>
    <t>SO/2742-1X - MINERVA S/A - ARAGUAINA - CNPJ. 67.620.377/0018-62</t>
  </si>
  <si>
    <t>LPCO.: E2400237675</t>
  </si>
  <si>
    <t>DU-E.: 24BR0007551329</t>
  </si>
  <si>
    <t>98211 - FROZEN BONELLES BEEF TRIMMING 70 VL BP</t>
  </si>
  <si>
    <t>RUC: 4BR676203772LPL0503024</t>
  </si>
  <si>
    <t>BL.: GBRITAKAL010</t>
  </si>
  <si>
    <r>
      <rPr>
        <rFont val="Arial"/>
        <b/>
        <color rgb="FF000000"/>
        <sz val="9.0"/>
      </rPr>
      <t>PARTE LOTE - NF 161599 - MSWU9080092 - 908 CXS -</t>
    </r>
    <r>
      <rPr>
        <rFont val="Arial"/>
        <b/>
        <color rgb="FF000000"/>
        <sz val="9.0"/>
      </rPr>
      <t xml:space="preserve"> CSN N0-00200234/CC-IAI/24</t>
    </r>
  </si>
  <si>
    <t>PARTE LOTE - NF 161627 -  REAU0018759 - 44 CXS - CSN N0-00193710/CC-IAI/24</t>
  </si>
  <si>
    <t>21 PALLETS COM O TOTAL DE 462,00 KG</t>
  </si>
  <si>
    <t>NF EXPORTAÇÃO.: 161854</t>
  </si>
  <si>
    <t>17240567620377001862550010001618541003457189</t>
  </si>
  <si>
    <t>SO/2742-2 - MINERVA S/A - ARAGUAINA - CNPJ. 67.620.377/0018-62</t>
  </si>
  <si>
    <t>LPCO.: E2400237680</t>
  </si>
  <si>
    <t>DU-E.: 24BR0007552597</t>
  </si>
  <si>
    <t>RUC:  4BR676203772LPL0503124</t>
  </si>
  <si>
    <t>BL.:  GBRITAKAL011</t>
  </si>
  <si>
    <r>
      <rPr>
        <rFont val="Arial"/>
        <b/>
        <color rgb="FF000000"/>
        <sz val="9.0"/>
      </rPr>
      <t>PARTE LOTE - NF 161599 - MSWU9080092 - 247 CXS -</t>
    </r>
    <r>
      <rPr>
        <rFont val="Arial"/>
        <b/>
        <color rgb="FF000000"/>
        <sz val="9.0"/>
      </rPr>
      <t xml:space="preserve"> CSN N0-00200234/CC-IAI/24</t>
    </r>
  </si>
  <si>
    <t>NF 161491 -  MWCU6958922 - 1194 CXS - CSN N0-00180932/CC-IAI/24</t>
  </si>
  <si>
    <t>84 PALLETS COM O TOTAL DE 1.848,00 KG</t>
  </si>
  <si>
    <r>
      <rPr>
        <rFont val="Arial"/>
        <b/>
        <color rgb="FF000000"/>
        <sz val="9.0"/>
      </rPr>
      <t>NF 161505 - SUDU5159571 - 1159 CXS -</t>
    </r>
    <r>
      <rPr>
        <rFont val="Arial"/>
        <b/>
        <color rgb="FF000000"/>
        <sz val="9.0"/>
      </rPr>
      <t xml:space="preserve"> CSN N0-00192513/CC-IAI/24</t>
    </r>
  </si>
  <si>
    <r>
      <rPr>
        <rFont val="Arial"/>
        <b/>
        <color rgb="FF000000"/>
        <sz val="9.0"/>
      </rPr>
      <t xml:space="preserve">NF 161616 -  MWCU6928379 - 1145 CXS - </t>
    </r>
    <r>
      <rPr>
        <rFont val="Arial"/>
        <b/>
        <color rgb="FF000000"/>
        <sz val="9.0"/>
      </rPr>
      <t>CSN N0-00205938/CC-IAI/24</t>
    </r>
  </si>
  <si>
    <t>NF EXPORTAÇÃO.: 161856</t>
  </si>
  <si>
    <t>17240567620377001862550010001618561003457299</t>
  </si>
  <si>
    <t>OBS: O CSN EM VERMELHO ESTAVA ERRADO E FOI DEVOLVIDO PARA BRASKARNE PARA EMITIREM UM NOVO</t>
  </si>
  <si>
    <t>SO/2742-3 - MINERVA S/A - MIRASSOL DO OESTE - CNPJ. 67.620.377/0062-36</t>
  </si>
  <si>
    <t>LPCO.: E2400237699</t>
  </si>
  <si>
    <t>DU-E.: 24BR0007552708</t>
  </si>
  <si>
    <t>RUC: 4BR676203772LPL0503224</t>
  </si>
  <si>
    <t>BL.: GBRITAKAL012</t>
  </si>
  <si>
    <t>NF 53413 - MWCU6676620 - 1083 CXS - CSN N0-00181291/CC-IAI/24</t>
  </si>
  <si>
    <t>NF 53416 - PONU4914761 - 1084 CXS - CSN N0-00181338/CC-IAI/24</t>
  </si>
  <si>
    <t>164 PALLETS COM O TOTAL DE 3.608,00 KG</t>
  </si>
  <si>
    <t>NF 53418 - MWCU6858008 - 1079 CXS - CSN N0-00181331/CC-IAI/24</t>
  </si>
  <si>
    <t>NF 53434 - MWCU6706031 - 1076 CXS - CSN N0-00182617/CC-IAI/24</t>
  </si>
  <si>
    <t>NF EXPORTAÇÃO.: 54012</t>
  </si>
  <si>
    <t>NF 53436 - MNBU0041847 - 1075 CXS - CSN N0-00183536/CC-IAI/24</t>
  </si>
  <si>
    <t>NF 53513 - MWMU6401407 - 1079 CXS - CSN N0-00183524/CC-IAI/24</t>
  </si>
  <si>
    <t>51240567620377006236550010000540121001234472</t>
  </si>
  <si>
    <t>NF 53565 - MWCU6552152 - 1083 CXS - CSN N0-00188162/CC-IAI/24</t>
  </si>
  <si>
    <t>NF 53568 - SUDU6083552 - 1078 CXS - CSN N0-00188181/CC-IAI/24</t>
  </si>
  <si>
    <t>PARTE LOTE - NF 53683 - MWCU6860685 - 1056 CXS - CSN N0-00198107/CC-IAI/24</t>
  </si>
  <si>
    <t>SO/2742-4 - MINERVA S/A - PALMEIRAS DE GOIAS - CNPJ. 67.620.377/0004-67</t>
  </si>
  <si>
    <t>LPCO.: E2400237704</t>
  </si>
  <si>
    <t>DU-E.: 24BR0007553984</t>
  </si>
  <si>
    <t>RUC: 4BR676203772LPL0504224</t>
  </si>
  <si>
    <t>BL.:  GBRITAKAL013</t>
  </si>
  <si>
    <t>NF 580793 - EMCU5297820 - 1071 CXS - CSN N0-00188154/CC-IAI/24</t>
  </si>
  <si>
    <t>NF 580823 - MWCU6652207 - 1055 CXS - CSN N0-00188210/CC-IAI/24</t>
  </si>
  <si>
    <t>63 PALLETS COM O TOTAL DE 1.386,00 KG</t>
  </si>
  <si>
    <t>NF 580856 - PONU4931075 - 1068 CXS - CSN N0-00191698/CC-IAI/24</t>
  </si>
  <si>
    <t>NF EXPORTAÇÃO.: 581829</t>
  </si>
  <si>
    <t>52240567620377000467550010005818291012497560</t>
  </si>
  <si>
    <t>SO/2742-5 - MINERVA S/A - PARANATINGA - CNPJ. 67.620.377/0080-18</t>
  </si>
  <si>
    <t>LPCO.: E2400237712</t>
  </si>
  <si>
    <t>DU-E.: 24BR0007553526</t>
  </si>
  <si>
    <t>RUC:  4BR676203772LPL0503624</t>
  </si>
  <si>
    <t>BL.:  GBRITAKAL014</t>
  </si>
  <si>
    <t>NF 30668 - SUDU5246716 - 1060 CXS - CSN N0-00183556/CC-IAI/24</t>
  </si>
  <si>
    <t>NF 30671 - EGHU5006241 - 1072 CXS - CSN N0-00184267/CC-IAI/24</t>
  </si>
  <si>
    <t>103 PALLETS COM O TOTAL DE 2.266,00 KG</t>
  </si>
  <si>
    <t>NF 30728 - SUDU5203170 - 1070 CXS - CSN N0-00188186/CC-IAI/24</t>
  </si>
  <si>
    <t>NF 30730 - SUDU6054507 - 1071 CXS - CSN N0-00188223/CC-IAI/24</t>
  </si>
  <si>
    <t>NF EXPORTAÇÃO.:  31134</t>
  </si>
  <si>
    <t>NF 30816 - MWCU6677885 - 1034 CXS - CSN N0-00198074/CC-IAI/24</t>
  </si>
  <si>
    <t>51240567620377008018550010000311341001289622</t>
  </si>
  <si>
    <t>SO/2742-6 - MINERVA S/A - JOSE BONIFACIO - CNPJ. 67.620.377/0003-86</t>
  </si>
  <si>
    <t>LPCO.: E2400237722</t>
  </si>
  <si>
    <t>DU-E.: 24BR0007554000</t>
  </si>
  <si>
    <t>RUC: 4BR676203772LPL0506724</t>
  </si>
  <si>
    <t>BL.: GBRITAKAL015</t>
  </si>
  <si>
    <t>NF 165903 - MWCU6760407 - 1155 CXS - CSN N0-00183546/CC-IAI/24</t>
  </si>
  <si>
    <t>NF EXPORTAÇÃO.:  166537</t>
  </si>
  <si>
    <t>35240567620377000386550010001665371005247976</t>
  </si>
  <si>
    <t>SO/2742-7 - MINERVA S/A - PALMEIRAS DE GOIAS - CNPJ. 67.620.377/0004-67</t>
  </si>
  <si>
    <t>LPCO.: E2400237729</t>
  </si>
  <si>
    <t>DU-E.: 24BR0007555022</t>
  </si>
  <si>
    <t>RUC:  4BR676203772LPL0507024</t>
  </si>
  <si>
    <t>BL.:  GBRITAKAL016</t>
  </si>
  <si>
    <t>NF 580792 - EGSU5010630 - 985 CXS - CSN N0-00188145/CC-IAI/24</t>
  </si>
  <si>
    <t>NF 580859 - MWCU6672707 - 992 CXS - CSN N0-00191677/CC-IAI/24</t>
  </si>
  <si>
    <t>40 PALLETS COM O TOTAL DE 880,00 KG</t>
  </si>
  <si>
    <t>NF EXPORTAÇÃO.:  581836</t>
  </si>
  <si>
    <t>52240567620377000467550010005818361012497956</t>
  </si>
  <si>
    <t>SO/2742-8 - MINERVA S/A - PARANATINGA - CNPJ. 67.620.377/0080-18</t>
  </si>
  <si>
    <t>LPCO.: E2400237734</t>
  </si>
  <si>
    <t>DU-E.: 24BR0007562150</t>
  </si>
  <si>
    <t>RUC:  4BR676203772LPL0507324</t>
  </si>
  <si>
    <t>BL.:  GBRITAKAL017</t>
  </si>
  <si>
    <t>NF 30727 - ZCSU5963282 - 1148 CXS - CSN N0-00188195/CC-IAI/24</t>
  </si>
  <si>
    <t>NF EXPORTAÇÃO.: 31136</t>
  </si>
  <si>
    <t>51240567620377008018550010000311361001289651</t>
  </si>
  <si>
    <t>SO/2742-9 - MINERVA S/A - ROLIM DE MOURA - CNPJ. 67.620.377/0074-70</t>
  </si>
  <si>
    <t>LPCO.: E2400237742</t>
  </si>
  <si>
    <t>DU-E.: 24BR0007562452</t>
  </si>
  <si>
    <t>RUC:  4BR676203772LPL0507924</t>
  </si>
  <si>
    <t>BL.: GBRITAKAL018</t>
  </si>
  <si>
    <r>
      <rPr>
        <rFont val="Arial"/>
        <b/>
        <color rgb="FF000000"/>
        <sz val="9.0"/>
      </rPr>
      <t xml:space="preserve">NF 48655 - SUDU5120013 - 1155 CXS - </t>
    </r>
    <r>
      <rPr>
        <rFont val="Arial"/>
        <b/>
        <color rgb="FF000000"/>
        <sz val="9.0"/>
      </rPr>
      <t>CSN N0-00202113/CC-IAI/24</t>
    </r>
  </si>
  <si>
    <t>PARTE LOTE - NF 48754 - MWCU6860685 - 49 CXS - CSN N0-00198083/CC-IAI/24</t>
  </si>
  <si>
    <t>42 PALLETS COM O TOTAL DE 924,00 KG</t>
  </si>
  <si>
    <t>NF EXPORTAÇÃO.:  49080</t>
  </si>
  <si>
    <t>11240567620377007470550010000490801001913023</t>
  </si>
  <si>
    <t>SO/2749-10 - MINERVA S/A - JANAUBA - CNPJ. 67.620.377/0061-55</t>
  </si>
  <si>
    <t>LPCO.: E2400237747</t>
  </si>
  <si>
    <t>DU-E.: 24BR0007562649</t>
  </si>
  <si>
    <t>RUC:  4BR676203772LPL0508624</t>
  </si>
  <si>
    <t>BL.:  GBRITAKAL019</t>
  </si>
  <si>
    <t>PARTE LOTE - NF 54407 - MWCU6556862 - 682 CXS - CSN N0-00184653/CC-IAI/24</t>
  </si>
  <si>
    <t>20 PALLETS COM O TOTAL DE 440,00 KG</t>
  </si>
  <si>
    <t>NF EXPORTAÇÃO.:  54737</t>
  </si>
  <si>
    <t>31240567620377006155550010000547371001541946</t>
  </si>
  <si>
    <t>SO/2749-11 - MINERVA S/A - PALMEIRAS DE GOIAS - CNPJ. 67.620.377/0004-67</t>
  </si>
  <si>
    <t>LPCO.: E2400237752</t>
  </si>
  <si>
    <t>DU-E.: 24BR0007562967</t>
  </si>
  <si>
    <t>RUC:  4BR676203772LPL0509024</t>
  </si>
  <si>
    <t>BL.:  GBRITAKAL020</t>
  </si>
  <si>
    <t>PARTE LOTE - NF 580960 - REAU0018759 - 414 CXS - CSN N0-00193680/CC-IAI/24</t>
  </si>
  <si>
    <t>10 PALLETS COM O TOTAL DE 220,00 KG</t>
  </si>
  <si>
    <t>NF EXPORTAÇÃO.: 581842</t>
  </si>
  <si>
    <t>52240567620377000467550010005818421012498100</t>
  </si>
  <si>
    <t>SO/2749-12 - MINERVA S/A - JOSE BONIFACIO - CNPJ. 67.620.377/0003-86</t>
  </si>
  <si>
    <t>LPCO.: E2400237757</t>
  </si>
  <si>
    <t>DU-E.: 24BR0007563408</t>
  </si>
  <si>
    <t xml:space="preserve">RUC: </t>
  </si>
  <si>
    <t>BL.:  GBRITAKAL021</t>
  </si>
  <si>
    <t>NF 165874 - PONU4928451 - 1092 CXS - CSN N0-00177674/CC-IAI/24</t>
  </si>
  <si>
    <t>NF 166043 - MWCU6803833 - 1094 CXS - CSN N0-188171/CC-IAI/24</t>
  </si>
  <si>
    <t>NF EXPORTAÇÃO.:  166456</t>
  </si>
  <si>
    <t>35240567620377000386550010001665461005248238</t>
  </si>
  <si>
    <t>SO/2749-13 - MINERVA S/A - JANAUBA - CNPJ. 67.620.377/0061-55</t>
  </si>
  <si>
    <t>LPCO.: E2400237764</t>
  </si>
  <si>
    <t>DU-E.: 24BR0007563343</t>
  </si>
  <si>
    <t>RUC:  4BR676203772LPL0518024</t>
  </si>
  <si>
    <t>BL.: GBRITAKAL022</t>
  </si>
  <si>
    <t>PARTE LOTE - NF 54407 - MWCU6556862 - 80 CXS - CSN N0-00184653/CC-IAI/24</t>
  </si>
  <si>
    <t>02 PALLETS COM O TOTAL DE 44,00 KG</t>
  </si>
  <si>
    <t>NF EXPORTAÇÃO.:  54738</t>
  </si>
  <si>
    <t>31240567620377006155550010000547381001542036</t>
  </si>
  <si>
    <t>SO/2749-14 - MINERVA S/A - PALMEIRAS DE GOIAS - CNPJ. 67.620.377/0004-67</t>
  </si>
  <si>
    <t>LPCO.: E2400237768</t>
  </si>
  <si>
    <t>DU-E.: 24BR0007563882</t>
  </si>
  <si>
    <t>RUC: 4BR676203772LPL0518124</t>
  </si>
  <si>
    <t>BL.:  GBRITAKAL036</t>
  </si>
  <si>
    <t>145 PALLETS COM O TOTAL DE 3.190,00 KG</t>
  </si>
  <si>
    <t>NF 580470 - REAU9188627 - 1079 CXS - CSN N0-00179873/CC-IAI/24</t>
  </si>
  <si>
    <t>NF 580693 - MWMU6310930 - 1085 CXS - CSN N0-00184628/CC-IAI/24</t>
  </si>
  <si>
    <t>NF EXPORTAÇÃO.: 581821</t>
  </si>
  <si>
    <t>NF 580930 - MWCU6260910 - 1091 CXS - CSN N0-00193868/CC-IAI/24</t>
  </si>
  <si>
    <t>NF 580931 - SUDU5231721 - 1073 CXS - CSN N0-00193808/CC-IAI/24</t>
  </si>
  <si>
    <t>52240567620377000467550010005818211012496787</t>
  </si>
  <si>
    <t>NF 580950 - MWCU6720580 - 1071 CXS - CSN N0-00193903/CC-IAI/24</t>
  </si>
  <si>
    <t>NF 580952 - SUDU6131603 - 1082 CXS - CSN N0-00193881/CC-IAI/24</t>
  </si>
  <si>
    <t>PARTE LOTE - NF 580963 - REAU0018759 - 623 CXS - CSN N0-00193698/CC-IAI/24</t>
  </si>
  <si>
    <t>NF 581200 - SUDU6106679 - 948 CXS - CSN N0-00200288/CC-IAI/24</t>
  </si>
  <si>
    <t>SO/2742-15 - MINERVA S/A - ROLIM DE MOURA - CNPJ. 67.620.377/0074-70</t>
  </si>
  <si>
    <t>LPCO.: E2400237773</t>
  </si>
  <si>
    <t>DU-E.: 24BR0007564137</t>
  </si>
  <si>
    <t>RUC: 4BR676203772LPL0518224</t>
  </si>
  <si>
    <t>BL.:  GBRITAKAL023</t>
  </si>
  <si>
    <t>142 PALLETS COM O TOTAL DE 3.124,00 KG</t>
  </si>
  <si>
    <t>NF 48570 - MSWU0064207 - 1080 CXS - CSN N0-00184641/CC-IAI/24</t>
  </si>
  <si>
    <t>NF 48572 - SZLU9087107 - 1078 CXS - CSN N0-00187142/CC-IAI/24</t>
  </si>
  <si>
    <t>NF EXPORTAÇÃO.:  49077</t>
  </si>
  <si>
    <t>NF 48617 - MWMU6369183 - 1049 CXS - CSN N0-00188202/CC-IAI/24</t>
  </si>
  <si>
    <t>NF 48649 - WGMU5025447 - 1079 CXS - CSN N0-00191727/CC-IAI/24</t>
  </si>
  <si>
    <t>11240567620377007470550010000490771001912676</t>
  </si>
  <si>
    <t>NF 48694 - REAU6706342 - 1084 CXS - CSN N0-00193830/CC-IAI/24</t>
  </si>
  <si>
    <t>NF 48775 - MWCU6668899 - 1074 CXS - CSN N0-00200309/CC-IAI/24</t>
  </si>
  <si>
    <r>
      <rPr>
        <rFont val="Arial"/>
        <b/>
        <color rgb="FF000000"/>
        <sz val="9.0"/>
      </rPr>
      <t>NF 48822 - MWCU5244746 - 1093 CXS -</t>
    </r>
    <r>
      <rPr>
        <rFont val="Arial"/>
        <b/>
        <color rgb="FF000000"/>
        <sz val="9.0"/>
      </rPr>
      <t xml:space="preserve"> CSN N0-00200260/CC-IAI/24</t>
    </r>
  </si>
  <si>
    <t>DATA.: 19/07/24</t>
  </si>
  <si>
    <t>SO/3100-25X - MINERVA S/A - ARAGUAINA - CNPJ. 67.620.377/0018-62</t>
  </si>
  <si>
    <t>LPCO.: E2400395820</t>
  </si>
  <si>
    <t>DU-E.: 24BR0012604516</t>
  </si>
  <si>
    <t>RUC: 4BR676203772LPL0869524</t>
  </si>
  <si>
    <t>68476 - FROZEN BONELLES BEEF ROBBED FOREQUARTER 90 VL BP</t>
  </si>
  <si>
    <t>BL.:  ABITAKAL009</t>
  </si>
  <si>
    <t>95 PALLETS COM O TOTAL DE 2.375,00 KG</t>
  </si>
  <si>
    <t>NF 162940 - SUDU6106679 - 1199 CXS - CSN N0-00330227/CC-IAI/24</t>
  </si>
  <si>
    <t>NF 162941 - MWCU6678639 - 1186 CXS - CSN N0-00332370/CC-IAI/24</t>
  </si>
  <si>
    <t>NF EXPORTAÇÃO.:  163265</t>
  </si>
  <si>
    <t>NF 163009 - SUDU6054507 - 1231 CXS - CSN N0-00332444/CC-IAI/24</t>
  </si>
  <si>
    <t>NF 163061 - PONU4928451 - 1127 CXS - CSN N0-00343501/CC-IAI/24</t>
  </si>
  <si>
    <t>17240767620377001862550010001632651003496653</t>
  </si>
  <si>
    <t>SO/3100-26X - MINERVA S/A - MIRASSOL DO OESTE - CNPJ. 67.620.377/0062-36</t>
  </si>
  <si>
    <t>LPCO.: E2400395823</t>
  </si>
  <si>
    <t>DU-E.: 24BR0012606128</t>
  </si>
  <si>
    <t>RUC: 4BR676203772LPL0869624</t>
  </si>
  <si>
    <t>BL.:  ABITAKAL010</t>
  </si>
  <si>
    <t>67 PALLETS COM O TOTAL DE 1.675,00 KG</t>
  </si>
  <si>
    <t>NF 55804 - MSWU9048207 - 1119 CXS - CSN N0-00333109/CC-IAI/24</t>
  </si>
  <si>
    <t>NF 55929 - MWCU6997019 - 1113 CXS - CSN N0-00342271/CC-IAI/24</t>
  </si>
  <si>
    <t>NF EXPORTAÇÃO.:  56341</t>
  </si>
  <si>
    <t>NF 56100 - SZLU9079550 - 1108 CXS - CSN N0-00348105/CC-IAI/24</t>
  </si>
  <si>
    <t>51240767620377006236550010000563411001290598</t>
  </si>
  <si>
    <t>SO/3100-27X - MINERVA S/A - PARANATINGA - CNPJ. 67.620.377/0080-18</t>
  </si>
  <si>
    <t>LPCO.: E2400395825</t>
  </si>
  <si>
    <t>DU-E.: 24BR0012608104</t>
  </si>
  <si>
    <t>RUC: 4BR676203772LPL0869724</t>
  </si>
  <si>
    <t>BL.:  ABITAKAL011</t>
  </si>
  <si>
    <t>43 PALLETS COM O TOTAL DE 1.075,00 KG</t>
  </si>
  <si>
    <t>NF 32714 - MWCU6928379 - 1073 CXS - CSN N0-00332253/CC-IAI/24</t>
  </si>
  <si>
    <t>NF 32815 - MWCU6883361 - 1063 CXS - CSN N0-00338197/CC-IAI/24</t>
  </si>
  <si>
    <t>NF EXPORTAÇÃO.:  33178</t>
  </si>
  <si>
    <t>51240767620377008018550010000331781001343075</t>
  </si>
  <si>
    <t>SO/3100-21X - MINERVA S/A - PALMEIRAS DE GOIAS - CNPJ. 67.620.377/0004-67</t>
  </si>
  <si>
    <t>LPCO.: E2400395807</t>
  </si>
  <si>
    <t>DU-E.: 24BR0012603773</t>
  </si>
  <si>
    <t>RUC: 4BR676203772LPL0869124</t>
  </si>
  <si>
    <t>BL.:  ABITAKAL005</t>
  </si>
  <si>
    <t>413 PALLETS COM O TOTAL DE 10.328,00 KG</t>
  </si>
  <si>
    <t>NF 585567 - MSWU1001693 - 1083 CXS - CSN N0-00326209/CC-IAI/24</t>
  </si>
  <si>
    <t>NF 585569 - MWCU6880439 - 1086 CXS - CSN N0-00326776/CC-IAI/24</t>
  </si>
  <si>
    <t>NF EXPORTAÇÃO.:  586815</t>
  </si>
  <si>
    <t>NF 585570 - MSWU4000052 - 1074 CXS - CSN N0-00327033/CC-IAI/24</t>
  </si>
  <si>
    <t>NF 585571 - MWCU6753460 - 1092 CXS - CSN N0-00334658/CC-IAI/24</t>
  </si>
  <si>
    <t>52240767620377000467550010005868151012669714</t>
  </si>
  <si>
    <t>NF 585572 - EGSU5008931 - 1094 CXS - CSN N0-00326205/CC-IAI/24</t>
  </si>
  <si>
    <t>NF 585574 - MNBU0023972 - 1082 CXS - CSN N0-00334687/CC-IAI/24</t>
  </si>
  <si>
    <t>NF 585636 - MWMU6338388 - 1086 CXS - CSN N0-00329213/CC-IAI/24</t>
  </si>
  <si>
    <t>NF 585639 - MWCU6858008 - 1092 CXS - CSN N0-00330319/CC-IAI/24</t>
  </si>
  <si>
    <t>NF 585640 - MWCU6720580 - 1094 CXS - CSN N0-00329267/CC-IAI/24</t>
  </si>
  <si>
    <t>NF 585641 - MWCU5244746 - 1052 CXS - CSN N0-00329250/CC-IAI/24</t>
  </si>
  <si>
    <t>NF 585644 - MWCU6652207 - 1085 CXS - CSN N0-00330398/CC-IAI/24</t>
  </si>
  <si>
    <t>NF 585647 - PONU4914761 - 1095 CXS - CSN N0-00330295/CC-IAI/24</t>
  </si>
  <si>
    <t>NF 585657 - MSWU0039293 - 1077 CXS - CSN N0-00330248/CC-IAI/24</t>
  </si>
  <si>
    <t>NF 585759 - SUDU5120013 - 1094 CXS - CSN N0-00333103/CC-IAI/24</t>
  </si>
  <si>
    <t>NF 586000 - WGMU5010684 - 1086 CXS - CSN N0-00338196/CC-IAI/24</t>
  </si>
  <si>
    <t>NF 586008 - MWMU6378293 - 1094 CXS - CSN N0-00338199/CC-IAI/24</t>
  </si>
  <si>
    <t>NF 586152 - MWCU6668899 - 1091 CXS - CSN N0-00343555/CC-IAI/24</t>
  </si>
  <si>
    <t>NF 586278 - REAU9188627 - 1133 CXS - CSN N0-00344529/CC-IAI/24</t>
  </si>
  <si>
    <t>NF 586287 - CXRU1587937 - 1066 CXS - CSN N0-00345663/CC-IAI/24</t>
  </si>
  <si>
    <t>OBS</t>
  </si>
  <si>
    <t>SO/3100-23X - MINERVA S/A - BARRETOS - CNPJ. 67.620.377/0001-14</t>
  </si>
  <si>
    <t>LPCO.: E2400395814</t>
  </si>
  <si>
    <t>DU-E.: 24BR0012606560</t>
  </si>
  <si>
    <t>RUC: 4BR676203772LPL0869324</t>
  </si>
  <si>
    <t>BL.:  ABITAKAL007</t>
  </si>
  <si>
    <t>???? PALLETS COM O TOTAL DE ???? KG</t>
  </si>
  <si>
    <t>NF 279275 - MWCU6967879 - 1033 CXS - CSN N0-00330183/CC-IAI/24</t>
  </si>
  <si>
    <t>NF 279279 - MWCU6672707 - 993 CXS - CSN N0-00330211/CC-IAI/24</t>
  </si>
  <si>
    <t>NF EXPORTAÇÃO.:  280393</t>
  </si>
  <si>
    <t>NF 279283 - MWCU6926294 - 1028 CXS - CSN N0-00334618/CC-IAI/24</t>
  </si>
  <si>
    <t>NF 279320 - EMCU5303136 - 1042 CXS - CSN N0-00330423/CC-IAI/24</t>
  </si>
  <si>
    <t>35240767620377000114550010002803931008139212</t>
  </si>
  <si>
    <t>NF 279329 - MWCU6711974 - 1052 CXS - CSN N0-00329229/CC-IAI/24</t>
  </si>
  <si>
    <t>NF 279349 - MWCU6658890 - 1059 CXS - CSN N0-00330363/CC-IAI/24</t>
  </si>
  <si>
    <t>NF 279517 - MWCU6677885 - 1041 CXS - CSN N0-00332291/CC-IAI/24</t>
  </si>
  <si>
    <t>NF 279741 - MWCU6676620 - 1023 CXS - CSN N0-00342116/CC-IAI/24</t>
  </si>
  <si>
    <t>NF 279980 - REAU9099432 - 1048 CXS - CSN N0-00348081/CC-IAI/24</t>
  </si>
  <si>
    <t>NF 280007 - MSWU0005312 - 1007 CXS - CSN N0-00326208/CC-IAI/24</t>
  </si>
  <si>
    <t>SO/3100-20X - MINERVA S/A - ROLIM DE MOURA - CNPJ. 67.620.377/0074-70</t>
  </si>
  <si>
    <t>LPCO.: E2400395803</t>
  </si>
  <si>
    <t>DU-E.: 24BR0012602777</t>
  </si>
  <si>
    <t>RUC: 4BR676203772LPL0869024</t>
  </si>
  <si>
    <t>BL.:  ABITAKAL004</t>
  </si>
  <si>
    <t>500 PALLETS COM O TOTAL DE 12.507,00 KG</t>
  </si>
  <si>
    <t>NF 50730 - MWCU6260910 - 1075 CXS - CSN N0-00330205/CC-IAI/24</t>
  </si>
  <si>
    <t>NF 50735 - PONU4864043 - 1095 CXS - CSN N0-00330546/CC-IAI/24</t>
  </si>
  <si>
    <t>NF EXPORTAÇÃO.:  51334</t>
  </si>
  <si>
    <t>NF 50777 - MWCU5250796 - 1079 CXS - CSN N0-00333112/CC-IAI/24</t>
  </si>
  <si>
    <t>NF 50778 - PONU4931075 - 1096 CXS - CSN N0-00333092/CC-IAI/24</t>
  </si>
  <si>
    <t>11240767620377007470550010000513341002011447</t>
  </si>
  <si>
    <t>NF 50780 - SUDU5156720 - 1099 CXS - CSN N0-00333297/CC-IAI/24</t>
  </si>
  <si>
    <t>NF 50781 - SUDU6131141 - 1091 CXS - CSN N0-00333279/CC-IAI/24</t>
  </si>
  <si>
    <t>NF 50794 - MWCU5294618 - 1087 CXS - CSN N0-00333091/CC-IAI/24</t>
  </si>
  <si>
    <t>NF 50795 - MWMU6369183 - 1081 CXS - CSN N0-00332561/CC-IAI/24</t>
  </si>
  <si>
    <t>NF 50796 - EMCU5303840 - 1097 CXS - CSN N0-00333099/CC-IAI/24</t>
  </si>
  <si>
    <t>NF 50797 - MWMU6401407 - 1057 CXS - CSN N0-00333096/CC-IAI/24</t>
  </si>
  <si>
    <t>NF 50835 - SUDU5231721 - 1212 CXS - CSN N0-00332320/CC-IAI/24</t>
  </si>
  <si>
    <t>NF 50838 - SUDU6083552 - 1070 CXS - CSN N0-00333093/CC-IAI/24</t>
  </si>
  <si>
    <t>NF 50839 - MNBU0041847 - 1086 CXS - CSN N0-00333113/CC-IAI/24</t>
  </si>
  <si>
    <t>NF 50840 - SUDU6186930 - 1044 CXS - CSN N0-00333106/CC-IAI/24</t>
  </si>
  <si>
    <t>NF 50909 - PONU4879341 - 1085 CXS - CSN N0-00338198/CC-IAI/24</t>
  </si>
  <si>
    <t>NF 50986 - MNBU0011396 - 1067 CXS - CSN N0-00343539/CC-IAI/24</t>
  </si>
  <si>
    <t>NF 50987 - SUDU5113821 - 1083 CXS - CSN N0-00343565/CC-IAI/24</t>
  </si>
  <si>
    <t>NF 50988 - MWCU6552152 - 1090 CXS - CSN N0-00343522/CC-IAI/24</t>
  </si>
  <si>
    <t>NF 51049 - REAU0018759 - 1095 CXS - CSN N0-00344501/CC-IAI/24</t>
  </si>
  <si>
    <t>NF 51050 - SZLU9087107 - 1093 CXS - CSN N0-00344430/CC-IAI/24</t>
  </si>
  <si>
    <t>NF 51051 - REAU6995292 - 1083 CXS - CSN N0-00344324/CC-IAI/24</t>
  </si>
  <si>
    <t>NF 51053 - SZLU9613372 - 1082 CXS - CSN N0-00344584/CC-IAI/24</t>
  </si>
  <si>
    <t>NF 51054 - REAU5078391 - 1068 CXS - CSN N0-00346427/CC-IAI/24</t>
  </si>
  <si>
    <t>SO/3100-24X - MINERVA S/A - JOSE BONIFACIO - CNPJ. 67.620.377/0003-86</t>
  </si>
  <si>
    <t>LPCO.: E2400395817</t>
  </si>
  <si>
    <t>DU-E.: 24BR0012607957</t>
  </si>
  <si>
    <t>RUC: 4BR676203772LPL0869424</t>
  </si>
  <si>
    <t>BL.:  ABITAKAL008</t>
  </si>
  <si>
    <t>87 PALLETS COM O TOTAL DE 2.163,00 KG</t>
  </si>
  <si>
    <t>NF 168300 - MWCU6556862 - 1054 CXS - CSN N0-00330472/CC-IAI/24</t>
  </si>
  <si>
    <t>NF 168337 - MWCU6958922 - 1108 CXS - CSN N0-00332587/CC-IAI/24</t>
  </si>
  <si>
    <t>NF EXPORTAÇÃO.:  168888</t>
  </si>
  <si>
    <t>NF 168339 - MWMU6310930 - 1057 CXS - CSN N0-00332506/CC-IAI/24</t>
  </si>
  <si>
    <t>NF 168531 - MSWU0064207 - 1107 CXS - CSN N0-00343577/CC-IAI/24</t>
  </si>
  <si>
    <t>35240767620377000386550010001688881005285241</t>
  </si>
  <si>
    <t>SO/3100-22X - MINERVA S/A - JANAUBA - CNPJ. 67.620.377/0061-55</t>
  </si>
  <si>
    <t>LPCO.: E2400395811</t>
  </si>
  <si>
    <t>DU-E.: 24BR0012605024</t>
  </si>
  <si>
    <t>RUC: 4BR676203772LPL0869224</t>
  </si>
  <si>
    <t>BL.:  ABITAKAL006</t>
  </si>
  <si>
    <t>NF 55846 - MWMU6390391 - 1040 CXS - CSN N0-00330448/CC-IAI/24</t>
  </si>
  <si>
    <t>NF 55868 - EMCU5297820 - 1054 CXS - CSN N0-00330279/CC-IAI/24</t>
  </si>
  <si>
    <t>125 PALLETS COM O TOTAL DE 3.120,00 KG</t>
  </si>
  <si>
    <t>NF 55871 - MWCU5308769 - 1048 CXS - CSN N0-00332472/CC-IAI/24</t>
  </si>
  <si>
    <t>NF 55901 - MWCU6706031 - 1036 CXS - CSN N0-00332405/CC-IAI/24</t>
  </si>
  <si>
    <t>NF EXPORTAÇÃO.:  56232</t>
  </si>
  <si>
    <t>NF 55974 - EGHU5002333 - 1007 CXS - CSN N0-00342186/CC-IAI/24</t>
  </si>
  <si>
    <t>NF 55978 - WGMU5025447 - 1056 CXS - CSN N0-00342156/CC-IAI/24</t>
  </si>
  <si>
    <t>31240767620377006155550010000562321001594589</t>
  </si>
  <si>
    <t>DATA.: 09/10/24</t>
  </si>
  <si>
    <t>LISTA DE CARGA  -  MV FEGULUS - MINERVA S/A</t>
  </si>
  <si>
    <t>SO/3613-1 - MINERVA S/A - SANTOS - CNPJ. 67.620.377/0083-60</t>
  </si>
  <si>
    <t>DESTINO: RUSSIA / SIF 431-1940</t>
  </si>
  <si>
    <t>LPCO.: E2400513241</t>
  </si>
  <si>
    <t>DU-E.: 24BR0017237147</t>
  </si>
  <si>
    <t>83577 - FROZEN BONELLES BEEF ROBBED TRIMMING 80 VL BP</t>
  </si>
  <si>
    <t>CARNE CONG. DE BOV. S/O RECORTE</t>
  </si>
  <si>
    <t>RUC: 4BR676203772LPL1158024</t>
  </si>
  <si>
    <t>BL.:  FITJKAL031</t>
  </si>
  <si>
    <t>NF 12199 - 1072 CXS - SUDU6235001 - CSI I0-00465298/CC-STS/24</t>
  </si>
  <si>
    <t>20 PALLETS COM O TOTAL DE 568,69 KG</t>
  </si>
  <si>
    <t>NF EXPORTAÇÃO.:  12199</t>
  </si>
  <si>
    <t>35240967620377008360550010000121991000124370</t>
  </si>
  <si>
    <t>SO/3613-4 - MINERVA S/A - SANTOS - CNPJ. 67.620.377/0083-60</t>
  </si>
  <si>
    <t>LPCO.: E2400513607</t>
  </si>
  <si>
    <t>DU-E.: 24BR0017234105</t>
  </si>
  <si>
    <t>RUC: 4BR676203772LPL1158224</t>
  </si>
  <si>
    <t>BL.:  FITJKAL032</t>
  </si>
  <si>
    <t>NF 12205 - 1077 CXS - MWCU6763999 - CSI I0-00465369/CC-STS/24</t>
  </si>
  <si>
    <t>20 PALLETS COM O TOTAL DE 663,00 KG</t>
  </si>
  <si>
    <t>NF EXPORTAÇÃO.:  12205</t>
  </si>
  <si>
    <t>35240967620377008360550010000122051000124425</t>
  </si>
  <si>
    <t>SO/3430-22X - MINERVA S/A - ROLIM DE MOURA - CNPJ. 67.620.377/0074-70</t>
  </si>
  <si>
    <t>LPCO.: E2400</t>
  </si>
  <si>
    <t>DU-E.: 24BR0017017562</t>
  </si>
  <si>
    <t>RUC: 4BR676203772LPL1158324</t>
  </si>
  <si>
    <t>BL.:  FITJKAL033</t>
  </si>
  <si>
    <t>589 PALLETS COM O TOTAL DE 11.191,00 KG</t>
  </si>
  <si>
    <t>NF 52408 - 1055 CXS - SUDU6054507 - CSN N0-00438288/CC-IAI/24</t>
  </si>
  <si>
    <t>NF 52410 - 1073 CXS - MWCU6652207 - CSN N0-00438131/CC-IAI/24</t>
  </si>
  <si>
    <t>NF EXPORTAÇÃO.:  52985</t>
  </si>
  <si>
    <t>NF 52489 - 1080 CXS - PONU4931075 - CSN N0-00444868/CC-IAI/24</t>
  </si>
  <si>
    <t>NF 52577 - 1091 CXS - MWCU6552152 - CSN N0-00450634/CC-IAI/24</t>
  </si>
  <si>
    <t>11240967620377007470550010000529851002074396</t>
  </si>
  <si>
    <t>NF 52613 - 1082 CXS - SUDU5231721 - CSN N0-00473651/CC-IAI/24</t>
  </si>
  <si>
    <t>NF 52616 - 1066 CXS - PONU4864043 - CSN N0-00455419/CC-IAI/24</t>
  </si>
  <si>
    <t>NF 52617 - 1076 CXS - SUDU6106679 - CSN N0-00455404/CC-IAI/24</t>
  </si>
  <si>
    <t>NF 52669 - 1062 CXS - CCLU8617222 - CSN N0-00455308/CC-IAI/24</t>
  </si>
  <si>
    <t>NF 52670 - 1082 CXS - MWCU6686845 - CSN N0-00458718/CC-IAI/24</t>
  </si>
  <si>
    <t>NF 52671 - 1082 CXS - MSWU0051154 - CSN N0-00454006/CC-IAI/24</t>
  </si>
  <si>
    <t>NF 52673 - 1083 CXS - MSWU1001693 - CSN N0-00455366/CC-IAI/24</t>
  </si>
  <si>
    <t>NF 52678 - 1071 CXS - PONU4849563 - CSN N0-00455277/CC-IAI/24</t>
  </si>
  <si>
    <t>NF 52684 - 1104 CXS - PONU4957790 - CSN N0-00455775/CC-IAI/24</t>
  </si>
  <si>
    <t>NF 52692 - 1079 CXS - MWCU7008159 - CSN N0-00454678/CC-IAI/24</t>
  </si>
  <si>
    <t>NF 52696 - 1075 CXS - SUDU5286107 - CSN N0-00454559/CC-IAI/24</t>
  </si>
  <si>
    <t>NF 52697 - 1081 CXS - MWMU6320814 - CSN N0-00458818/CC-IAI/24</t>
  </si>
  <si>
    <t>NF 52719 - 1074 CXS - MWCU5239605 - CSN N0-00459036/CC-IAI/24</t>
  </si>
  <si>
    <t>NF 52720 - 1080 CXS - SZLU9613372 - CSN N0-00458702/CC-IAI/24</t>
  </si>
  <si>
    <t>NF 52721 - 1079 CXS - MWMU6433913 - CSN N0-00458682/CC-IAI/24</t>
  </si>
  <si>
    <t>NF 52723 - 1064 CXS - REAU6199530 - CSN N0-00462639/CC-IAI/24</t>
  </si>
  <si>
    <t>NF 52724 - 1075 CXS - CXRU1587937 - CSN N0-00458671/CC-IAI/24</t>
  </si>
  <si>
    <t>NF 52725 - 1091 CXS - MSWU0005312 - CSN N0-00455380/CC-IAI/24</t>
  </si>
  <si>
    <t>NF 52726 - 1071 CXS - SZLU9087107 - CSN N0-00459064/CC-IAI/24</t>
  </si>
  <si>
    <t>NF 52727 - 1080 CXS - REAU6995292 - CSN N0-00459077/CC-IAI/24</t>
  </si>
  <si>
    <t>NF 52728 - 1073 CXS - REAU9294228 - CSN N0-00458626/CC-IAI/24</t>
  </si>
  <si>
    <t>NF 52733 - 1047 CXS - REAU9099432 - CSN N0-00460042/CC-IAI/24</t>
  </si>
  <si>
    <t>NF 52735 - 1076 CXS - REAU9188627 - CSN N0-00460060/CC-IAI/24</t>
  </si>
  <si>
    <t>NF 52736 - 1062 CXS - MWCU6672707 - CSN N0-00455328/CC-IAI/24</t>
  </si>
  <si>
    <t>NF 52751 - 1043 CXS - REAU6121764 - CSN N0-00463049/CC-IAI/24</t>
  </si>
  <si>
    <t>SO/3615-10X - MINERVA S/A - ROLIM DE MOURA - CNPJ. 67.620.377/0074-70</t>
  </si>
  <si>
    <t>DU-E.: 24BR0017022884</t>
  </si>
  <si>
    <t>RUC: 4BR676203772LPL1158524</t>
  </si>
  <si>
    <t>BL.:  FITJKAL034</t>
  </si>
  <si>
    <t>61 PALLETS COM O TOTAL DE 1.159,00 KG</t>
  </si>
  <si>
    <t>NF 52683 - 1070 CXS - PONU4880234 - CSN N0-00453984/CC-IAI/24</t>
  </si>
  <si>
    <t>NF 52688 - 1039 CXS - MSWU9074567 - CSN N0-00454729/CC-IAI/24</t>
  </si>
  <si>
    <t>NF EXPORTAÇÃO.:  53010</t>
  </si>
  <si>
    <t>NF 52693 - 1081 CXS - MWCU5246815 - CSN N0-00473646/CC-IAI/24</t>
  </si>
  <si>
    <t>11240967620377007470550010000530101002075346</t>
  </si>
  <si>
    <t>SO/3430-23X - MINERVA S/A - PALMEIRAS DE GOIAS - CNPJ. 67.620.377/0004-67</t>
  </si>
  <si>
    <t>DU-E.: 24BR0017037881</t>
  </si>
  <si>
    <t>RUC: 4BR676203772LPL1158624</t>
  </si>
  <si>
    <t>BL.:  FITJKAL035</t>
  </si>
  <si>
    <t>452 PALLETS COM O TOTAL DE 8.588,00 KG</t>
  </si>
  <si>
    <r>
      <rPr>
        <rFont val="Arial"/>
        <b/>
        <color rgb="FF000000"/>
        <sz val="9.0"/>
      </rPr>
      <t>NF 589469 - 1105 CXS - WGMU5010684 - CSN N0-00</t>
    </r>
    <r>
      <rPr>
        <rFont val="Arial"/>
        <b/>
        <color rgb="FF000000"/>
        <sz val="9.0"/>
      </rPr>
      <t>444845</t>
    </r>
    <r>
      <rPr>
        <rFont val="Arial"/>
        <b/>
        <color rgb="FF000000"/>
        <sz val="9.0"/>
      </rPr>
      <t>/CC-IAI/24</t>
    </r>
  </si>
  <si>
    <r>
      <rPr>
        <rFont val="Arial"/>
        <b/>
        <color rgb="FF000000"/>
        <sz val="9.0"/>
      </rPr>
      <t>NF 589541 - 1094 CXS - EGSU5008931 - CSN N0-00</t>
    </r>
    <r>
      <rPr>
        <rFont val="Arial"/>
        <b/>
        <color rgb="FF000000"/>
        <sz val="9.0"/>
      </rPr>
      <t>452026</t>
    </r>
    <r>
      <rPr>
        <rFont val="Arial"/>
        <b/>
        <color rgb="FF000000"/>
        <sz val="9.0"/>
      </rPr>
      <t>/CC-IAI/24</t>
    </r>
  </si>
  <si>
    <t>NF EXPORTAÇÃO.:  590518</t>
  </si>
  <si>
    <t>NF 589543 - 1093 CXS - SUDU5152181 - CSN N0-00452088/CC-IAI/24</t>
  </si>
  <si>
    <t>NF 589583 - 1107 CXS - MWCU6950731 - CSN N0-00450599/CC-IAI/24</t>
  </si>
  <si>
    <t>52240967620377000467550010005905181012785861</t>
  </si>
  <si>
    <t>NF 589584 - 1093 CXS - EGHU5002333 - CSN N0-00450580/CC-IAI/24</t>
  </si>
  <si>
    <t>NF 589585 - 1102 CXS - MSWU0019928 - CSN N0-00463250/CC-IAI/24</t>
  </si>
  <si>
    <t>NF 589586 - 1105 CXS - MWCU6711974 - CSN N0-00451950/CC-IAI/24</t>
  </si>
  <si>
    <t>NF 589587 - 1096 CXS - WGMU5025447 - CSN N0-00451929/CC-IAI/24</t>
  </si>
  <si>
    <t>NF 589622 - 1107 CXS - MSWU4000052 - CSN N0-00450497/CC-IAI/24</t>
  </si>
  <si>
    <t>NF 589623 - 1095 CXS - EMCU5297820 - CSN N0-00450507/CC-IAI/24</t>
  </si>
  <si>
    <t>NF 589681 - 1100 CXS - SUDU5113821 - CSN N0-00452143/CC-IAI/24</t>
  </si>
  <si>
    <t>NF 589688 - 1110 CXS - MWCU6676620 - CSN N0-00452876/CC-IAI/24</t>
  </si>
  <si>
    <t>NF 589691 - 1108 CXS - MWCU6706031 - CSN N0-00452857/CC-IAI/24</t>
  </si>
  <si>
    <t>NF 589864 - 1104 CXS - PONU4879341 - CSN N0-00453999/CC-IAI/24</t>
  </si>
  <si>
    <t>NF 589867 - 1105 CXS - MSWU9048207 - CSN N0-00454000/CC-IAI/24</t>
  </si>
  <si>
    <t>NF 589869 - 1119 CXS - MWMU6338388 - CSN N0-00455346/CC-IAI/24</t>
  </si>
  <si>
    <t>NF 589870 - 1077 CXS - MWCU6260910 - CSN N0-00453988/CC-IAI/24</t>
  </si>
  <si>
    <t>NF 589871 - 1058 CXS - SUDU5120013 - CSN N0-00453986/CC-IAI/24</t>
  </si>
  <si>
    <t>PARTE LOTE - NF 589873 - 1037 CXS - MNBU0011396 - CSN N0-00453993/CC-IAI/24</t>
  </si>
  <si>
    <t>NF 589879 - 1030 CXS - MSWU1007900 - CSN N0-00455709/CC-IAI/24</t>
  </si>
  <si>
    <t>NF 589942 - 1088 CXS - REAU0018759 - CSN N0-00459931/CC-IAI/24</t>
  </si>
  <si>
    <t>NF 589943 - 1110 CXS - REAU5078391 - CSN N0-00458794/CC-IAI/24</t>
  </si>
  <si>
    <t>SO/3615-8X - MINERVA S/A - PALMEIRAS DE GOIAS - CNPJ. 67.620.377/0004-67</t>
  </si>
  <si>
    <t>DU-E.: 24BR0017044985</t>
  </si>
  <si>
    <t>RUC: 4BR676203772LPL1158824</t>
  </si>
  <si>
    <t>BL.:  FITJKAL036</t>
  </si>
  <si>
    <t>104 PALLETS COM O TOTAL DE 1.976,00 KG</t>
  </si>
  <si>
    <t>NF 589625 - 1074 CXS - MWCU6858008 - CSN N0-00450528/CC-IAI/24</t>
  </si>
  <si>
    <t>NF 589626 - 1113 CXS - MWCU6677885 - CSN N0-00453060/CC-IAI/24</t>
  </si>
  <si>
    <t>NF EXPORTAÇÃO.:  590562</t>
  </si>
  <si>
    <t>NF 589627 - 1118 CXS - MWCU6678639 - CSN N0-00452904/CC-IAI/24</t>
  </si>
  <si>
    <t>NF 589694 - 1064 CXS - MSWU0064207 - CSN N0-00453004/CC-IAI/24</t>
  </si>
  <si>
    <t>52240967620377000467550010005905621012786904</t>
  </si>
  <si>
    <t>NF 589882 - 1100 CXS - MWCU6556862 - CSN N0-00454696/CC-IAI/24</t>
  </si>
  <si>
    <t>SO/3612-18R - MINERVA S/A - PALMEIRAS DE GOIAS - CNPJ. 67.620.377/0004-67</t>
  </si>
  <si>
    <t>DU-E.: 24BR0017024186</t>
  </si>
  <si>
    <t xml:space="preserve">86656 - FROZEN BONELLES BEEF FLANK WITH SHORT PLATE </t>
  </si>
  <si>
    <t>CARNE CONG. DE BOV. S/O PONTA DA AGULHA</t>
  </si>
  <si>
    <t>RUC: 4BR676203772LPL1169724</t>
  </si>
  <si>
    <t>BL.:  FITJKAL037</t>
  </si>
  <si>
    <t>NF 590380 - 1155 CXS - REAU5233815 - CSN N0-00476097/CC-IAI/24</t>
  </si>
  <si>
    <t>21 PALLETS COM O TOTAL DE 399,00 KG</t>
  </si>
  <si>
    <t xml:space="preserve">NF EXPORTAÇÃO.: 591061  </t>
  </si>
  <si>
    <t>52241067620377000467550010005910611012802381</t>
  </si>
  <si>
    <t>SO/3430-24X - MINERVA S/A - JOSE BONIFACIO - CNPJ. 67.620.377/0003-86</t>
  </si>
  <si>
    <t>DU-E.: 24BR0017019417</t>
  </si>
  <si>
    <t>RUC: 4BR676203772LPL1158924</t>
  </si>
  <si>
    <t>BL.:  FITJKAL038</t>
  </si>
  <si>
    <t>105 PALLETS COM O TOTAL DE 1.995,00 KG</t>
  </si>
  <si>
    <t>NF 170021 - 1125 CXS - MWCU5250796 - CSN N0-00438270/CC-IAI/24</t>
  </si>
  <si>
    <t>NF 170103 - 1120 CXS - MWMU6369183 - CSN N0-00444813/CC-IAI/24</t>
  </si>
  <si>
    <t>NF EXPORTAÇÃO.:  170638</t>
  </si>
  <si>
    <t>NF 170151 - 1113 CXS - MNBU0023972 - CSN N0-00467968/CC-IAI/24</t>
  </si>
  <si>
    <t>NF 170292 - 1145 CXS - MWMU6377717 - CSN N0-00454004/CC-IAI/24</t>
  </si>
  <si>
    <t>35240967620377000386550010001706381005311961</t>
  </si>
  <si>
    <t>NF 170318 - 1134 CXS - REAU5150958 - CSN N0-00458740/CC-IAI/24</t>
  </si>
  <si>
    <t>SO/3615-12X - MINERVA S/A - JOSE BONIFACIO - CNPJ. 67.620.377/0003-86</t>
  </si>
  <si>
    <t>DU-E.: 24BR0017049944</t>
  </si>
  <si>
    <t>RUC: 4BR676203772LPL1159024</t>
  </si>
  <si>
    <t>BL.:  FITJKAL039</t>
  </si>
  <si>
    <t>42 PALLETS COM O TOTAL DE 798,00 KG</t>
  </si>
  <si>
    <t>NF 170206- 1135 CXS - SUDU6131141 - CSN N0-00452166/CC-IAI/24</t>
  </si>
  <si>
    <t>NF 170305 - 1104 CXS - MWCU6950860 - CSN N0-00457035/CC-IAI/24</t>
  </si>
  <si>
    <t>NF EXPORTAÇÃO.:  170643</t>
  </si>
  <si>
    <t>35240967620377000386550010001706431005312038</t>
  </si>
  <si>
    <t>SO/3612-16R - MINERVA S/A - JOSE BONIFACIO - CNPJ. 67.620.377/0003-86</t>
  </si>
  <si>
    <t>DU-E.: 24BR0017034211</t>
  </si>
  <si>
    <t>RUC: 4BR676203772LPL1170024</t>
  </si>
  <si>
    <t>BL.:  FITJKAL040</t>
  </si>
  <si>
    <t>NF 170399 - 1155 CXS - REAU9096541 - CSN N0-00464072/CC-IAI/24</t>
  </si>
  <si>
    <t>NF 170453 - 1155 CXS - REAU9102602 - CSN N0-00468018/CC-IAI/24</t>
  </si>
  <si>
    <t>47 PALLETS COM O TOTAL DE 893,00 KG</t>
  </si>
  <si>
    <t>NF EXPORTAÇÃO.:  170948</t>
  </si>
  <si>
    <t>35241067620377000386550010001709481005316222</t>
  </si>
  <si>
    <t>SO/3613-2 - MINERVA S/A - JOSE BONIFACIO - CNPJ. 67.620.377/0003-86</t>
  </si>
  <si>
    <t>DU-E.: 24BR0017055626</t>
  </si>
  <si>
    <t>83577 - FROZEN BONELLES BEEF - TRIMMING 80 VL BP</t>
  </si>
  <si>
    <t>RUC: 4BR676203772LPL1159124</t>
  </si>
  <si>
    <t>BL.:  FITJKAL041</t>
  </si>
  <si>
    <t>NF 170456 - 1070 CXS - GESU9241894 - CSN N0-00468218/CC-IAI/24</t>
  </si>
  <si>
    <t>20 PALLETS COM O TOTAL DE 380,00 KG</t>
  </si>
  <si>
    <t>NF EXPORTAÇÃO.:  170644</t>
  </si>
  <si>
    <t>35240967620377000386550010001706441005312051</t>
  </si>
  <si>
    <t>SO/3430-25X - MINERVA S/A - JANAUBA - CNPJ. 67.620.377/0061-55</t>
  </si>
  <si>
    <t>DU-E.: 24BR0017041196</t>
  </si>
  <si>
    <t>RUC: 4BR676203772LPL1159324</t>
  </si>
  <si>
    <t>BL.:  FITJKAL042</t>
  </si>
  <si>
    <t>NF 56988 - 1091 CXS - MNBU0041847 - CSN N0-00453278/CC-IAI/24</t>
  </si>
  <si>
    <t>NF 56991 - 1082 CXS - SUDU6083552 - CSN N0-00453290/CC-IAI/24</t>
  </si>
  <si>
    <t>81 PALLETS COM O TOTAL DE 1.539,00 KG</t>
  </si>
  <si>
    <t>NF 57099 - 1063 CXS - MWCU6967879 - CSN N0-00454002/CC-IAI/24</t>
  </si>
  <si>
    <t>NF 57126 - 1073 CXS - SZLU9079550 - CSN N0-00458762/CC-IAI/24</t>
  </si>
  <si>
    <t>NF EXPORTAÇÃO.:  57343</t>
  </si>
  <si>
    <t>31240967620377006155550010000573431001633542</t>
  </si>
  <si>
    <t>SO/3430-26X - MINERVA S/A - MIRASSOL DO OESTE - CNPJ. 67.620.377/0062-36</t>
  </si>
  <si>
    <t>DU-E.: 24BR0017035366</t>
  </si>
  <si>
    <t>RUC: 4BR676203772LPL1159424</t>
  </si>
  <si>
    <t>BL.:  FITJKAL043</t>
  </si>
  <si>
    <t>82 PALLETS COM O TOTAL DE 1.558,00 KG</t>
  </si>
  <si>
    <r>
      <rPr>
        <rFont val="Arial"/>
        <b/>
        <color rgb="FF000000"/>
        <sz val="9.0"/>
      </rPr>
      <t>NF 57603 - 1086 CXS - MWCU6883361 - CSN N0-00</t>
    </r>
    <r>
      <rPr>
        <rFont val="Arial"/>
        <b/>
        <color rgb="FF000000"/>
        <sz val="9.0"/>
      </rPr>
      <t>439929</t>
    </r>
    <r>
      <rPr>
        <rFont val="Arial"/>
        <b/>
        <color rgb="FF000000"/>
        <sz val="9.0"/>
      </rPr>
      <t>/CC-IAI/24</t>
    </r>
  </si>
  <si>
    <t>NF 57934 - 1058 CXS - REAU6587074 - CSN N0-00460105/CC-IAI/24</t>
  </si>
  <si>
    <t>NF EXPORTAÇÃO.:  58289</t>
  </si>
  <si>
    <t>NF 57939 - 1059 CXS - MWMU6310930 - CSN N0-00456963/CC-IAI/24</t>
  </si>
  <si>
    <t>NF 57976 - 1082 CXS - REAU5749910 - CSN N0-00462585/CC-IAI/24</t>
  </si>
  <si>
    <t>51240967620377006236550010000582891001335782</t>
  </si>
  <si>
    <t>SO/3612-17R - MINERVA S/A - MIRASSOL DO OESTE - CNPJ. 67.620.377/0062-36</t>
  </si>
  <si>
    <t>DU-E.: 24BR0017027126</t>
  </si>
  <si>
    <t>RUC: 4BR676203772LPL1169924</t>
  </si>
  <si>
    <t>BL.:  FITJKAL044</t>
  </si>
  <si>
    <t>NF 58086 - 1155 CXS - REAU6306346 - CSN N0-00480031/CC-IAI/24</t>
  </si>
  <si>
    <t>NF 58218 - 1155 CXS - REAU4974958 - CSN N0-00477460/CC-IAI/24</t>
  </si>
  <si>
    <t>64 PALLETS COM O TOTAL DE 1.406,00 KG</t>
  </si>
  <si>
    <t>NF 58244 - 1155 CXS - REAU5856522 - CSN N0-00480031/CC-IAI/24</t>
  </si>
  <si>
    <t>NF EXPORTAÇÃO.:  58550</t>
  </si>
  <si>
    <t>51241067620377006236550010000585501001342233</t>
  </si>
  <si>
    <t>SO/3615-9X - MINERVA S/A - MIRASSOL DO OESTE - CNPJ. 67.620.377/0062-36</t>
  </si>
  <si>
    <t>DU-E.: 24BR0017046279</t>
  </si>
  <si>
    <t>RUC: 4BR676203772LPL1159524</t>
  </si>
  <si>
    <t>BL.:  FITJKAL045</t>
  </si>
  <si>
    <t>NF 57783 - 1065 CXS - MSWU0039293 - CSN N0-00450408/CC-IAI/24</t>
  </si>
  <si>
    <r>
      <rPr>
        <rFont val="Arial"/>
        <b/>
        <color rgb="FF000000"/>
        <sz val="9.0"/>
      </rPr>
      <t>NF 57893 - 1074 CXS - EMCU5303840 - CSN N0-00457008/CC-IAI/24</t>
    </r>
  </si>
  <si>
    <t>NF EXPORTAÇÃO.:  58292</t>
  </si>
  <si>
    <t>NF 57897 - 1056 CXS - MSWU9023209 - CSN N0-00455473/CC-IAI/24</t>
  </si>
  <si>
    <t>NF 57908 - 1051 CXS - SUDU6071398 - CSN N0-00457055/CC-IAI/24</t>
  </si>
  <si>
    <t>51240967620377006236550010000582921001335869</t>
  </si>
  <si>
    <t>SO/3430-27X - MINERVA S/A - BARRETOS - CNPJ. 67.620.377/0001-14</t>
  </si>
  <si>
    <t>DU-E.: 24BR0017043318</t>
  </si>
  <si>
    <t>RUC: 4BR676203772LPL1159624</t>
  </si>
  <si>
    <t>BL.:  FITJKAL046</t>
  </si>
  <si>
    <t>102 PALLETS COM O TOTAL DE 1.938,00 KG</t>
  </si>
  <si>
    <t>NF 282739 - 1030 CXS - EMCU5303136 - CSN N0-00438153/CC-IAI/24</t>
  </si>
  <si>
    <t>NF 282896 - 992 CXS - MWMU6401407 - CSN N0-00446966/CC-IAI/24</t>
  </si>
  <si>
    <t>NF EXPORTAÇÃO.:  284016</t>
  </si>
  <si>
    <t>NF 282904 - 1035 CXS - MWCU6753460 - CSN N0-00452113/CC-IAI/24</t>
  </si>
  <si>
    <t>NF 282975 - 1038 CXS - SUDU5142687 - CSN N0-00451980/CC-IAI/24</t>
  </si>
  <si>
    <t>35240967620377000114550010002840161008191192</t>
  </si>
  <si>
    <t>NF 283030 - 1033 CXS - MWCU6720580 - CSN N0-00452060/CC-IAI/24</t>
  </si>
  <si>
    <t>SO/3615-13X - MINERVA S/A - BARRETOS - CNPJ. 67.620.377/0001-14</t>
  </si>
  <si>
    <t>DU-E.: 24BR0017051590</t>
  </si>
  <si>
    <t>RUC: 4BR676203772LPL1120724</t>
  </si>
  <si>
    <t>BL.:  FITJKAL047</t>
  </si>
  <si>
    <t>41 PALLETS COM O TOTAL DE 779,00 KG</t>
  </si>
  <si>
    <t>NF 283274 - 1038 CXS - MWCU6767037 - CSN N0-00454791/CC-IAI/24</t>
  </si>
  <si>
    <t>NF 283302 - 1026 CXS - REAU6096975 - CSN N0-00458647/CC-IAI/24</t>
  </si>
  <si>
    <t>NF EXPORTAÇÃO.:  284020</t>
  </si>
  <si>
    <t>35240967620377000114550010002840201008191250</t>
  </si>
  <si>
    <t>SO/3430-28X - MINERVA S/A - PARANATINGA - CNPJ. 67.620.377/0080-18</t>
  </si>
  <si>
    <t>DU-E.: 24BR0017054050</t>
  </si>
  <si>
    <t>RUC: 4BR676203772LPL1159824</t>
  </si>
  <si>
    <t>BL.:  FITJKAL048</t>
  </si>
  <si>
    <t>NF 34358 - 1047 CXS - PONU4928451 - CSN N0-00452931/CC-IAI/24</t>
  </si>
  <si>
    <t>NF 34359 - 1072 CXS - MWCU6668899 - CSN N0-00452978/CC-IAI/24</t>
  </si>
  <si>
    <t>NF EXPORTAÇÃO.:  34786</t>
  </si>
  <si>
    <t>NF 34469 - 1105 CXS - REAU6840330 - CSN N0-00459994/CC-IAI/24</t>
  </si>
  <si>
    <t>51240967620377008018550010000347861001383170</t>
  </si>
  <si>
    <t>SO/3615-14X - MINERVA S/A - PARANATINGA - CNPJ. 67.620.377/0080-18</t>
  </si>
  <si>
    <t>DU-E.: 24BR0017028971</t>
  </si>
  <si>
    <t>RUC: 4BR676203772LPL1159924</t>
  </si>
  <si>
    <t>BL.:  FITJKAL049</t>
  </si>
  <si>
    <t>NF 34451 - 1090 CXS - MWCU6958922 - CSN N0-00473648/CC-IAI/24</t>
  </si>
  <si>
    <t>NF EXPORTAÇÃO.:  34787</t>
  </si>
  <si>
    <t>51240967620377008018550010000347871001383194</t>
  </si>
  <si>
    <t>SO/3612-19R - MINERVA S/A - PARANATINGA - CNPJ. 67.620.377/0080-18</t>
  </si>
  <si>
    <t>DU-E.: 24BR0017033550</t>
  </si>
  <si>
    <t>RUC: 4BR676203772LPL1169624</t>
  </si>
  <si>
    <t>BL.:  FITJKAL050</t>
  </si>
  <si>
    <t>NF 34550 - 1155 CXS - REAU0028211 - CSN N0-00466136/CC-IAI/24</t>
  </si>
  <si>
    <t>NF 34716 - 1155 CXS - REAU6119828 - CSN N0-00477445/CC-IAI/24</t>
  </si>
  <si>
    <t>71 PALLETS COM O TOTAL DE 1.349,00 KG</t>
  </si>
  <si>
    <t>NF 34718 - 1070 CXS - REAU9068154 - CSN N0-00477454/CC-IAI/24</t>
  </si>
  <si>
    <t>NF EXPORTAÇÃO.:  34990</t>
  </si>
  <si>
    <t>51241067620377008018550010000349901001388770</t>
  </si>
  <si>
    <t>SO/3430-29X - MINERVA S/A - ARAGUAINA - CNPJ. 67.620.377/0018-62</t>
  </si>
  <si>
    <t>DU-E.: 24BR0017039302</t>
  </si>
  <si>
    <t>RUC: 4BR676203772LPL1160024</t>
  </si>
  <si>
    <t>BL.:  FITJKAL051</t>
  </si>
  <si>
    <t>84 PALLETS COM O TOTAL DE 1.596,00 KG</t>
  </si>
  <si>
    <t>NF 164027 - 1165 CXS - MWCU6880439 - CSN N0-00453293/CC-IAI/24</t>
  </si>
  <si>
    <t>NF 164028 - 1187 CXS - MWCU5244746 - CSN N0-00452950/CC-IAI/24</t>
  </si>
  <si>
    <t>NF EXPORTAÇÃO.:  164387</t>
  </si>
  <si>
    <t>NF 164032 - 1158 CXS - MWCU5308769 - CSN N0-00453270/CC-IAI/24</t>
  </si>
  <si>
    <t>NF 164181 - 1197 CXS - REAU6521056 - CSN N0-00462614/CC-IAI/24</t>
  </si>
  <si>
    <t>17240967620377001862550010001643871003526085</t>
  </si>
  <si>
    <t>SO/3615-11X - MINERVA S/A - ARAGUAINA - CNPJ. 67.620.377/0018-62</t>
  </si>
  <si>
    <t>DU-E.: 24BR0017047585</t>
  </si>
  <si>
    <t>RUC: 4BR676203772LPL1160124</t>
  </si>
  <si>
    <t>BL.:  FITJKAL052</t>
  </si>
  <si>
    <t>43 PALLETS COM O TOTAL DE 817,00 KG</t>
  </si>
  <si>
    <t>NF 164147 - 1155 CXS - PONU4914761 - CSN N0-00450412/CC-IAI/24</t>
  </si>
  <si>
    <t>NF 164152 - 1175 CXS - MWCU6658890 - CSN N0-00457076/CC-IAI/24</t>
  </si>
  <si>
    <t>NF EXPORTAÇÃO.:  164389</t>
  </si>
  <si>
    <t>PARTE LOTE - NF 164174 - 39 CXS - MNBU0011396 - CSN N0-00453995/CC-IAI/24</t>
  </si>
  <si>
    <t>17240967620377001862550010001643891003526144</t>
  </si>
  <si>
    <t>SO/3613-3 - MINERVA S/A - ROLIM DE MOURA - CNPJ. 67.620.377/0074-70</t>
  </si>
  <si>
    <t>DU-E.: 24BR0017065290</t>
  </si>
  <si>
    <t>RUC: 4BR676203772LPL1178024</t>
  </si>
  <si>
    <t>BL.:  FITJKAL053</t>
  </si>
  <si>
    <t>NF 53050 - 1069 CXS - MWCU6995422 - CSN N0-00474642/791/24</t>
  </si>
  <si>
    <t>20 PALLETS COM O TOTAL DE 518,00 KG</t>
  </si>
  <si>
    <t>NF EXPORTAÇÃO.:  53141</t>
  </si>
  <si>
    <t>11241067620377007470550010000531411002080147</t>
  </si>
  <si>
    <t>SO/3612-20 - MINERVA S/A - ROLIM DE MOURA - CNPJ. 67.620.377/0074-70</t>
  </si>
  <si>
    <t>DU-E.: 24BR0017063823</t>
  </si>
  <si>
    <t>RUC: 4BR676203772LPL1178124</t>
  </si>
  <si>
    <t>BL.:  FITJKAL054</t>
  </si>
  <si>
    <t>NF 53041 - 1283 CXS - MWCU6797896 - CSN N0-00476312/791/24</t>
  </si>
  <si>
    <t>20 PALLETS COM O TOTAL DE 565,00 KG</t>
  </si>
  <si>
    <t>NF EXPORTAÇÃO.:  53147</t>
  </si>
  <si>
    <t>11241067620377007470550010000531471002080256</t>
  </si>
  <si>
    <t>DATA: 29/11/2024</t>
  </si>
  <si>
    <t>LISTA DE CARGA - MV FUJI BAY - FRIGOMERC // BEEF PARAGUAY S/A - ( MINERVA FOODS )</t>
  </si>
  <si>
    <t>BEEF PARAGUAY - (MINERVA FOODS) SO/3404-7</t>
  </si>
  <si>
    <t>FROZEN BONELLES BEEF ROBBED FOREQUARTER 90 VL</t>
  </si>
  <si>
    <t>CRT.: PY253017978</t>
  </si>
  <si>
    <t>CNTR - EMCU5309469</t>
  </si>
  <si>
    <t>MIC-DTA.: 2403777778</t>
  </si>
  <si>
    <t>BL.: FITJKAL001</t>
  </si>
  <si>
    <t>FRIGOMERC - (MINERVA FOODS) SO/3404-8</t>
  </si>
  <si>
    <t>CRT.: PY253017986</t>
  </si>
  <si>
    <t>CNTR - EGSU5024022</t>
  </si>
  <si>
    <t>MIC-DTA.: 2403829646</t>
  </si>
  <si>
    <t>BL.: FITJKAL020</t>
  </si>
  <si>
    <t>BEEF PARAGUAY - (MINERVA FOODS) SO/3404-9</t>
  </si>
  <si>
    <t>CRT.: PY253017979</t>
  </si>
  <si>
    <t>CNTR - MWCU6760407</t>
  </si>
  <si>
    <t>MIC-DTA.: 2403778090</t>
  </si>
  <si>
    <t>BL.: FITJKAL002</t>
  </si>
  <si>
    <t>BEEF PARAGUAY - (MINERVA FOODS) SO/3404-10</t>
  </si>
  <si>
    <t>CRT.: PY253017973</t>
  </si>
  <si>
    <t>CNTR - EMCU5298180</t>
  </si>
  <si>
    <t>MIC-DTA.: 2403812468</t>
  </si>
  <si>
    <t>BL.: FITJKAL003</t>
  </si>
  <si>
    <t>BEEF PARAGUAY - (MINERVA FOODS) SO/3430-1X</t>
  </si>
  <si>
    <t>CRT.: PY253018037</t>
  </si>
  <si>
    <t>CNTR - SUDU6131603</t>
  </si>
  <si>
    <t>MIC-DTA.: 2404100089</t>
  </si>
  <si>
    <t>BL.: FITJKAL004</t>
  </si>
  <si>
    <t>BEEF PARAGUAY - (MINERVA FOODS) SO/3430-3X</t>
  </si>
  <si>
    <t>CRT.: PY253017987</t>
  </si>
  <si>
    <t>CNTR - MNBU0303248</t>
  </si>
  <si>
    <t>MIC-DTA.: 2403829387</t>
  </si>
  <si>
    <t>BL.: FITJKAL005</t>
  </si>
  <si>
    <t>FRIGOMERC - (MINERVA FOODS) SO/3430-4X</t>
  </si>
  <si>
    <t>CRT.: PY253018003</t>
  </si>
  <si>
    <t>CNTR - SUDU5246716</t>
  </si>
  <si>
    <t>MIC-DTA.: 2403902122</t>
  </si>
  <si>
    <t>BL.: FITJKAL021</t>
  </si>
  <si>
    <t>BEEF PARAGUAY - (MINERVA FOODS) SO/3430-7X</t>
  </si>
  <si>
    <t>CRT.: PY253018001</t>
  </si>
  <si>
    <t>CNTR - MSWU9102294</t>
  </si>
  <si>
    <t>MIC-DTA.: 2403902009</t>
  </si>
  <si>
    <t>BL.: FITJKAL006</t>
  </si>
  <si>
    <t>BEEF PARAGUAY - (MINERVA FOODS) SO/3430-11X</t>
  </si>
  <si>
    <t>CRT.: PY253018047</t>
  </si>
  <si>
    <t>CNTR - MWCU6997019</t>
  </si>
  <si>
    <t>MIC-DTA.: 2404055881</t>
  </si>
  <si>
    <t>BL.: FITJKAL007</t>
  </si>
  <si>
    <t>FRIGOMERC - (MINERVA FOODS) SO/3430-12</t>
  </si>
  <si>
    <t>CRT.: PY253018042</t>
  </si>
  <si>
    <t>CNTR - MSWU9080092</t>
  </si>
  <si>
    <t>MIC-DTA.: 2404010063</t>
  </si>
  <si>
    <t>BL.: FITJKAL022</t>
  </si>
  <si>
    <t>BEEF PARAGUAY - (MINERVA FOODS) SO/3430-13</t>
  </si>
  <si>
    <t>CRT.: PY253018052</t>
  </si>
  <si>
    <t>MIC-DTA.: 2404077621</t>
  </si>
  <si>
    <t>BL.: FITJKAL008</t>
  </si>
  <si>
    <t>FRIGOMERC - (MINERVA FOODS) SO/3430-16X</t>
  </si>
  <si>
    <t>CRT.: PY253018043</t>
  </si>
  <si>
    <t>CNTR - MWCU6691179</t>
  </si>
  <si>
    <t>MIC-DTA.: 2404011051</t>
  </si>
  <si>
    <t>BL.: FITJKAL023</t>
  </si>
  <si>
    <t>FRIGOMERC - (MINERVA FOODS) SO/3430-21X</t>
  </si>
  <si>
    <t>CRT.: PY253018002</t>
  </si>
  <si>
    <t>CNTR - MWCU6860685</t>
  </si>
  <si>
    <t>MIC-DTA.: 2403919912</t>
  </si>
  <si>
    <t>BL.: FITJKAL024</t>
  </si>
  <si>
    <t>BEEF PARAGUAY - (MINERVA FOODS) SO/3612-11</t>
  </si>
  <si>
    <t>FROZEN BONELLES BEEF FLANK WITH SHORT PLATE</t>
  </si>
  <si>
    <t>CRT.: PY253018074</t>
  </si>
  <si>
    <t>CNTR - SUDU5203170</t>
  </si>
  <si>
    <t>MIC-DTA.: 2404158460</t>
  </si>
  <si>
    <t>BL.: FITJKAL009</t>
  </si>
  <si>
    <t>BEEF PARAGUAY - (MINERVA FOODS) SO/3612-12</t>
  </si>
  <si>
    <t>CRT.: PY253018157</t>
  </si>
  <si>
    <t>CNTR - MWCU5294618</t>
  </si>
  <si>
    <t>MIC-DTA.: 2404311012</t>
  </si>
  <si>
    <t>BL.: FITJKAL010</t>
  </si>
  <si>
    <t>BEEF PARAGUAY - (MINERVA FOODS) SO/3612-13</t>
  </si>
  <si>
    <t>CRT.: PY253018165</t>
  </si>
  <si>
    <t>MIC-DTA.: 2404400422</t>
  </si>
  <si>
    <t>BL.: FITJKAL011</t>
  </si>
  <si>
    <t>FRIGOMERC - (MINERVA FOODS) SO/3612-14</t>
  </si>
  <si>
    <t>CRT.: PY253018166</t>
  </si>
  <si>
    <t>MIC-DTA.: 2404311268</t>
  </si>
  <si>
    <t>BL.: FITJKAL025</t>
  </si>
  <si>
    <t>FRIGOMERC - (MINERVA FOODS) SO/3612-15</t>
  </si>
  <si>
    <t>CRT.: PY253018296</t>
  </si>
  <si>
    <t>CNTR - ZCSU5963282</t>
  </si>
  <si>
    <t>MIC-DTA.: 2404521459</t>
  </si>
  <si>
    <t>BL.: FITJKAL026</t>
  </si>
  <si>
    <t>BEEF PARAGUAY - (MINERVA FOODS) SO/3615-1</t>
  </si>
  <si>
    <t>CRT.: PY253018041</t>
  </si>
  <si>
    <t>CNTR - MWCU6804758</t>
  </si>
  <si>
    <t>MIC-DTA.: 2404009839</t>
  </si>
  <si>
    <t>BL.: FITJKAL012</t>
  </si>
  <si>
    <t>BEEF PARAGUAY - (MINERVA FOODS) SO/3615-2X</t>
  </si>
  <si>
    <t>CRT.: PY253018054</t>
  </si>
  <si>
    <t>CNTR - EGSU5010630</t>
  </si>
  <si>
    <t>MIC-DTA.: 2404113601</t>
  </si>
  <si>
    <t>BL.: FITJKAL013</t>
  </si>
  <si>
    <t>FRIGOMERC - (MINERVA FOODS) SO/3615-3X</t>
  </si>
  <si>
    <t>CRT.: PY253018075</t>
  </si>
  <si>
    <t>CNTR - SUDU6022979</t>
  </si>
  <si>
    <t>MIC-DTA.: 2404113490</t>
  </si>
  <si>
    <t>BL.: FITJKAL027</t>
  </si>
  <si>
    <t>BEEF PARAGUAY - (MINERVA FOODS) SO/3615-7</t>
  </si>
  <si>
    <t>CRT.: PY253018046</t>
  </si>
  <si>
    <t>CNTR - EGHU5006241</t>
  </si>
  <si>
    <t>MIC-DTA.: 2404010900</t>
  </si>
  <si>
    <t>BL.: FITJKAL014</t>
  </si>
  <si>
    <t>BEEF PARAGUAY - (MINERVA FOODS) SO/3806-1</t>
  </si>
  <si>
    <t>CRT.: PY253018142</t>
  </si>
  <si>
    <t>CNTR - MWMU6378293</t>
  </si>
  <si>
    <t>MIC-DTA.: 2404301068</t>
  </si>
  <si>
    <t>BL.: FITJKAL015</t>
  </si>
  <si>
    <t>BEEF PARAGUAY - (MINERVA FOODS) SO/3806-2</t>
  </si>
  <si>
    <t>CRT.: PY253018180</t>
  </si>
  <si>
    <t>CNTR - SUDU5159571</t>
  </si>
  <si>
    <t>MIC-DTA.: 2404337895</t>
  </si>
  <si>
    <t>BL.: FITJKAL016</t>
  </si>
  <si>
    <t>BEEF PARAGUAY - (MINERVA FOODS) SO/3806-3</t>
  </si>
  <si>
    <t>CRT.: PY253018167</t>
  </si>
  <si>
    <t>CNTR - MWCU6926294</t>
  </si>
  <si>
    <t>MIC-DTA.: 2404337402</t>
  </si>
  <si>
    <t>BL.: FITJKAL017</t>
  </si>
  <si>
    <t>BEEF PARAGUAY - (MINERVA FOODS) SO/3806-4</t>
  </si>
  <si>
    <t>CRT.: PY253018104</t>
  </si>
  <si>
    <t>CNTR - MWCU6989564</t>
  </si>
  <si>
    <t>MIC-DTA.: 2404246792</t>
  </si>
  <si>
    <t>BL.: FITJKAL018</t>
  </si>
  <si>
    <t>BEEF PARAGUAY - (MINERVA FOODS) SO/3806-5</t>
  </si>
  <si>
    <t>CRT.: PY253018210</t>
  </si>
  <si>
    <t>CNTR - SUDU5156720</t>
  </si>
  <si>
    <t>MIC-DTA.: 2404393892</t>
  </si>
  <si>
    <t>BL.: FITJKAL019</t>
  </si>
  <si>
    <t>FRIGOMERC - (MINERVA FOODS) SO/3806-6</t>
  </si>
  <si>
    <t>CRT.: PY253018246</t>
  </si>
  <si>
    <t>CNTR - REAU4894343</t>
  </si>
  <si>
    <t>MIC-DTA.: 2404493382</t>
  </si>
  <si>
    <t>BL.: FITJKAL028</t>
  </si>
  <si>
    <t>FRIGOMERC - (MINERVA FOODS) SO/3806-7</t>
  </si>
  <si>
    <t>CRT.: PY253018175</t>
  </si>
  <si>
    <t>CNTR - MWMU6390391</t>
  </si>
  <si>
    <t>MIC-DTA.: 2404338107</t>
  </si>
  <si>
    <t>BL.: FITJKAL029</t>
  </si>
  <si>
    <t>FRIGOMERC - (MINERVA FOODS) SO/3806-8</t>
  </si>
  <si>
    <t>CRT.: PY253018164</t>
  </si>
  <si>
    <t>CNTR - SUDU6186930</t>
  </si>
  <si>
    <t>MIC-DTA.: 2404324963</t>
  </si>
  <si>
    <t>BL.: FITJKAL030</t>
  </si>
  <si>
    <t>FRIGOMERC - (MINERVA FOODS) SO/3884-1</t>
  </si>
  <si>
    <t>CRT.: PY421400265</t>
  </si>
  <si>
    <t>MIC-DTA.: 2405271871</t>
  </si>
  <si>
    <t>BL.:  FBITAKAL019</t>
  </si>
  <si>
    <t>FRIGOMERC - (MINERVA FOODS) SO/3884-2</t>
  </si>
  <si>
    <t>CRT.: PY421400266</t>
  </si>
  <si>
    <t>MIC-DTA.: 2405313132</t>
  </si>
  <si>
    <t>BL.:  FBITAKAL020</t>
  </si>
  <si>
    <t>FRIGOMERC - (MINERVA FOODS) SO/3884-3</t>
  </si>
  <si>
    <t>CRT.: PY421400276</t>
  </si>
  <si>
    <t>MIC-DTA.: 2405312527</t>
  </si>
  <si>
    <t>BL.:  FBITAKAL021</t>
  </si>
  <si>
    <t>BEEF PARAGUAY - (MINERVA FOODS) SO/3884-4</t>
  </si>
  <si>
    <t>CRT.: PY421400264</t>
  </si>
  <si>
    <t>MIC-DTA.: 2405270930</t>
  </si>
  <si>
    <t>BL.:  FBITAKAL003</t>
  </si>
  <si>
    <t>BEEF PARAGUAY - (MINERVA FOODS) SO/3884-5</t>
  </si>
  <si>
    <t>CRT.: PY421400267</t>
  </si>
  <si>
    <t>CNTR - EMCU5297820</t>
  </si>
  <si>
    <t>MIC-DTA.: 2405311431</t>
  </si>
  <si>
    <t>BL.:  FBITAKAL004</t>
  </si>
  <si>
    <t>BEEF PARAGUAY - (MINERVA FOODS) SO/3884-6</t>
  </si>
  <si>
    <t>CRT.: PY421400263</t>
  </si>
  <si>
    <t>CNTR - SUDU6016960</t>
  </si>
  <si>
    <t>MIC-DTA.: 2405346464</t>
  </si>
  <si>
    <t>BL.:  FBITAKAL005</t>
  </si>
  <si>
    <t>BEEF PARAGUAY - (MINERVA FOODS) SO/3884-7</t>
  </si>
  <si>
    <t>CRT.: PY421400272</t>
  </si>
  <si>
    <t>MIC-DTA.: 2405359760</t>
  </si>
  <si>
    <t>BL.:  FBITAKAL006</t>
  </si>
  <si>
    <t>BEEF PARAGUAY - (MINERVA FOODS) SO/3884-8</t>
  </si>
  <si>
    <t>CRT.: PY421400269</t>
  </si>
  <si>
    <t>MIC-DTA.: 2405270891</t>
  </si>
  <si>
    <t>BL.:  FBITAKAL007</t>
  </si>
  <si>
    <t>BEEF PARAGUAY - (MINERVA FOODS) SO/3884-9</t>
  </si>
  <si>
    <t>CRT.: PY421400273</t>
  </si>
  <si>
    <t>MIC-DTA.: 2405270786</t>
  </si>
  <si>
    <t>BL.:  FBITAKAL008</t>
  </si>
  <si>
    <t>BEEF PARAGUAY - (MINERVA FOODS) SO/3884-10</t>
  </si>
  <si>
    <t>CRT.: PY421400274</t>
  </si>
  <si>
    <t>CNTR - EGHU5002333</t>
  </si>
  <si>
    <t>MIC-DTA.: 2405312160</t>
  </si>
  <si>
    <t>BL.:  FBITAKAL009</t>
  </si>
  <si>
    <t>BEEF PARAGUAY - (MINERVA FOODS) SO/3884-11</t>
  </si>
  <si>
    <t>CRT.: PY421400262</t>
  </si>
  <si>
    <t>CNTR - SUDU5152181</t>
  </si>
  <si>
    <t>MIC-DTA.: 2405270794</t>
  </si>
  <si>
    <t>BL.:  FBITAKAL010</t>
  </si>
  <si>
    <t>BEEF PARAGUAY - (MINERVA FOODS) SO/3884-12</t>
  </si>
  <si>
    <t>CRT.: PY421400261</t>
  </si>
  <si>
    <t>MIC-DTA.: 2405270832</t>
  </si>
  <si>
    <t>BL.:  FBITAKAL011</t>
  </si>
  <si>
    <t>BEEF PARAGUAY - (MINERVA FOODS) SO/3884-13</t>
  </si>
  <si>
    <t>CRT.: PY421400271</t>
  </si>
  <si>
    <t>CNTR - EGSU5008931</t>
  </si>
  <si>
    <t>MIC-DTA.: 2405270867</t>
  </si>
  <si>
    <t>BL.:  FBITAKAL012</t>
  </si>
  <si>
    <t>BEEF PARAGUAY - (MINERVA FOODS) SO/3884-14</t>
  </si>
  <si>
    <t>CRT.: PY421400275</t>
  </si>
  <si>
    <t>CNTR - EMCU5303136</t>
  </si>
  <si>
    <t>MIC-DTA.: 2405270964</t>
  </si>
  <si>
    <t>BL.:  FBITAKAL013</t>
  </si>
  <si>
    <t>FRIGOMERC - (MINERVA FOODS) SO/3884-15</t>
  </si>
  <si>
    <t>CRT.: PY421400279</t>
  </si>
  <si>
    <t>CNTR - ANPU6760407</t>
  </si>
  <si>
    <t>MIC-DTA.: 2405477089</t>
  </si>
  <si>
    <t>BL.:  FBITAKAL022</t>
  </si>
  <si>
    <t>FRIGOMERC - (MINERVA FOODS) SO/3884-16</t>
  </si>
  <si>
    <t>CRT.: PY421400280</t>
  </si>
  <si>
    <t>CNTR - ANPU6928379</t>
  </si>
  <si>
    <t>MIC-DTA.: 2405479014</t>
  </si>
  <si>
    <t>BL.:  FBITAKAL023</t>
  </si>
  <si>
    <t>BEEF PARAGUAY - (MINERVA FOODS) SO/3884-17</t>
  </si>
  <si>
    <t>CRT.: PY421400287</t>
  </si>
  <si>
    <t>CNTR - ANPU6151317</t>
  </si>
  <si>
    <t>MIC-DTA.: 2405595774</t>
  </si>
  <si>
    <t>BL.:  FBITAKAL024</t>
  </si>
  <si>
    <t>BEEF PARAGUAY - (MINERVA FOODS) SO/3884-18</t>
  </si>
  <si>
    <t>CRT.: PY421400283</t>
  </si>
  <si>
    <t>CNTR - SUDU6131141</t>
  </si>
  <si>
    <t>MIC-DTA.: 2405591086</t>
  </si>
  <si>
    <t>BL.:  FBITAKAL014</t>
  </si>
  <si>
    <t>BEEF PARAGUAY - (MINERVA FOODS) SO/3884-19</t>
  </si>
  <si>
    <t>CRT.: PY421400281</t>
  </si>
  <si>
    <t>CNTR - ANPU5286107</t>
  </si>
  <si>
    <t>MIC-DTA.: 2405479618</t>
  </si>
  <si>
    <t>BL.:  FBITAKAL015</t>
  </si>
  <si>
    <t>BEEF PARAGUAY - (MINERVA FOODS) SO/3884-20</t>
  </si>
  <si>
    <t>CRT.: PY421400290</t>
  </si>
  <si>
    <t>CNTR - MWMU6320814</t>
  </si>
  <si>
    <t>MIC-DTA.: 2405565727</t>
  </si>
  <si>
    <t>BL.:  FBITAKAL016</t>
  </si>
  <si>
    <t>FRIGOMERC - (MINERVA FOODS) SO/3884-21</t>
  </si>
  <si>
    <t>CRT.: PY421400288</t>
  </si>
  <si>
    <t>CNTR - ANPU4000052</t>
  </si>
  <si>
    <t>MIC-DTA.: 2405525806</t>
  </si>
  <si>
    <t>BL.:  FBITAKAL025</t>
  </si>
  <si>
    <t>BEEF PARAGUAY - (MINERVA FOODS) SO/3884-22</t>
  </si>
  <si>
    <t>CRT.: PY421400278</t>
  </si>
  <si>
    <t>CNTR - ANPU0303248</t>
  </si>
  <si>
    <t>MIC-DTA.: 2405478450</t>
  </si>
  <si>
    <t>BL.:  FBITAKAL017</t>
  </si>
  <si>
    <t>BEEF PARAGUAY - (MINERVA FOODS) SO/3884-23</t>
  </si>
  <si>
    <t>CRT.: PY421400277</t>
  </si>
  <si>
    <t>CNTR - ANPU6054507</t>
  </si>
  <si>
    <t>MIC-DTA.: 2405476198</t>
  </si>
  <si>
    <t>BL.:  FBITAKAL018</t>
  </si>
  <si>
    <t>DATA: 31/03/2025</t>
  </si>
  <si>
    <t>BEEF PARAGUAY - (MINERVA FOODS) SO/4512-1X</t>
  </si>
  <si>
    <t>CRT.: PY302500472</t>
  </si>
  <si>
    <t>CNTR - EMCU5297820 - 20 PLTS</t>
  </si>
  <si>
    <t>MIC-DTA.: 2500718683</t>
  </si>
  <si>
    <t>BL.: ITJKA024</t>
  </si>
  <si>
    <t>BEEF PARAGUAY - (MINERVA FOODS) SO/4512-2X</t>
  </si>
  <si>
    <t>CRT.: PY302500473</t>
  </si>
  <si>
    <t>CNTR - SUDU6022979 - 20 PLTS</t>
  </si>
  <si>
    <t>MIC-DTA.: 2500718306</t>
  </si>
  <si>
    <t>BL.: ITJKA025</t>
  </si>
  <si>
    <t>BEEF PARAGUAY - (MINERVA FOODS) SO/4512-3X</t>
  </si>
  <si>
    <t>CRT.: PY302500489</t>
  </si>
  <si>
    <t>CNTR - MSWU0005312 - 20 PLTS</t>
  </si>
  <si>
    <t>MIC-DTA.: 2500718012</t>
  </si>
  <si>
    <t>BL.: ITJKA026</t>
  </si>
  <si>
    <t>FRIGOMERC - (MINERVA FOODS) SO/4512-4X</t>
  </si>
  <si>
    <t>CRT.: PY302500474</t>
  </si>
  <si>
    <t>CNTR - MWCU6997019 - 18 PLTS</t>
  </si>
  <si>
    <t>MIC-DTA.: 2500761937</t>
  </si>
  <si>
    <t>BL.: ITJKA048</t>
  </si>
  <si>
    <t>FRIGOMERC - (MINERVA FOODS) SO/4512-5X</t>
  </si>
  <si>
    <t>CRT.: PY253019571</t>
  </si>
  <si>
    <t>CNTR - MSWU0019928 - 18 PLTS</t>
  </si>
  <si>
    <t>MIC-DTA.: 2500793642</t>
  </si>
  <si>
    <t>BL.: ITJKA049</t>
  </si>
  <si>
    <t>BEEF PARAGUAY - (MINERVA FOODS) SO/4512-7X</t>
  </si>
  <si>
    <t>CRT.: PY253019550</t>
  </si>
  <si>
    <t>CNTR - MWMU6378293 - 20 PLTS</t>
  </si>
  <si>
    <t>MIC-DTA.: 2500738773</t>
  </si>
  <si>
    <t>BL.: ITJKA028</t>
  </si>
  <si>
    <t>BEEF PARAGUAY - (MINERVA FOODS) SO/4512-8X</t>
  </si>
  <si>
    <t>CRT.: PY302500488</t>
  </si>
  <si>
    <t>CNTR - MWCU6967879 - 20 PLTS</t>
  </si>
  <si>
    <t>MIC-DTA.: 2501045046</t>
  </si>
  <si>
    <t>BL.: ITJKA029</t>
  </si>
  <si>
    <t>BEEF PARAGUAY - (MINERVA FOODS) SO/4512-9X</t>
  </si>
  <si>
    <t>CRT.: PY302500486</t>
  </si>
  <si>
    <t>CNTR - ANPU5223407 - 20 PLTS</t>
  </si>
  <si>
    <t>MIC-DTA.: 2500878346</t>
  </si>
  <si>
    <t>BL.: ITJKA030</t>
  </si>
  <si>
    <t>FRIGOMERC - (MINERVA FOODS) SO/4512-10X</t>
  </si>
  <si>
    <t>CRT.: PY302500476</t>
  </si>
  <si>
    <t>CNTR - MWCU6753460 - 18 PLTS</t>
  </si>
  <si>
    <t>MIC-DTA.: 2500940424</t>
  </si>
  <si>
    <t>BL.: ITJKA050</t>
  </si>
  <si>
    <t>FRIGOMERC - (MINERVA FOODS) SO/4512-11X</t>
  </si>
  <si>
    <t>CRT.: PY302500491</t>
  </si>
  <si>
    <t>CNTR - MWCU6706031 - 18 PLTS</t>
  </si>
  <si>
    <t>MIC-DTA.: 2500741774</t>
  </si>
  <si>
    <t>BL.: ITJKA051</t>
  </si>
  <si>
    <t>BEEF PARAGUAY - (MINERVA FOODS) SO/4512-12X</t>
  </si>
  <si>
    <t>CRT.: PY302500490</t>
  </si>
  <si>
    <t>CNTR - ANPU6760407 - 18 PLTS</t>
  </si>
  <si>
    <t>MIC-DTA.: 2500760094</t>
  </si>
  <si>
    <t>BL.: ITJKA031</t>
  </si>
  <si>
    <t>BEEF PARAGUAY - (MINERVA FOODS) SO/4512-13X</t>
  </si>
  <si>
    <t>CRT.: PY253019599</t>
  </si>
  <si>
    <t>CNTR - EGSU5010630 - 20 PLTS</t>
  </si>
  <si>
    <t>MIC-DTA.: 2500858396</t>
  </si>
  <si>
    <t>BL.: ITJKA032</t>
  </si>
  <si>
    <t>BEEF PARAGUAY - (MINERVA FOODS) SO/4512-14X</t>
  </si>
  <si>
    <t>FROZEN BONELLES BEEF VARIOUS CUTS</t>
  </si>
  <si>
    <t>CARNE CONG. DE BOV. S/O VARIOS CORTES</t>
  </si>
  <si>
    <t>CRT.: PY326810093</t>
  </si>
  <si>
    <t>CNTR - SUDU6016960 - 20 PLTS</t>
  </si>
  <si>
    <t>MIC-DTA.: 2501074283</t>
  </si>
  <si>
    <t>BL.: ITJKA033</t>
  </si>
  <si>
    <t>BEEF PARAGUAY - (MINERVA FOODS) SO/4512-15X</t>
  </si>
  <si>
    <t>CRT.: PY253019645</t>
  </si>
  <si>
    <t>CNTR - MSWU9023209 - 20 PLTS</t>
  </si>
  <si>
    <t>MIC-DTA.: 2500858680</t>
  </si>
  <si>
    <t>BL.: ITJKA034</t>
  </si>
  <si>
    <t>FRIGOMERC - (MINERVA FOODS) SO/4512-16X</t>
  </si>
  <si>
    <t>CRT.: PY302500479</t>
  </si>
  <si>
    <t xml:space="preserve">CNTR - EGSU5008931 - 18 PLTS </t>
  </si>
  <si>
    <t>MIC-DTA.: 2500820615</t>
  </si>
  <si>
    <t>BL.: ITJKA052</t>
  </si>
  <si>
    <t>FRIGOMERC - (MINERVA FOODS) SO/4512-17X</t>
  </si>
  <si>
    <t>CRT.: PY253019721</t>
  </si>
  <si>
    <t>CNTR - MSWU9010454 - 18 PLTS</t>
  </si>
  <si>
    <t>MIC-DTA.: 2500960964</t>
  </si>
  <si>
    <t>BL.: ITJKA053</t>
  </si>
  <si>
    <t>BEEF PARAGUAY - (MINERVA FOODS) SO/4512-18X</t>
  </si>
  <si>
    <t>CRT.: PY253019566</t>
  </si>
  <si>
    <t>CNTR - MWCU5239605 - 18 PLTS</t>
  </si>
  <si>
    <t>MIC-DTA.: 2500758600</t>
  </si>
  <si>
    <t>BL.: ITJKA035</t>
  </si>
  <si>
    <t>BEEF PARAGUAY - (MINERVA FOODS) SO/4512-19X</t>
  </si>
  <si>
    <t>CRT.: PY326810094</t>
  </si>
  <si>
    <t>CNTR - MWCU6958922 - 20 PLTS</t>
  </si>
  <si>
    <t>MIC-DTA.: 2501074755</t>
  </si>
  <si>
    <t>BL.: ITJKA036</t>
  </si>
  <si>
    <t>BEEF PARAGUAY - (MINERVA FOODS) SO/4512-20X</t>
  </si>
  <si>
    <t>CRT.: PY253019683</t>
  </si>
  <si>
    <t>CNTR - MWCU6803833 - 20 PLTS</t>
  </si>
  <si>
    <t>MIC-DTA.: 2500910479</t>
  </si>
  <si>
    <t>BL.: ITJKA037</t>
  </si>
  <si>
    <t>BEEF PARAGUAY - (MINERVA FOODS) SO/4512-21X</t>
  </si>
  <si>
    <t>CRT.: PY253019685</t>
  </si>
  <si>
    <t>CNTR - MSWU0039293 - 20 PLTS</t>
  </si>
  <si>
    <t>MIC-DTA.: 2500920237</t>
  </si>
  <si>
    <t>BL.: ITJKA038</t>
  </si>
  <si>
    <t>FRIGOMERC - (MINERVA FOODS) SO/4512-22X</t>
  </si>
  <si>
    <t>CRT.: PY253019682</t>
  </si>
  <si>
    <t>CNTR - MWCU6678639 - 18 PLTS</t>
  </si>
  <si>
    <t>MIC-DTA.: 2500910649</t>
  </si>
  <si>
    <t>BL.: ITJKA054</t>
  </si>
  <si>
    <t>FRIGOMERC - (MINERVA FOODS) SO/4512-23X</t>
  </si>
  <si>
    <t>CRT.: PY253019719</t>
  </si>
  <si>
    <t>CNTR - MSWU0051154 - 18 PLTS</t>
  </si>
  <si>
    <t>MIC-DTA.: 2500996845</t>
  </si>
  <si>
    <t>BL.: ITJKA055</t>
  </si>
  <si>
    <t>BEEF PARAGUAY - (MINERVA FOODS) SO/4512-24X</t>
  </si>
  <si>
    <t>CRT.: PY253019615</t>
  </si>
  <si>
    <t>CNTR - EMCU5298180 - 18 PLTS</t>
  </si>
  <si>
    <t>MIC-DTA.: 2500877935</t>
  </si>
  <si>
    <t>BL.: ITJKA039</t>
  </si>
  <si>
    <t>BEEF PARAGUAY - (MINERVA FOODS) SO/4512-25X</t>
  </si>
  <si>
    <t>CRT.: PY302500521</t>
  </si>
  <si>
    <t>CNTR - MWCU6858008 - 20 PLTS</t>
  </si>
  <si>
    <t>MIC-DTA.: 2500984588</t>
  </si>
  <si>
    <t>BL.: ITJKA040</t>
  </si>
  <si>
    <t>BEEF PARAGUAY - (MINERVA FOODS) SO/4512-26X</t>
  </si>
  <si>
    <t>CRT.: PY253019740</t>
  </si>
  <si>
    <t>CNTR - MWCU6767037 - 20 PLTS</t>
  </si>
  <si>
    <t>MIC-DTA.: 2501049041</t>
  </si>
  <si>
    <t>BL.: ITJKA041</t>
  </si>
  <si>
    <t>BEEF PARAGUAY - (MINERVA FOODS) SO/4512-27X</t>
  </si>
  <si>
    <t>CRT.: PY326810092</t>
  </si>
  <si>
    <t>CNTR - MWMU6320814 - 18 PLTS</t>
  </si>
  <si>
    <t>MIC-DTA.: 2501074518</t>
  </si>
  <si>
    <t>BL.: ITJKA042</t>
  </si>
  <si>
    <t>FRIGOMERC - (MINERVA FOODS) SO/4512-28X</t>
  </si>
  <si>
    <t>CRT.: PY253019758</t>
  </si>
  <si>
    <t>CNTR - EGHU5006241 - 18 PLTS</t>
  </si>
  <si>
    <t>MIC-DTA.: 2501055416</t>
  </si>
  <si>
    <t>BL.: ITJKA056</t>
  </si>
  <si>
    <t>BEEF PARAGUAY - (MINERVA FOODS) SO/4512-29X</t>
  </si>
  <si>
    <t>CRT.: PY302500496</t>
  </si>
  <si>
    <t>CNTR - MWCU7008159 - 20 PLTS</t>
  </si>
  <si>
    <t>MIC-DTA.: 2500799799</t>
  </si>
  <si>
    <t>BL.: ITJKA043</t>
  </si>
  <si>
    <t>BEEF PARAGUAY - (MINERVA FOODS) SO/4512-30X</t>
  </si>
  <si>
    <t xml:space="preserve">CARNE CONG. DE BOV. S/O PONTA DA AGULHA
</t>
  </si>
  <si>
    <t>CRT.: PY253019766</t>
  </si>
  <si>
    <t>CNTR - EMCU5303840 - 18 PLTS</t>
  </si>
  <si>
    <t>MIC-DTA.: 2501101140</t>
  </si>
  <si>
    <t>BL.: ITJKA044</t>
  </si>
  <si>
    <t>BEEF PARAGUAY - (MINERVA FOODS) SO/4512-31X</t>
  </si>
  <si>
    <t>CRT.: PY253019718</t>
  </si>
  <si>
    <t>CNTR - SUDU6071398 - 20 PLTS</t>
  </si>
  <si>
    <t>MIC-DTA.: 2500997094</t>
  </si>
  <si>
    <t>BL.: ITJKA045</t>
  </si>
  <si>
    <t>BEEF PARAGUAY - (MINERVA FOODS) SO/4512-32X</t>
  </si>
  <si>
    <t>CRT.: PY253019760</t>
  </si>
  <si>
    <t>CNTR - ANPU6310930 - 18 PLTS</t>
  </si>
  <si>
    <t>MIC-DTA.: 2501185328</t>
  </si>
  <si>
    <t>BL.: ITJKA046</t>
  </si>
  <si>
    <t>BEEF PARAGUAY - (MINERVA FOODS) SO/4512-33X</t>
  </si>
  <si>
    <t>CRT.: PY253019762</t>
  </si>
  <si>
    <t>MIC-DTA.: 2501185573</t>
  </si>
  <si>
    <t>CNTR - MWCU6950860 - 20 PLTS</t>
  </si>
  <si>
    <t>BL.: ITJKA047</t>
  </si>
  <si>
    <t>FRIGOMERC - (MINERVA FOODS) SO/4846-12X</t>
  </si>
  <si>
    <t>CRT.: PY302500603</t>
  </si>
  <si>
    <t>CNTR - MWCU6260910 - 18 PLTS</t>
  </si>
  <si>
    <t>MIC-DTA.: 2501542309</t>
  </si>
  <si>
    <t>O CNTR MWCU5294618 FOI RECHAÇADO PELO ARMADOR E SUBSTITUIDO PELO MWCU6260910</t>
  </si>
  <si>
    <t>BL.: ITJKA027</t>
  </si>
  <si>
    <t>DATA.: 26/05/2025</t>
  </si>
  <si>
    <t>SO/4846-66X - MINERVA S/A - BARRETOS - CNPJ. 67.620.377/0001-14</t>
  </si>
  <si>
    <t>LPCO.: E2500293162</t>
  </si>
  <si>
    <t>DU-E.: 25BR0009177785</t>
  </si>
  <si>
    <t>RUC: 5BR676203772LPL0379525</t>
  </si>
  <si>
    <t>BL.:  ITJKAL009</t>
  </si>
  <si>
    <t>83578 - FROZEN BONELLES BEEF ROBBED TRIMMING 70 VL BP</t>
  </si>
  <si>
    <t>243 PALLETS COM O TOTAL DE 5.103,00 KG</t>
  </si>
  <si>
    <t>NF EXPORTAÇÃO.:  297238</t>
  </si>
  <si>
    <t xml:space="preserve">NF 296139 - 1062 CXS - 20 PLTS - EGSU5008931 - CSN N0-00210254/CC-IAI/25 </t>
  </si>
  <si>
    <t>NF 296143 - 1061 CXS - 20 PLTS - MWCU6958922 - CSN N0-00210250/CC-IAI/25</t>
  </si>
  <si>
    <t>35250567620377000114550010002972381008381547</t>
  </si>
  <si>
    <t xml:space="preserve">NF 296144 - 1090 CXS - 21 PLTS - MWCU6997019 - CSN N0-00210298/CC-IAI/25 </t>
  </si>
  <si>
    <t>NF 296171 - 1060 CXS - 20 PLTS - MWMU6378293 - CSN N0-00219207/CC-IAI/25</t>
  </si>
  <si>
    <t>NF 296293 - 1079 CXS - 21 PLTS - OCNU5007185 - CSN N0-00222979/CC-IAI/25</t>
  </si>
  <si>
    <t xml:space="preserve">NF 296304 - 1058 CXS - 21 PLTS - MWCU6767037 - CSN N0-00222910/CC-IAI/25 </t>
  </si>
  <si>
    <t>NF 296310 - 1072 CXS - 20 PLTS - REAU6052961 - CSN N0-00224176/CC-IAI/25</t>
  </si>
  <si>
    <t>NF 296534 - 1029 CXS - 20 PLTS - REAU5968564 - CSN N0-00233372/CC-IAI/25</t>
  </si>
  <si>
    <t>NF 296542 - 1065 CXS - 20 PLTS - REAU3326903 - CSN N0-00224559/CC-IAI/25</t>
  </si>
  <si>
    <t xml:space="preserve">NF 296617 - 1063 CXS - 20 PLTS - TRIU8695695 - CSN N0-00224309/CC-IAI/25 </t>
  </si>
  <si>
    <t xml:space="preserve">NF 296641 - 1043 CXS - 20 PLTS - FSCU5640334 - CSN N0-00223659/CC-IAI/25 </t>
  </si>
  <si>
    <t>NF 296681 - 1030 CXS - 20 PLTS - REAU4960110 - CSN N0-00236313/CC-IAI/25</t>
  </si>
  <si>
    <t>SO/4846-64X - MINERVA S/A - PALMEIRAS DE GOIAS - CNPJ. 67.620.377/0004-67</t>
  </si>
  <si>
    <t>LPCO.: E2500293036</t>
  </si>
  <si>
    <t>DU-E.: 25BR0009170446</t>
  </si>
  <si>
    <t>RUC: 5BR676203772LPL0379325</t>
  </si>
  <si>
    <t>BL.:  ITJKAL007</t>
  </si>
  <si>
    <t>287 PALLETS COM O TOTAL DE 6.207,00 KG</t>
  </si>
  <si>
    <t>NF EXPORTAÇÃO.:  603844</t>
  </si>
  <si>
    <t>NF 602634 - 1099 CXS - 20 PLTS - EMCU5297820 - CSN N0-00210059/CC-IAI/25</t>
  </si>
  <si>
    <t>NF 602640 - 1081 CXS - 20 PLTS - SUDU6022979 - CSN N0-00210292/CC-IAI/25</t>
  </si>
  <si>
    <t>52250567620377000467550010006038441013211661</t>
  </si>
  <si>
    <t>NF 602641 - 1101 CXS - 21 PLTS - MWCU5239605 - CSN N0-00222110/CC-IAI/25</t>
  </si>
  <si>
    <t>NF 602642 - 1114 CXS - 21 PLTS - MSWU9023209 - CSN N0-00213853/CC-IAI/25</t>
  </si>
  <si>
    <t>NF 602705 - 1110 CXS - 21 PLTS - MWCU6260910 - CSN N0-00214306/CC-IAI/25</t>
  </si>
  <si>
    <t>NF 602706 - 1104 CXS - 21 PLTS - EMCU5298180 - CSN N0-00213897/CC-IAI/25</t>
  </si>
  <si>
    <t xml:space="preserve">NF 602821 - 1064 CXS - 21 PLTS - MSWU0051154 - CSN N0-00230827/CC-IAI/25 </t>
  </si>
  <si>
    <t xml:space="preserve">NF 602828 - 1074 CXS - 21 PLTS - GESU9234093 - CSN N0-00234905/CC-IAI/25 </t>
  </si>
  <si>
    <t>NF 603115 - 1099 CXS - 20 PLTS - TCLU1131641 - CSN N0-00233494/CC-IAI/25</t>
  </si>
  <si>
    <t xml:space="preserve">NF 603129 - 1067 CXS - 20 PLTS - GESU9068325 - CSN N0-00224266/CC-IAI/25 </t>
  </si>
  <si>
    <t>NF 603219 - 1107 CXS - 21 PLTS - REAU1142168 - CSN N0-00233669/CC-IAI/25</t>
  </si>
  <si>
    <t xml:space="preserve">NF 603221 - 1067 CXS - 20 PLTS - REAU6106142 - CSN N0-00224531/CC-IAI/25 </t>
  </si>
  <si>
    <t>NF 603278 - 1097 CXS - 20 PLTS - APRU5764522 - CSN N0-00235602/CC-IAI/25</t>
  </si>
  <si>
    <t>NF 603432 - 1065 CXS - 20 PLTS - GESU9239372 - CSN N0-00237192/CC-IAI/25</t>
  </si>
  <si>
    <t>SO/4846-71X - MINERVA S/A - JOSE BONIFACIO - CNPJ. 67.620.377/0003-86</t>
  </si>
  <si>
    <t>LPCO.: E2500293160</t>
  </si>
  <si>
    <t>DU-E.: 25BR0009199533</t>
  </si>
  <si>
    <t>RUC: 5BR676203772LPL0378825</t>
  </si>
  <si>
    <t>BL.:  ITJKAL014</t>
  </si>
  <si>
    <t>102 PALLETS COM O TOTAL DE 2.142,00 KG</t>
  </si>
  <si>
    <t>NF 177392 - 1053 CXS - 20 PLTS - TRLU1876084 - CSN N0-00223350/CC-IAI/25</t>
  </si>
  <si>
    <t>NF 177395 - 1023 CXS - 20 PLTS - REAU1234599 - CSN N0-00223908/CC-IAI/25</t>
  </si>
  <si>
    <t>NF EXPORTAÇÃO.:  177882</t>
  </si>
  <si>
    <t>NF 177398 - 1056 CXS - 21 PLTS - CRLU1411727 - CSN N0-00224211/CC-IAI/25</t>
  </si>
  <si>
    <t>NF 177524 - 1100 CXS - 21 PLTS - MWMU6320814 - CSN N0-00225399/CC-IAI/25</t>
  </si>
  <si>
    <t>35250567620377000386550010001778821005416826</t>
  </si>
  <si>
    <t>NF 177684 - 1080 CXS - 20 PLTS - REAU4909084 - CSN N0-00241027/CC-IAI/25</t>
  </si>
  <si>
    <t>SO/4846-70X - MINERVA S/A - ROLIM DE MOURA - CNPJ. 67.620.377/0074-70</t>
  </si>
  <si>
    <t>LPCO.: E2500293185</t>
  </si>
  <si>
    <t>DU-E.: 25BR0009193551</t>
  </si>
  <si>
    <t>RUC: 5BR676203772LPL0378725</t>
  </si>
  <si>
    <t>BL.:  ITJKAL013</t>
  </si>
  <si>
    <t>181 PALLETS COM O TOTAL DE 3.801,00 KG</t>
  </si>
  <si>
    <t>NF 059112 - 1087 CXS - 20 PLTS - MSWU0039293 - CSN N0-00222087/CC-IAI/25</t>
  </si>
  <si>
    <t>NF 059113 - 1089 CXS - 20 PLTS - MWCU6678639 - CSN N0-00222098/CC-IAI/25</t>
  </si>
  <si>
    <t>NF EXPORTAÇÃO.:  59687</t>
  </si>
  <si>
    <t>NF 059117 - 1084 CXS - 20 PLTS - MWCU6706031 - CSN N0-00222129/CC-IAI/25</t>
  </si>
  <si>
    <t>NF 059168 - 1087 CXS - 20 PLTS - MWCU7008159 - CSN N0-00222869/CC-IAI/25</t>
  </si>
  <si>
    <t>11250567620377007470550010000596871002341553</t>
  </si>
  <si>
    <t>NF 059207 - 1068 CXS - 21 PLTS - GESU9179400 - CSN N0-00224464/CC-IAI/25</t>
  </si>
  <si>
    <t>NF 059209 - 1093 CXS - 20 PLTS - REAU6316370 - CSN N0-00224122/CC-IAI/25</t>
  </si>
  <si>
    <t>NF 059331 - 1076 CXS - 20 PLTS - TRIU8063862 - CSN N0-00226668/CC-IAI/25</t>
  </si>
  <si>
    <t>NF 059464 - 1087 CXS - 20 PLTS - GESU9055694 - CSN N0-00237197/CC-IAI/25</t>
  </si>
  <si>
    <t>NF 059493 - 1012 CXS - 20 PLTS - CRLU1336027 - CSN N0-00243976/CC-IAI/25</t>
  </si>
  <si>
    <t>SO/4846-69X - MINERVA S/A - JANAUBA - CNPJ. 67.620.377/0061-55</t>
  </si>
  <si>
    <t>LPCO.: E2500293226</t>
  </si>
  <si>
    <t>DU-E.: 25BR0009192954</t>
  </si>
  <si>
    <t>RUC: 5BR676203772LPL0378625</t>
  </si>
  <si>
    <t>BL.:  ITJKAL012</t>
  </si>
  <si>
    <t>160 PALLETS COM O TOTAL DE 3.360,00 KG</t>
  </si>
  <si>
    <t>NF 061263 - 1063 CXS - 20 PLTS - SUDU6071398 - CSN N0-00213834/CC-IAI/25</t>
  </si>
  <si>
    <t>NF 061264 - 1063 CXS - 20 PLTS - ANPU5223407 - CSN N0-00219208/CC-IAI/25</t>
  </si>
  <si>
    <t>NF EXPORTAÇÃO.:  61578</t>
  </si>
  <si>
    <t>NF 061265 - 1078 CXS - 20 PLTS - EGSU5010630 - CSN N0-00213876/CC-IAI/25</t>
  </si>
  <si>
    <t>NF 061284 - 1062 CXS - 20 PLTS - MWCU6858008 - CSN N0-00224291/CC-IAI/25</t>
  </si>
  <si>
    <t>31250567620377006155550010000615781001792578</t>
  </si>
  <si>
    <t>NF 061290 - 1051 CXS - 20 PLTS - MWCU696787 - CSN N0-00224146/CC-IAI/25</t>
  </si>
  <si>
    <t>NF 061367 - 1033 CXS - 20 PLTS - MSWU9010454 - CSN N0-00226463/CC-IAI/25</t>
  </si>
  <si>
    <t>NF 061368 - 1038 CXS - 20 PLTS - CXRU1265946 - CSN N0-00224150/CC-IAI/25</t>
  </si>
  <si>
    <t>NF 061443 - 1036 CXS - 20 PLTS - REAU6520384 - CSN N0-00237210/CC-IAI/25</t>
  </si>
  <si>
    <t>SO/4846-74 - MINERVA S/A - PARANATINGA - CNPJ. 67.620.377/0080-18</t>
  </si>
  <si>
    <t>LPCO.: E2500293271</t>
  </si>
  <si>
    <t>DU-E.: 25BR0009195244</t>
  </si>
  <si>
    <t>RUC: 5BR676203772LPL0379725</t>
  </si>
  <si>
    <t>BL.:  ITJKAL017</t>
  </si>
  <si>
    <t xml:space="preserve">NF 039836 - 984 CXS - 21 PLTS - REAU6114390 - CSN N0-00235361/CC-IAI/25 </t>
  </si>
  <si>
    <t xml:space="preserve">NF 039944 - 1001 CXS - 20 PLTS - TTNU8006209 - CSN N0-00226720/CC-IAI/25 </t>
  </si>
  <si>
    <t>81 PALLETS COM O TOTAL DE 1.701,00 KG</t>
  </si>
  <si>
    <t xml:space="preserve">NF 039946 - 1057 CXS - 20 PLTS - TRIU8693711 - CSN N0-00233429/CC-IAI/25 </t>
  </si>
  <si>
    <t xml:space="preserve">NF 040052 - 1050 CXS - 20 PLTS - REAU5032702 - CSN N0-00236453/CC-IAI/25 </t>
  </si>
  <si>
    <t>NF EXPORTAÇÃO.:  40295</t>
  </si>
  <si>
    <t>51250567620377008018550010000402951001529994</t>
  </si>
  <si>
    <t>SO/4846-65X - MINERVA S/A - MIRASSOL DO OESTE - CNPJ. 67.620.377/0062-36</t>
  </si>
  <si>
    <t>LPCO.: E2500293071</t>
  </si>
  <si>
    <t>DU-E.: 25BR0009175987</t>
  </si>
  <si>
    <t>RUC: 5BR676203772LPL0379125</t>
  </si>
  <si>
    <t>BL.:  ITJKAL008</t>
  </si>
  <si>
    <t>309 PALLETS COM O TOTAL DE 6.489,00 KG</t>
  </si>
  <si>
    <t>NF 065881 - 1121 CXS - 21 PLTS - MWCU6950860 - CSN N0-00222061/CC-IAI/25</t>
  </si>
  <si>
    <t>NF 065882 - 1104 CXS - 21 PLTS - MSWU0005312 - CSN N0-00219194/CC-IAI/25</t>
  </si>
  <si>
    <t>NF EXPORTAÇÃO.:  66517</t>
  </si>
  <si>
    <t>NF 065883 - 1096 CXS - 21 PLTS - MWCU6753460 - CSN N0-00222141/CC-IAI/25</t>
  </si>
  <si>
    <t>NF 065884 - 1078 CXS - 20 PLTS - SUDU6016960 - CSN N0-00219223/CC-IAI/25</t>
  </si>
  <si>
    <t>51250567620377006236550010000665171001535578</t>
  </si>
  <si>
    <t>NF 065949 - 1113 CXS - 21 PLTS - TTNU8082019 - CSN N0-00222927/CC-IAI/25</t>
  </si>
  <si>
    <t>NF 065950 - 1120 CXS - 21 PLTS - MSWU0019928 - CSN N0-00224254/CC-IAI/25</t>
  </si>
  <si>
    <t>NF 065953 - 1059 CXS - 20 PLTS - REAU9027026 - CSN N0-00222886/CC-IAI/25</t>
  </si>
  <si>
    <t>NF 065959 - 1063 CXS - 20 PLTS - EMCU5303840 - CSN N0-00224284/CC-IAI/25</t>
  </si>
  <si>
    <t>NF 066118 - 1100 CXS - 20 PLTS - REAU0083245 - CSN N0-00233392/CC-IAI/25</t>
  </si>
  <si>
    <t>NF 066135 - 1122 CXS - 21 PLTS - REAU1125900 - CSN N0-00224165/CC-IAI/25</t>
  </si>
  <si>
    <t>NF 066171 - 1096 CXS - 20 PLTS - MWCU6803833 - CSN N0-00225337/CC-IAI/25</t>
  </si>
  <si>
    <t>NF 066205 - 1113 CXS - 21 PLTS - MWCU6848782 - CSN N0-00235600/CC-IAI/25</t>
  </si>
  <si>
    <t>NF 066289 - 1066 CXS - 20 PLTS - CRXU6966160 - CSN N0-00240895/CC-IAI/25</t>
  </si>
  <si>
    <t>NF 066290 - 1127 CXS - 21 PLTS - CRLU7257265 - CSN N0-00240905/CC-IAI/25</t>
  </si>
  <si>
    <t>NF 066326 - 1125 CXS - 21 PLTS - CRLU1330836 - CSN N0-00244398/CC-IAI/25</t>
  </si>
  <si>
    <t>SO/4846-67X - MINERVA S/A - ARAGUAINA - CNPJ. 67.620.377/0018-62</t>
  </si>
  <si>
    <t>LPCO.: E2500293119</t>
  </si>
  <si>
    <t>DU-E.: 25BR0009179834</t>
  </si>
  <si>
    <t>RUC: 5BR676203772LPL0379625</t>
  </si>
  <si>
    <t>BL.:  ITJKAL010</t>
  </si>
  <si>
    <t>127 PALLETS COM O TOTAL DE 2.667,00 KG</t>
  </si>
  <si>
    <t>NF 168231 - 1197 CXS - 21 PLTS - REAU5154784- CSN N0-00224228/CC-IAI/25</t>
  </si>
  <si>
    <t>NF 168251 - 1199 CXS - 21 PLTS - ANPU6310930 - CSN N0-00224156/CC-IAI/25</t>
  </si>
  <si>
    <t>NF EXPORTAÇÃO.:  168543</t>
  </si>
  <si>
    <t>NF 168310 - 1135 CXS - 21 PLTS - REAU6924895 - CSN N0-00233409/CC-IAI/25</t>
  </si>
  <si>
    <t>NF 168312 - 1192 CXS - 21 PLTS - REAU6008341 - CSN N0-00223639/CC-IAI/25</t>
  </si>
  <si>
    <t>17250567620377001862550010001685431003640955</t>
  </si>
  <si>
    <t>NF 168314 - 1155 CXS - 21 PLTS - REAU9086287 - CSN N0-00223650/CC-IAI/25</t>
  </si>
  <si>
    <t>NF 168400 - 1186 CXS - 21 PLTS - ZCSU5962049 - CSN N0-00240918/CC-IAI/25</t>
  </si>
  <si>
    <t>PARTE LOTE - NF 168473 - 27 CXS - 1 PLTS - REAU4937912 - CSN N0-00249188/CC-IAI/25</t>
  </si>
  <si>
    <t>SO/4846-72X - FORTUNCERES S/A - BATAGUASSU - CNPJ. 52.168.923/0002-31</t>
  </si>
  <si>
    <t>DESTINO: RUSSIA / SIF 4238</t>
  </si>
  <si>
    <t>LPCO.: E2500293200</t>
  </si>
  <si>
    <t>DU-E.: 25BR0009221741</t>
  </si>
  <si>
    <t>RUC: 5BR521689232LPL0380925</t>
  </si>
  <si>
    <t>BL.:  ITJKAL015</t>
  </si>
  <si>
    <t>165 PALLETS COM O TOTAL DE 3.465,00 KG</t>
  </si>
  <si>
    <t>NF 003495 - 1091 CXS - 21 PLTS - REAU6285536 - CSN N0-00224442/CC-IAI/25</t>
  </si>
  <si>
    <t>NF 003568 - 1091 CXS - 20 PLTS - SEGU9736809 - CSN N0-00225336/CC-IAI/25</t>
  </si>
  <si>
    <t>NF EXPORTAÇÃO.:  3966</t>
  </si>
  <si>
    <t>NF 003635 - 1144 CXS - 21 PLTS - WGMU4989006 - CSN N0-00249475/CC-IAI/25</t>
  </si>
  <si>
    <t>NF 003636 - 1110 CXS - 21 PLTS - TRIU8690266 - CSN N0-00231136/CC-IAI/25</t>
  </si>
  <si>
    <t>50250552168923000231550010000039661000125732</t>
  </si>
  <si>
    <t>NF 003642 - 1098 CXS - 20 PLTS - TTNU8494567 - CSN N0-00226631/CC-IAI/25</t>
  </si>
  <si>
    <t>NF 003643 - 1079 CXS - 20 PLTS - CXRU1116500 - CSN N0-00235348/CC-IAI/25</t>
  </si>
  <si>
    <t>NF 003645 - 1137 CXS - 21 PLTS - CXRU1580399 - CSN N0-00225342/CC-IAI/25</t>
  </si>
  <si>
    <t>NF 003714 - 1148 CXS - 21 PLTS - REAU4740522 - CSN N0-00245382/CC-IAI/25</t>
  </si>
  <si>
    <t>SO/4846-68X - FORTUNCERES S/A - MINEIROS - CNPJ. 52.168.923/0005-84</t>
  </si>
  <si>
    <t>DESTINO: RUSSIA / SIF 3047</t>
  </si>
  <si>
    <t>LPCO.: E2500293166</t>
  </si>
  <si>
    <t>DU-E.: 25BR0009244555</t>
  </si>
  <si>
    <t>RUC: 5BR521689232LPL0381325</t>
  </si>
  <si>
    <t>BL.:  ITJKAL011</t>
  </si>
  <si>
    <t>150 PALLETS COM O TOTAL DE 3.150,00 KG</t>
  </si>
  <si>
    <t>NF 003335 - 1130 CXS - 21 PLTS - TRIU8658520 - CSN N0-00231147/CC-IAI/25</t>
  </si>
  <si>
    <t>NF 003336 - 1125 CXS - 21 PLTS - REAU4939983 - CSN N0-00231114/CC-IAI/25</t>
  </si>
  <si>
    <t>NF EXPORTAÇÃO.:  3650</t>
  </si>
  <si>
    <t>NF 003337 - 1155 CXS - 21 PLTS - REAU4929877 - CSN N0-00231166/CC-IAI/25</t>
  </si>
  <si>
    <t>NF 003361 - 1155 CXS - 21 PLTS - REAU5174970 - CSN N0-00235605/CC-IAI/25</t>
  </si>
  <si>
    <t>52250552168923000584550010000036501000109806</t>
  </si>
  <si>
    <t>NF 003373 - 1125 CXS - 21 PLTS - TRIU8668010 - CSN N0-00231671/CC-IAI/25</t>
  </si>
  <si>
    <t>NF 003374 - 1186 CXS - 21 PLTS - TRIU8685655 - CSN N0-00231649/CC-IAI/25</t>
  </si>
  <si>
    <t>NF 003477 - 1201 CXS - 21 PLTS - CRLU7258446 - CSN N0-00250304/CC-IAI/25</t>
  </si>
  <si>
    <t>PARTE LOTE - NF 003548 - 162 CXS - 3 PLTS - REAU4937912 - CSN N0-00249188/CC-IAI/25</t>
  </si>
  <si>
    <t>SO/4846-73X - FORTUNCERES S/A - ALEGRETE - CNPJ. 52.168.923/0013-94</t>
  </si>
  <si>
    <t>DESTINO: RUSSIA / SIF 2007</t>
  </si>
  <si>
    <t>LPCO.: E2500293323</t>
  </si>
  <si>
    <t>DU-E.: 25BR0009226476</t>
  </si>
  <si>
    <t>RUC: 5BR521689232LPL0381025</t>
  </si>
  <si>
    <t>BL.:  ITJKAL016</t>
  </si>
  <si>
    <t>NF 002239 - 1058 CXS - 20 PLTS - REAU5831519 - CSN N0-00236283/CC-IAI/25</t>
  </si>
  <si>
    <t>20 PALLETS COM O TOTAL DE 420,00 KG</t>
  </si>
  <si>
    <t>NF EXPORTAÇÃO.:  2348</t>
  </si>
  <si>
    <t>43250552168923001394550010000023481000040530</t>
  </si>
  <si>
    <t>SO/4846-75X - MINERVA S/A - PALMEIRAS DE GOIAS - CNPJ. 67.620.377/0004-67</t>
  </si>
  <si>
    <t>CONSIGNEE: "INTERFOOD" Ltd.</t>
  </si>
  <si>
    <t>LPCO.: E2500293301</t>
  </si>
  <si>
    <t>DU-E.: 25BR0009215903</t>
  </si>
  <si>
    <t>RUC: 5BR676203772LPL0379825</t>
  </si>
  <si>
    <t>BL.:  ITJKAL018</t>
  </si>
  <si>
    <t xml:space="preserve">NF 602900 - 1096 CXS - 20 PLTS - CRLU7258615 - CSN N0-00237271/CC-IAI/25 </t>
  </si>
  <si>
    <t xml:space="preserve">NF 602901 - 1100 CXS - 20 PLTS - KPRU5790985 - CSN N0-00224350/CC-IAI/25 </t>
  </si>
  <si>
    <t>224 PALLETS COM O TOTAL DE 4.704,00KG</t>
  </si>
  <si>
    <t xml:space="preserve">NF 603048 - 1109 CXS - 21 PLTS - REAU1800818 - CSN N0-00224356/CC-IAI/25 </t>
  </si>
  <si>
    <t xml:space="preserve">NF 603055 - 1110 CXS - 20 PLTS - REAU4960276 - CSN N0-00235069/CC-IAI/25 </t>
  </si>
  <si>
    <t>NF EXPORTAÇÃO.:  603845</t>
  </si>
  <si>
    <t xml:space="preserve">NF 603056 - 1107 CXS - 21 PLTS - REAU4839351 - CSN N0-00233516/CC-IAI/25 </t>
  </si>
  <si>
    <t xml:space="preserve">NF 603112 - 1102 CXS - 20 PLTS - KPRU5779800 - CSN N0-00224258/CC-IAI/25 </t>
  </si>
  <si>
    <t>52250567620377000467550010006038451013211944</t>
  </si>
  <si>
    <t xml:space="preserve">NF 603113 - 1097 CXS - 20 PLTS - CXRU1378454 - CSN N0-00226503/CC-IAI/25 </t>
  </si>
  <si>
    <t xml:space="preserve">NF 603114 - 1141 CXS - 21 PLTS - REAU4972338 - CSN N0-00226477/CC-IAI/25 </t>
  </si>
  <si>
    <t xml:space="preserve">NF 603119 - 1097 CXS - 20 PLTS - TRIU8696475 - CSN N0-00231200/CC-IAI/25 </t>
  </si>
  <si>
    <t xml:space="preserve">NF 603120 - 1105 CXS - 21 PLTS - TRIU8162084 - CSN N0-00231176/CC-IAI/25 </t>
  </si>
  <si>
    <t xml:space="preserve">NF 603121 - 1070 CXS - 20 PLTS - CXRU1081527 - CSN N0-00226409/CC-IAI/25 </t>
  </si>
  <si>
    <t>SO/4846-76X - MINERVA S/A - PARANATINGA - CNPJ. 67.620.377/0080-18</t>
  </si>
  <si>
    <t xml:space="preserve">LPCO.: E2500293251 </t>
  </si>
  <si>
    <t>DU-E.: 25BR0009213471</t>
  </si>
  <si>
    <t>RUC: 5BR676203772LPL0379925</t>
  </si>
  <si>
    <t>BL.:  ITJKAL019</t>
  </si>
  <si>
    <t xml:space="preserve">NF 039845 - 1003 CXS - 20 PLTS - REAU0031703 - CSN N0-00226442/CC-IAI/25 </t>
  </si>
  <si>
    <t xml:space="preserve">NF 039914 - 1008 CXS - 20 PLTS - REAU1126167 - CSN N0-00223590/CC-IAI/25 </t>
  </si>
  <si>
    <t>200 PALLETS COM O TOTAL DE 4.200,00 KG</t>
  </si>
  <si>
    <t xml:space="preserve">NF 039930 - 989 CXS - 20 PLTS - CXRU1615643 - CSN N0-00223472/CC-IAI/25 </t>
  </si>
  <si>
    <t xml:space="preserve">NF 039932 - 1051 CXS - 21 PLTS - TTNU8016315 - CSN N0-00233479/CC-IAI/25 </t>
  </si>
  <si>
    <t>NF EXPORTAÇÃO.:  40308</t>
  </si>
  <si>
    <t xml:space="preserve">NF 039936 - 956 CXS - 19 PLTS - EGHU5006241 - CSN N0-00235596/CC-IAI/25 </t>
  </si>
  <si>
    <t xml:space="preserve">NF 039940 - 986 CXS - 20 PLTS - REAU0001102 - CSN N0-00231294/CC-IAI/25 </t>
  </si>
  <si>
    <t>51250567620377008018550010000403081001530488</t>
  </si>
  <si>
    <t xml:space="preserve">NF 039941 - 1023 CXS - 20 PLTS - ANPU6760407 - CSN N0-00226692/CC-IAI/25 </t>
  </si>
  <si>
    <t xml:space="preserve">NF 039945 - 957 CXS - 20 PLTS - KPRU5775276 - CSN N0-00224368/CC-IAI/25 </t>
  </si>
  <si>
    <t xml:space="preserve">NF 040078 - 1033 CXS - 20 PLTS - REAU6272689 - CSN N0-00251327/CC-IAI/25 </t>
  </si>
  <si>
    <t xml:space="preserve">NF 040080 - 905 CXS - 20 PLTS - REAU9287949 - CSN N0-00249428/CC-IAI/25 </t>
  </si>
  <si>
    <t>SO/4846-77X - MINERVA S/A - ROLIM DE MOURA - CNPJ. 67.620.377/0074-70</t>
  </si>
  <si>
    <t xml:space="preserve">LPCO.: E2500293322 </t>
  </si>
  <si>
    <t>DU-E.: 25BR0009200809</t>
  </si>
  <si>
    <t>RUC: 5BR676203772LPL0380025</t>
  </si>
  <si>
    <t>BL.:  ITJKAL020</t>
  </si>
  <si>
    <t>NF 059222 - 1087 CXS - 21 PLTS - REAU9068154 - CSN N0-00224407/CC-IAI/25</t>
  </si>
  <si>
    <t>NF 059296 - 1084 CXS - 20 PLTS - REAU6098920 - CSN N0-00224312/CC-IAI/25</t>
  </si>
  <si>
    <t>303 PALLETS COM O TOTAL DE 6.363,00 KG</t>
  </si>
  <si>
    <t>NF 059299 - 1083 CXS - 20 PLTS - ZCSU5947466 - CSN N0-00223492/CC-IAI/25</t>
  </si>
  <si>
    <t>NF 059300 - 1081 CXS - 21 PLTS - REAU1141583 - CSN N0-00224277/CC-IAI/25</t>
  </si>
  <si>
    <t>NF EXPORTAÇÃO.:  59693</t>
  </si>
  <si>
    <t>NF 059322 - 1070 CXS - 20 PLTS - TRLU1874712 - CSN N0-00223397/CC-IAI/25</t>
  </si>
  <si>
    <t>NF 059324 - 1083 CXS - 20 PLTS - TTNU8156913 - CSN N0-00240229/CC-IAI/25</t>
  </si>
  <si>
    <t>11250567620377007470550010000596931002341763</t>
  </si>
  <si>
    <t>NF 059325 - 1091 CXS - 20 PLTS - TCLU1203654 - CSN N0-00231222/CC-IAI/25</t>
  </si>
  <si>
    <t>NF 059326 - 1089 CXS - 20 PLTS - WGMU4988308 - CSN N0-00233533/CC-IAI/25</t>
  </si>
  <si>
    <t>NF 059327 - 1083 CXS - 20 PLTS - REAU6350631 - CSN N0-00231286/CC-IAI/25</t>
  </si>
  <si>
    <t>NF 059328 - 1051 CXS - 20 PLTS - TTNU8493154 - CSN N0-00226762/CC-IAI/25</t>
  </si>
  <si>
    <t>NF 059329 - 1092 CXS - 20 PLTS - CXRU1615290 - CSN N0-00224319/CC-IAI/25</t>
  </si>
  <si>
    <t>NF 059333 - 1084 CXS - 20 PLTS - REAU9273924 - CSN N0-00224233/CC-IAI/25</t>
  </si>
  <si>
    <t>NF 059385 - 1087 CXS - 20 PLTS - REAU6925926 - CSN N0-00235592/CC-IAI/25</t>
  </si>
  <si>
    <t>NF 059387 - 1082 CXS - 20 PLTS - REAU5846709 - CSN N0-00234558/CC-IAI/25</t>
  </si>
  <si>
    <t>NF 059421 - 1063 CXS - 21 PLTS - CRLU1383348 - CSN N0-00237088/CC-IAI/25</t>
  </si>
  <si>
    <t>DATA.: ??/??/2026</t>
  </si>
  <si>
    <t>LISTA DE CARGA  -  MV ACONCAGUA BAY - MINERVA S/A &amp; FORTUNCERES</t>
  </si>
  <si>
    <t xml:space="preserve">DESTINO: </t>
  </si>
  <si>
    <t>OBS: OK LPL</t>
  </si>
  <si>
    <t>DATA: 06/08/2025</t>
  </si>
  <si>
    <t>LISTA DE CARGA - MV RUNAWAY BAY - FRIGOMERC // BEEF PARAGUAY S/A - ( MINERVA FOODS )</t>
  </si>
  <si>
    <t>BEEF PARAGUAY - (MINERVA FOODS) SO/5229-1X</t>
  </si>
  <si>
    <t>CRT.: PY306600205</t>
  </si>
  <si>
    <t>SIF.: 23</t>
  </si>
  <si>
    <t>MIC-DTA.: 250292537-6</t>
  </si>
  <si>
    <t>CNTR - SUDU6131603 - 20 PLTS</t>
  </si>
  <si>
    <t>BL.: ITJKGD003</t>
  </si>
  <si>
    <t>BEEF PARAGUAY - (MINERVA FOODS) SO/5229-2X</t>
  </si>
  <si>
    <t>CRT.: PY342000233</t>
  </si>
  <si>
    <t>MIC-DTA.: 250302027-0</t>
  </si>
  <si>
    <t>CNTR - ANPU4914761 - 20 PLTS</t>
  </si>
  <si>
    <t>BL.: ITJKGD005</t>
  </si>
  <si>
    <t>FRIGOMERC - (MINERVA FOODS) SO/5229-3X</t>
  </si>
  <si>
    <t>CRT.: PY313600073</t>
  </si>
  <si>
    <t>SIF.: 2</t>
  </si>
  <si>
    <t>MIC-DTA.: 250268708-4</t>
  </si>
  <si>
    <t>BL.: ITJKGD032</t>
  </si>
  <si>
    <t>FRIGOMERC - (MINERVA FOODS) SO/5229-4X</t>
  </si>
  <si>
    <t>CRT.: PY313600090</t>
  </si>
  <si>
    <t>MIC-DTA.: 250303548-0</t>
  </si>
  <si>
    <t>CNTR - EMCU5303136 - 18 PLTS</t>
  </si>
  <si>
    <t>BL.: ITJKGD033</t>
  </si>
  <si>
    <t>BEEF PARAGUAY - (MINERVA FOODS) SO/5229-5X</t>
  </si>
  <si>
    <t>CRT.: PY342000236</t>
  </si>
  <si>
    <t>MIC-DTA.: 250307391-8</t>
  </si>
  <si>
    <t>CNTR - MWCU6880439 - 20 PLTS</t>
  </si>
  <si>
    <t>BL.: ITJKGD006</t>
  </si>
  <si>
    <t>BEEF PARAGUAY - (MINERVA FOODS) SO/5229-6X</t>
  </si>
  <si>
    <t>CRT.: PY326810307</t>
  </si>
  <si>
    <t>MIC-DTA.: 250323249-8</t>
  </si>
  <si>
    <t>CNTR - ANPU0303248 - 20 PLTS</t>
  </si>
  <si>
    <t>BL.: ITJKGD004</t>
  </si>
  <si>
    <t>FRIGOMERC - (MINERVA FOODS) SO/5229-7X</t>
  </si>
  <si>
    <t>CRT.: PY326810289</t>
  </si>
  <si>
    <t>MIC-DTA.: 250294431-1</t>
  </si>
  <si>
    <t>BL.: ITJKGD034</t>
  </si>
  <si>
    <t>FRIGOMERC - (MINERVA FOODS) SO/5229-8X</t>
  </si>
  <si>
    <t>CRT.: PY342000237</t>
  </si>
  <si>
    <t>MIC-DTA.: 250315249-4</t>
  </si>
  <si>
    <t>CNTR - SUDU5152181 - 18 PLTS</t>
  </si>
  <si>
    <t>BL.: ITJKGD035</t>
  </si>
  <si>
    <t>BEEF PARAGUAY - (MINERVA FOODS) SO/5229-9X</t>
  </si>
  <si>
    <t>CRT.: PY326810306</t>
  </si>
  <si>
    <t>MIC-DTA.: 250315586-8</t>
  </si>
  <si>
    <t>CNTR - EGSU5024022 - 20 PLTS</t>
  </si>
  <si>
    <t>BL.: ITJKGD007</t>
  </si>
  <si>
    <t>BEEF PARAGUAY - (MINERVA FOODS) SO/5229-10X</t>
  </si>
  <si>
    <t>CRT.: PY313600078</t>
  </si>
  <si>
    <t>MIC-DTA.: 250282066-3</t>
  </si>
  <si>
    <t>CNTR - SUDU5201692 - 20 PLTS</t>
  </si>
  <si>
    <t>BL.: ITJKGD008</t>
  </si>
  <si>
    <t>FRIGOMERC - (MINERVA FOODS) SO/5229-11X</t>
  </si>
  <si>
    <t>CRT.: PY326810278</t>
  </si>
  <si>
    <t>MIC-DTA.: 250290719-0</t>
  </si>
  <si>
    <t>BL.: ITJKGD036</t>
  </si>
  <si>
    <t>BEEF PARAGUAY - (MINERVA FOODS) SO/5229-12X</t>
  </si>
  <si>
    <t>CRT.: PY342000231</t>
  </si>
  <si>
    <t>SIF.: 3</t>
  </si>
  <si>
    <t>MIC-DTA.: 250296241-7</t>
  </si>
  <si>
    <t>CNTR - EMCU5297820 - 18 PLTS</t>
  </si>
  <si>
    <t>BL.: ITJKGD009</t>
  </si>
  <si>
    <t>BEEF PARAGUAY - (MINERVA FOODS) SO/5229-13X</t>
  </si>
  <si>
    <t>CRT.: PY326810281</t>
  </si>
  <si>
    <t>MIC-DTA.: 250292467-1</t>
  </si>
  <si>
    <t>BL.: ITJKGD041</t>
  </si>
  <si>
    <t>BEEF PARAGUAY - (MINERVA FOODS) SO/5229-14X</t>
  </si>
  <si>
    <t>CRT.: PY326810284</t>
  </si>
  <si>
    <t>MIC-DTA.: 250296280-8</t>
  </si>
  <si>
    <t>CNTR - SUDU5260571 - 20 PLTS</t>
  </si>
  <si>
    <t>BL.: ITJKGD010</t>
  </si>
  <si>
    <t>FRIGOMERC - (MINERVA FOODS) SO/5229-15X</t>
  </si>
  <si>
    <t>CRT.: PY326810280</t>
  </si>
  <si>
    <t>MIC-DTA.: 250292469-8</t>
  </si>
  <si>
    <t>CNTR - EGSU5008931 - 18 PLTS</t>
  </si>
  <si>
    <t>BL.: ITJKGD037</t>
  </si>
  <si>
    <t>BEEF PARAGUAY - (MINERVA FOODS) SO/5229-16X</t>
  </si>
  <si>
    <t>CRT.: PY326810297</t>
  </si>
  <si>
    <t>MIC-DTA.: 250302273-6</t>
  </si>
  <si>
    <t>CNTR - SUDU5276109 - 18 PLTS</t>
  </si>
  <si>
    <t>BL.: ITJKGD011</t>
  </si>
  <si>
    <t>BEEF PARAGUAY - (MINERVA FOODS) SO/5229-17X</t>
  </si>
  <si>
    <t>CRT.: PY326810285</t>
  </si>
  <si>
    <t>MIC-DTA.: 250294357-9</t>
  </si>
  <si>
    <t>CNTR - ANPU6235001 - 20 PLTS</t>
  </si>
  <si>
    <t>BL.: ITJKGD012</t>
  </si>
  <si>
    <t>BEEF PARAGUAY - (MINERVA FOODS) SO/5229-18X</t>
  </si>
  <si>
    <t>CRT.: PY326810291</t>
  </si>
  <si>
    <t>MIC-DTA.: 250296332-4</t>
  </si>
  <si>
    <t>CNTR - MWCU6686845 - 20 PLTS</t>
  </si>
  <si>
    <t>BL.: ITJKGD013</t>
  </si>
  <si>
    <t>BEEF PARAGUAY - (MINERVA FOODS) SO/5229-19X</t>
  </si>
  <si>
    <t>CRT.: PY326810290</t>
  </si>
  <si>
    <t>MIC-DTA.: 250296287-5</t>
  </si>
  <si>
    <t>CNTR - EGSU5010630 - 18 PLTS</t>
  </si>
  <si>
    <t>BL.: ITJKGD038</t>
  </si>
  <si>
    <t>BEEF PARAGUAY - (MINERVA FOODS) SO/5229-20X</t>
  </si>
  <si>
    <t>CRT.: PY326810303</t>
  </si>
  <si>
    <t>MIC-DTA.: 250311602-1</t>
  </si>
  <si>
    <t>CNTR - MWCU6860685 - 18 PLTS</t>
  </si>
  <si>
    <t>BL.: ITJKGD014</t>
  </si>
  <si>
    <t>BEEF PARAGUAY - (MINERVA FOODS) SO/5229-21X</t>
  </si>
  <si>
    <t>CRT.: PY326810293</t>
  </si>
  <si>
    <t>MIC-DTA.: 250302288-4</t>
  </si>
  <si>
    <t>CNTR - SUDU6002381 - 20 PLTS</t>
  </si>
  <si>
    <t>BL.: ITJKGD015</t>
  </si>
  <si>
    <t>BEEF PARAGUAY - (MINERVA FOODS) SO/5229-22X</t>
  </si>
  <si>
    <t>CRT.: PY313600087</t>
  </si>
  <si>
    <t>MIC-DTA.: 250296379-0</t>
  </si>
  <si>
    <t>CNTR - MNBU0011396 - 20 PLTS</t>
  </si>
  <si>
    <t>BL.: ITJKGD016</t>
  </si>
  <si>
    <t>FRIGOMERC - (MINERVA FOODS) SO/5229-23X</t>
  </si>
  <si>
    <t>CRT.: PY326810292</t>
  </si>
  <si>
    <t>MIC-DTA.: 250302262-0</t>
  </si>
  <si>
    <t>BL.: ITJKGD039</t>
  </si>
  <si>
    <t>BEEF PARAGUAY - (MINERVA FOODS) SO/5229-24X</t>
  </si>
  <si>
    <t>CRT.: PY313600096</t>
  </si>
  <si>
    <t>MIC-DTA.: 250314818-7</t>
  </si>
  <si>
    <t>CNTR - MWCU6556862 - 18 PLTS</t>
  </si>
  <si>
    <t>BL.: ITJKGD017</t>
  </si>
  <si>
    <t>BEEF PARAGUAY - (MINERVA FOODS) SO/5229-25X</t>
  </si>
  <si>
    <t>CRT.: PY326810294</t>
  </si>
  <si>
    <t>MIC-DTA.: 250306026-3</t>
  </si>
  <si>
    <t>CNTR - SUDU5113821 - 20 PLTS</t>
  </si>
  <si>
    <t>BL.: ITJKGD018</t>
  </si>
  <si>
    <t>BEEF PARAGUAY - (MINERVA FOODS) SO/5229-26X</t>
  </si>
  <si>
    <t>CRT.: PY313600089</t>
  </si>
  <si>
    <t>MIC-DTA.: 250301774-0</t>
  </si>
  <si>
    <t>CNTR - SUDU5246716 - 20 PLTS</t>
  </si>
  <si>
    <t>BL.: ITJKGD019</t>
  </si>
  <si>
    <t>FRIGOMERC - (MINERVA FOODS) SO/5229-27X</t>
  </si>
  <si>
    <t>CRT.: PY346700018</t>
  </si>
  <si>
    <t>MIC-DTA.: 250300062-7</t>
  </si>
  <si>
    <t>CNTR - SUDU6186930 - 18 PLTS</t>
  </si>
  <si>
    <t>BL.: ITJKGD040</t>
  </si>
  <si>
    <t>BEEF PARAGUAY - (MINERVA FOODS) SO/5229-28X</t>
  </si>
  <si>
    <t>CRT.: PY313600094</t>
  </si>
  <si>
    <t>MIC-DTA.: 250313203-5</t>
  </si>
  <si>
    <t>CNTR - SUDU5270245 - 20 PLTS</t>
  </si>
  <si>
    <t>BL.: ITJKGD020</t>
  </si>
  <si>
    <t>BEEF PARAGUAY - (MINERVA FOODS) SO/5229-29</t>
  </si>
  <si>
    <t>CRT.: PY342000229</t>
  </si>
  <si>
    <t>MIC-DTA.: 250294810-4</t>
  </si>
  <si>
    <t>BL.: ITJKGD021</t>
  </si>
  <si>
    <t>BEEF PARAGUAY - (MINERVA FOODS) SO/5229-30</t>
  </si>
  <si>
    <t>CRT.: PY326810276</t>
  </si>
  <si>
    <t>MIC-DTA.: 250270382-9</t>
  </si>
  <si>
    <t>CNTR - SUDU6016960 - 18 PLTS</t>
  </si>
  <si>
    <t>BL.: ITJKGD022</t>
  </si>
  <si>
    <t>BEEF PARAGUAY - (MINERVA FOODS) SO/5229-31X</t>
  </si>
  <si>
    <t>CRT.: PY342000244</t>
  </si>
  <si>
    <t>MIC-DTA.: 2503418648</t>
  </si>
  <si>
    <t>CNTR - ANPU6151317 - 20 PLTS</t>
  </si>
  <si>
    <t>BL.: ITJKGD023</t>
  </si>
  <si>
    <t>BEEF PARAGUAY - (MINERVA FOODS) SO/5229-32X</t>
  </si>
  <si>
    <t>CRT.: PY326810299</t>
  </si>
  <si>
    <t>MIC-DTA.: 250306111-1</t>
  </si>
  <si>
    <t>CNTR - SUDU8150032 - 20 PLTS</t>
  </si>
  <si>
    <t>BL.: ITJKGD024</t>
  </si>
  <si>
    <t>BEEF PARAGUAY - (MINERVA FOODS) SO/5229-33</t>
  </si>
  <si>
    <t>CRT.: PY313600077</t>
  </si>
  <si>
    <t>MIC-DTA.: 250282041-8</t>
  </si>
  <si>
    <t>CNTR - MWMU6378293 - 18 PLTS</t>
  </si>
  <si>
    <t>BL.: ITJKGD025</t>
  </si>
  <si>
    <t>BEEF PARAGUAY - (MINERVA FOODS) SO/5229-34</t>
  </si>
  <si>
    <t>CRT.: PY306600206</t>
  </si>
  <si>
    <t>MIC-DTA.: 250294720-5</t>
  </si>
  <si>
    <t>CNTR - MWCU6995422 - 18 PLTS</t>
  </si>
  <si>
    <t>BL.: ITJKGD026</t>
  </si>
  <si>
    <t>BEEF PARAGUAY - (MINERVA FOODS) SO/5229-35</t>
  </si>
  <si>
    <t>CRT.: PY326810309</t>
  </si>
  <si>
    <t>MIC-DTA.: 250325473-4</t>
  </si>
  <si>
    <t>CNTR - SUDU6016791- 20 PLTS</t>
  </si>
  <si>
    <t>BL.: ITJKGD027</t>
  </si>
  <si>
    <t>BEEF PARAGUAY - (MINERVA FOODS) SO/5229-36</t>
  </si>
  <si>
    <t>CRT.: PY342000227</t>
  </si>
  <si>
    <t>MIC-DTA.: 250290396-8</t>
  </si>
  <si>
    <t>CNTR - SUDU5152936 - 18 PLTS</t>
  </si>
  <si>
    <t>BL.: ITJKGD028</t>
  </si>
  <si>
    <t>FRIGOMERC - (MINERVA FOODS) SO/5229-37</t>
  </si>
  <si>
    <t>CRT.: PY342000243</t>
  </si>
  <si>
    <t>MIC-DTA.: 2503362561</t>
  </si>
  <si>
    <t>CNTR - MWCU6720580 - 18 PLTS</t>
  </si>
  <si>
    <t>BL.: ITJKGD029</t>
  </si>
  <si>
    <t>BEEF PARAGUAY - (MINERVA FOODS) SO/5229-38</t>
  </si>
  <si>
    <t>CRT.: PY326810282</t>
  </si>
  <si>
    <t>MIC-DTA.: 250292465-5</t>
  </si>
  <si>
    <t>BL.: ITJKGD030</t>
  </si>
  <si>
    <t>BEEF PARAGUAY - (MINERVA FOODS) SO/5229-39</t>
  </si>
  <si>
    <t>CRT.: PY302500729</t>
  </si>
  <si>
    <t>MIC-DTA.: 250307430-2</t>
  </si>
  <si>
    <t>CNTR - SUDU5205980 - 18 PLTS</t>
  </si>
  <si>
    <t>BL.: ITJKGD031</t>
  </si>
  <si>
    <t>05/08/2025</t>
  </si>
  <si>
    <t>LISTA DE CARGA  -  MV RUNAWAY BAY - MINERVA S/A</t>
  </si>
  <si>
    <t>SO/5229-45X - MINERVA S/A - BARRETOS - CNPJ. 67.620.377/0001-14</t>
  </si>
  <si>
    <t>LPCO.: E2500</t>
  </si>
  <si>
    <t>DU-E.: 25BR0014315376</t>
  </si>
  <si>
    <t>RUC: 5BR676203772LPL0616025</t>
  </si>
  <si>
    <t>83577 - FROZEN BONELLES BEEF TRIMMING 80 VL BP</t>
  </si>
  <si>
    <t>BL.:  ITJKGD047</t>
  </si>
  <si>
    <t>202 PALLETS COM O TOTAL DE 4.242,00 KG</t>
  </si>
  <si>
    <t>NF EXPORTAÇÃO.:  301233</t>
  </si>
  <si>
    <t>NF 300962 - 1071 CXS - 21 PLTS - PONU4818270 - CSN N0-00361502/CC-IAI/25</t>
  </si>
  <si>
    <r>
      <rPr>
        <rFont val="Arial"/>
        <b/>
        <color rgb="FF000000"/>
        <sz val="9.0"/>
      </rPr>
      <t xml:space="preserve">NF 300965 - 1067 CXS - 20 PLTS - MWCU5239605 - CSN </t>
    </r>
    <r>
      <rPr>
        <rFont val="Arial"/>
        <b/>
        <color rgb="FF000000"/>
        <sz val="9.0"/>
      </rPr>
      <t>N0-00371309/CC-IAI/25</t>
    </r>
  </si>
  <si>
    <t>35250767620377000114550010003012331008436981</t>
  </si>
  <si>
    <t xml:space="preserve">NF 300966 - 1142 CXS - 20 PLTS - MSWU0039293 - CSN N0-00363290/CC-IAI/25 </t>
  </si>
  <si>
    <t>NF 300967 - 1095 CXS - 20 PLTS - PONU4928451 - CSN N0-00365099/CC-IAI/25</t>
  </si>
  <si>
    <t xml:space="preserve">NF 300969 - 1113 CXS - 21 PLTS - TCLU1020397 - CSN N0-00367309/CC-IAI/25 </t>
  </si>
  <si>
    <t>NF 300970 - 1087 CXS - 20 PLTS - TTNU8233286 - CSN N0-00368876/CC-IAI/25</t>
  </si>
  <si>
    <t xml:space="preserve">NF 301066 - 1089 CXS - 20 PLTS - CGMU4915908 - CSN N0-00376427/CC-STS/25 </t>
  </si>
  <si>
    <t xml:space="preserve">NF 301169 - 1055 CXS - 20 PLTS - HJMU6100397 - CSN N0-00375435/CC-STS/25 </t>
  </si>
  <si>
    <t>NF 301170 - 1088 CXS - 20 PLTS - SUDU5225415 - CSN N0-00380053/CC-IAI/25</t>
  </si>
  <si>
    <r>
      <rPr>
        <rFont val="Arial"/>
        <b/>
        <color rgb="FF000000"/>
        <sz val="9.0"/>
      </rPr>
      <t xml:space="preserve">NF 301171 - 1085 CXS - 20 PLTS - TTNU8082019 - CSN </t>
    </r>
    <r>
      <rPr>
        <rFont val="Arial"/>
        <b/>
        <color rgb="FF000000"/>
        <sz val="9.0"/>
      </rPr>
      <t>N0-00380063/CC-IAI/25</t>
    </r>
  </si>
  <si>
    <t>SO/5229-40X - MINERVA S/A - PALMEIRAS DE GOIAS - CNPJ. 67.620.377/0004-67</t>
  </si>
  <si>
    <t>DU-E.: 25BR0014301707</t>
  </si>
  <si>
    <t>RUC: 5BR676203772LPL0615525</t>
  </si>
  <si>
    <t>BL.:  ITJKGD042</t>
  </si>
  <si>
    <t>528 PALLETS COM O TOTAL DE 11.088,00 KG</t>
  </si>
  <si>
    <t>NF EXPORTAÇÃO.:  608172</t>
  </si>
  <si>
    <t>52250767620377000467550010006081721013341359</t>
  </si>
  <si>
    <t>NF 607823 - 1090 CXS - 20 PLTS - MSWU1001693 - CSN N0-00360456/CC-IAI/25</t>
  </si>
  <si>
    <t>NF 607827 - 1105 CXS - 21 PLTS - SUDU5223829 - CSN N0-00358738/CC-IAI/25</t>
  </si>
  <si>
    <t>NF 607863 - 1083 CXS - 20 PLTS - MSWU0042168 - CSN N0-00356231/CC-IAI/25</t>
  </si>
  <si>
    <t>NF 607864 - 1101 CXS - 20 PLTS - MWCU5244746 - CSN N0-00365045/CC-IAI/25</t>
  </si>
  <si>
    <t>NF 607866 - 1096 CXS - 20 PLTS - ANPU1215034 - CSN N0-00364471/CC-IAI/25</t>
  </si>
  <si>
    <t>NF 607867 - 1098 CXS - 20 PLTS - CRLU6215537 - CSN N0-00375262/CC-STS/25</t>
  </si>
  <si>
    <t>NF 607869 - 1105 CXS - 21 PLTS - TRIU8686944 - CSN N0-00367243/CC-IAI/25</t>
  </si>
  <si>
    <t>NF 607870 - 1141 CXS - 21 PLTS - TTNU8156913 - CSN N0-00367212/CC-IAI/25</t>
  </si>
  <si>
    <t>NF 607871 - 1101 CXS - 21 PLTS - TCLU1368192 - CSN N0-00368411/CC-IAI/25</t>
  </si>
  <si>
    <r>
      <rPr>
        <rFont val="Arial"/>
        <b/>
        <color rgb="FF000000"/>
        <sz val="9.0"/>
      </rPr>
      <t xml:space="preserve">NF 607872 - 1094 CXS - 20 PLTS - TTNU8317345 - CSN </t>
    </r>
    <r>
      <rPr>
        <rFont val="Arial"/>
        <b/>
        <color rgb="FF000000"/>
        <sz val="9.0"/>
      </rPr>
      <t>N0-00372178/CC-IAI/25</t>
    </r>
  </si>
  <si>
    <t>NF 607881 - 1097 CXS - 21 PLTS - OCNU4996359 - CSN N0-00369977/CC-IAI/25</t>
  </si>
  <si>
    <t>NF 607884 - 1096 CXS - 20 PLTS - APRU5705453 - CSN N0-00368895/CC-IAI/25</t>
  </si>
  <si>
    <t>NF 607886 - 1099 CXS - 20 PLTS - SEGU9737955 - CSN N0-00368853/CC-IAI/25</t>
  </si>
  <si>
    <t>NF 607887 - 1093 CXS - 20 PLTS - MSWU0004980 - CSN N0-00364957/CC-IAI/25</t>
  </si>
  <si>
    <r>
      <rPr>
        <rFont val="Arial"/>
        <b/>
        <color rgb="FF000000"/>
        <sz val="9.0"/>
      </rPr>
      <t xml:space="preserve">NF 607889 - 1094 CXS - 20 PLTS - TRIU8730538 - CSN </t>
    </r>
    <r>
      <rPr>
        <rFont val="Arial"/>
        <b/>
        <color rgb="FF000000"/>
        <sz val="9.0"/>
      </rPr>
      <t>N0-00372028/CC-IAI/25</t>
    </r>
  </si>
  <si>
    <t>NF 607903 - 1119 CXS - 21 PLTS - TRIU8116113 - CSN N0-00369826/CC-IAI/25</t>
  </si>
  <si>
    <t>NF 607977 - 1094 CXS - 20 PLTS - MWCU7008159 - CSN N0-00376409/CC-IAI/25</t>
  </si>
  <si>
    <r>
      <rPr>
        <rFont val="Arial"/>
        <b/>
        <color rgb="FF000000"/>
        <sz val="9.0"/>
      </rPr>
      <t xml:space="preserve">NF 608066 - 1104 CXS - 20 PLTS - MWCU6676620 - CSN </t>
    </r>
    <r>
      <rPr>
        <rFont val="Arial"/>
        <b/>
        <color rgb="FF000000"/>
        <sz val="9.0"/>
      </rPr>
      <t>N0-00360304/CC-IAI/25</t>
    </r>
  </si>
  <si>
    <r>
      <rPr>
        <rFont val="Arial"/>
        <b/>
        <color rgb="FF000000"/>
        <sz val="9.0"/>
      </rPr>
      <t xml:space="preserve">NF 608068 - 1057 CXS - 21 PLTS - TRIU8679879 - CSN </t>
    </r>
    <r>
      <rPr>
        <rFont val="Arial"/>
        <b/>
        <color rgb="FF000000"/>
        <sz val="9.0"/>
      </rPr>
      <t>N0-00381446/CC-STS/25</t>
    </r>
  </si>
  <si>
    <t>NF 608070 - 1101 CXS - 21 PLTS - TCLU1134126 - CSN N0-00376697/CC-STS/25</t>
  </si>
  <si>
    <t>NF 608072 - 1100 CXS - 20 PLTS - TRIU8065058 - CSN N0-00377603/CC-STS/25</t>
  </si>
  <si>
    <t>NF 608073 - 1069 CXS - 20 PLTS - TRIU8740752 - CSN N0-00376430/CC-~STS/25</t>
  </si>
  <si>
    <r>
      <rPr>
        <rFont val="Arial"/>
        <b/>
        <color rgb="FF000000"/>
        <sz val="9.0"/>
      </rPr>
      <t xml:space="preserve">NF 608074 - 1097 CXS - 20 PLTS - TRIU8693711 - CSN </t>
    </r>
    <r>
      <rPr>
        <rFont val="Arial"/>
        <b/>
        <color rgb="FF000000"/>
        <sz val="9.0"/>
      </rPr>
      <t>N0-00377575/CC-STS/25</t>
    </r>
  </si>
  <si>
    <r>
      <rPr>
        <rFont val="Arial"/>
        <b/>
        <color rgb="FF000000"/>
        <sz val="9.0"/>
      </rPr>
      <t xml:space="preserve">NF 608075 - 1079 CXS - 20 PLTS - TTNU8035531 - CSN </t>
    </r>
    <r>
      <rPr>
        <rFont val="Arial"/>
        <b/>
        <color rgb="FF000000"/>
        <sz val="9.0"/>
      </rPr>
      <t>N0-00377643/CC-STS/25</t>
    </r>
  </si>
  <si>
    <t>NF 608131 - 1097 CXS - 20 PLTS - MSWU1007900 - CSN N0-00364633/CC-IAI/25</t>
  </si>
  <si>
    <r>
      <rPr>
        <rFont val="Arial"/>
        <b/>
        <color rgb="FF000000"/>
        <sz val="9.0"/>
      </rPr>
      <t xml:space="preserve">NF 608102 - 1019 CXS - 21 PLTS - OCNU5040645 - CSN </t>
    </r>
    <r>
      <rPr>
        <rFont val="Arial"/>
        <b/>
        <color rgb="FF000000"/>
        <sz val="9.0"/>
      </rPr>
      <t>N0-00376003/CC-STS/25</t>
    </r>
  </si>
  <si>
    <t>SO/5515-3 - MINERVA S/A - PALMEIRAS DE GOIAS - CNPJ. 67.620.377/0004-67</t>
  </si>
  <si>
    <t>DU-E.: 25BR0014318090</t>
  </si>
  <si>
    <t>RUC: 5BR676203772LPL0616725</t>
  </si>
  <si>
    <t xml:space="preserve">NF 608103 - 1022 CXS - 20 PLTS - MWCU6677885 - CSN N0-00375917/CC-STS/25 </t>
  </si>
  <si>
    <t>BL.:  ITJKGD053</t>
  </si>
  <si>
    <t>NF EXPORTAÇÃO.:  608140</t>
  </si>
  <si>
    <t>52250767620377000467550010006081401013339806</t>
  </si>
  <si>
    <t>SO/5229-47X - MINERVA S/A - PARANATINGA - CNPJ. 67.620.377/0080-18</t>
  </si>
  <si>
    <t>DU-E.: 25BR0014317310</t>
  </si>
  <si>
    <t>RUC: 5BR676203772LPL0616225</t>
  </si>
  <si>
    <t>BL.:  ITJKGD049</t>
  </si>
  <si>
    <t>305 PALLETS COM O TOTAL DE 6.405,00 KG</t>
  </si>
  <si>
    <t>NF EXPORTAÇÃO.:  42304</t>
  </si>
  <si>
    <t xml:space="preserve">NF 042151 - 1034 CXS - 21 PLTS - MWCU6858008 - CSN N0-00360427/CC-IAI/25 </t>
  </si>
  <si>
    <t xml:space="preserve">NF 042153 - 1094 CXS - 20 PLTS - MWCU6711974 - CSN N0-00364550/CC-IAI/25 </t>
  </si>
  <si>
    <t>51250767620377008018550010000423041001577090</t>
  </si>
  <si>
    <t xml:space="preserve">NF 042154 - 1026 CXS - 20 PLTS - MNBU0025044 - CSN N0-00371329/CC-IAI/25 </t>
  </si>
  <si>
    <t xml:space="preserve">NF 042155 - 1052 CXS - 20 PLTS - SUDU6083552 - CSN N0-00367283/CC-IAI/25 </t>
  </si>
  <si>
    <t xml:space="preserve">NF 042156 - 1091 CXS - 20 PLTS - ANPU6928379 - CSN N0-00367210/CC-IAI/25 </t>
  </si>
  <si>
    <t xml:space="preserve">NF 042157 - 992 CXS - 20 PLTS - MWCU6767037 - CSN N0-00360379/CC-IAI/25 </t>
  </si>
  <si>
    <t xml:space="preserve">NF 042158 - 1050 CXS - 21 PLTS - MWCU6803833 - CSN N0-00365018/CC-IAI/25 </t>
  </si>
  <si>
    <t xml:space="preserve">NF 042159 - 1069 CXS - 20 PLTS - MWCU6672707 - CSN N0-00367146/CC-IAI/25 </t>
  </si>
  <si>
    <t xml:space="preserve">NF 042160 - 1019 CXS - 20 PLTS - TTNU8493175 - CSN N0-00368836/CC-IAI/25 </t>
  </si>
  <si>
    <t xml:space="preserve">NF 042161 - 1097 CXS - 20 PLTS - CGMU5010719 - CSN N0-00376295/CC-STS/25 </t>
  </si>
  <si>
    <t xml:space="preserve">NF 042227 - 1048 CXS - 21 PLTS - OCNU9274261 - CSN N0-00375701/CC-IAI/25 </t>
  </si>
  <si>
    <r>
      <rPr>
        <rFont val="Arial"/>
        <b/>
        <color rgb="FF000000"/>
        <sz val="9.0"/>
      </rPr>
      <t xml:space="preserve">NF 042259 - 1137 CXS - 21 PLTS - APRU5750534 - CSN </t>
    </r>
    <r>
      <rPr>
        <rFont val="Arial"/>
        <b/>
        <color rgb="FF000000"/>
        <sz val="9.0"/>
      </rPr>
      <t>N0-00378086/CC-IAI/25</t>
    </r>
    <r>
      <rPr>
        <rFont val="Arial"/>
        <b/>
        <color rgb="FF000000"/>
        <sz val="9.0"/>
      </rPr>
      <t xml:space="preserve"> </t>
    </r>
  </si>
  <si>
    <r>
      <rPr>
        <rFont val="Arial"/>
        <b/>
        <color rgb="FF000000"/>
        <sz val="9.0"/>
      </rPr>
      <t xml:space="preserve">NF 042275 - 1047 CXS - 20 PLTS - MNBU0010569 - CSN </t>
    </r>
    <r>
      <rPr>
        <rFont val="Arial"/>
        <b/>
        <color rgb="FF000000"/>
        <sz val="9.0"/>
      </rPr>
      <t xml:space="preserve">N0-00377740/CC-STSI/25 </t>
    </r>
  </si>
  <si>
    <t xml:space="preserve">NF 042276 - 1051 CXS - 21 PLTS - CXRU1327014 - CSN N0-00367240/CC-IAI/25 </t>
  </si>
  <si>
    <r>
      <rPr>
        <rFont val="Arial"/>
        <b/>
        <color rgb="FF000000"/>
        <sz val="9.0"/>
      </rPr>
      <t xml:space="preserve">NF 042278 - 1091 CXS - 20 PLTS - PONU4864212 - CSN </t>
    </r>
    <r>
      <rPr>
        <rFont val="Arial"/>
        <b/>
        <color rgb="FF000000"/>
        <sz val="9.0"/>
      </rPr>
      <t>N0-00377745/CC-STS/25</t>
    </r>
    <r>
      <rPr>
        <rFont val="Arial"/>
        <b/>
        <color rgb="FF000000"/>
        <sz val="9.0"/>
      </rPr>
      <t xml:space="preserve"> </t>
    </r>
  </si>
  <si>
    <t>SO/5515-2 - MINERVA S/A - PARANATINGA - CNPJ. 67.620.377/0080-18</t>
  </si>
  <si>
    <t>DU-E.: 25BR0014317948</t>
  </si>
  <si>
    <t>RUC: 5BR676203772LPL0616525</t>
  </si>
  <si>
    <t xml:space="preserve">NF 42229 - 1051 CXS - 20 PLTS - APRU5827831 - CSN N0-00372427/CC-IAI/25 </t>
  </si>
  <si>
    <t>BL.:  ITJKGD052</t>
  </si>
  <si>
    <t>NF EXPORTAÇÃO.:  42297</t>
  </si>
  <si>
    <t xml:space="preserve">OBS:  </t>
  </si>
  <si>
    <t>51250767620377008018550010000422971001576713</t>
  </si>
  <si>
    <t>SO/5229-46X - MINERVA S/A - MIRASSOL DO OESTE - CNPJ. 67.620.377/0062-36</t>
  </si>
  <si>
    <t>DU-E.: 25BR0014316623</t>
  </si>
  <si>
    <t>RUC: 5BR676203772LPL0616125</t>
  </si>
  <si>
    <t>BL.:  ITJKGD048</t>
  </si>
  <si>
    <t>415 PALLETS COM O TOTAL DE 8.715,00 KG</t>
  </si>
  <si>
    <t>NF EXPORTAÇÃO.:  68963</t>
  </si>
  <si>
    <t>51250767620377006236550010000689631001589750</t>
  </si>
  <si>
    <t>NF 068764 - 1079 CXS - 20 PLTS - SUDU5280006 - CSN N0-00358800/CC-IAI/25</t>
  </si>
  <si>
    <t>NF 068769 - 1118 CXS - 20 PLTS - SUDU6008013 - CSN N0-00360498/CC-IAI/25</t>
  </si>
  <si>
    <t>NF 068770 - 1112 CXS - 21 PLTS - SUDU5168589 - CSN N0-00356723/CC-IAI/25</t>
  </si>
  <si>
    <t>NF 068773 - 1113 CXS - 21 PLTS - PONU4849563 - CSN N0-00357584/CC-IAI/25</t>
  </si>
  <si>
    <t>NF 068782 - 1128 CXS - 21 PLTS - CRLU1343160 - CSN N0-00373667/CC-IAI/25</t>
  </si>
  <si>
    <t>NF 068783 - 1128 CXS - 21 PLTS - MWMU6437842 - CSN N0-00364611/CC-IAI/25</t>
  </si>
  <si>
    <t>NF 068784 - 1126 CXS - 21 PLTS - SUDU5118910 - CSN N0-00368911/CC-IAI/25</t>
  </si>
  <si>
    <r>
      <rPr>
        <rFont val="Arial"/>
        <b/>
        <color rgb="FF000000"/>
        <sz val="9.0"/>
      </rPr>
      <t>NF 068785 - 1066 CXS - 20 PLTS - TTNU8494660 - CSN</t>
    </r>
    <r>
      <rPr>
        <rFont val="Arial"/>
        <b/>
        <color rgb="FF000000"/>
        <sz val="9.0"/>
      </rPr>
      <t xml:space="preserve"> N0-00371328/CC-IAI/25</t>
    </r>
  </si>
  <si>
    <t>NF 068786 - 1117 CXS - 21 PLTS - SEGU9736943 - CSN N0-00368705/CC-STS/25</t>
  </si>
  <si>
    <t>NF 068787 - 1110 CXS - 21 PLTS - MSWU0083790 - CSN N0-00367148/CC-IAI/25</t>
  </si>
  <si>
    <t>NF 068788 - 1107 CXS - 21 PLTS - TRIU8597678 - CSN N0-00373581/CC-IAI/25</t>
  </si>
  <si>
    <r>
      <rPr>
        <rFont val="Arial"/>
        <b/>
        <color rgb="FF000000"/>
        <sz val="9.0"/>
      </rPr>
      <t>NF 068789 - 1101 CXS - 21 PLTS - APRU5706172 - CSN</t>
    </r>
    <r>
      <rPr>
        <rFont val="Arial"/>
        <b/>
        <color rgb="FF000000"/>
        <sz val="9.0"/>
      </rPr>
      <t xml:space="preserve"> N0-00375308/CC-IAI/25</t>
    </r>
  </si>
  <si>
    <t>NF 068842 - 1066 CXS - 20 PLTS - MSWU0005312 - CSN N0-00376429/CC-STS/25</t>
  </si>
  <si>
    <t>NF 068843 - 1155 CXS - 21 PLTS - SUDU6071398 - CSN N0-00376669/CC-STS/25</t>
  </si>
  <si>
    <t>NF 068845 - 1157 CXS - 21 PLTS - TTNU8337059 - CSN N0-00376672/CC-STS/25</t>
  </si>
  <si>
    <t>NF 068847 - 1084 CXS - 20 PLTS - TRIU8668010 - CSN N0-00372457/CC-IAI/25</t>
  </si>
  <si>
    <t>NF 068870 - 1149 CXS - 21 PLTS - MSWU9102294 - CSN N0-00376648/CC-STS/25</t>
  </si>
  <si>
    <r>
      <rPr>
        <rFont val="Arial"/>
        <b/>
        <color rgb="FF000000"/>
        <sz val="9.0"/>
      </rPr>
      <t>NF 068895 - 1058 CXS - 21 PLTS - CRLU1128255 - CSN</t>
    </r>
    <r>
      <rPr>
        <rFont val="Arial"/>
        <b/>
        <color rgb="FF000000"/>
        <sz val="9.0"/>
      </rPr>
      <t xml:space="preserve"> N0-00376655/CC-STS/25</t>
    </r>
  </si>
  <si>
    <r>
      <rPr>
        <rFont val="Arial"/>
        <b/>
        <color rgb="FF000000"/>
        <sz val="9.0"/>
      </rPr>
      <t xml:space="preserve">NF 068897 - 1068 CXS - 21 PLTS - EGHU5002333 - CSN </t>
    </r>
    <r>
      <rPr>
        <rFont val="Arial"/>
        <b/>
        <color rgb="FF000000"/>
        <sz val="9.0"/>
      </rPr>
      <t>N0-00377596/CC-STS/25</t>
    </r>
  </si>
  <si>
    <t>NF 068907 - 1137 CXS - 21 PLTS - APRU5826898 - CSN N0-00367514/CC-IAI/25</t>
  </si>
  <si>
    <t>SO/5515-1 - MINERVA S/A - MIRASSOL DO OESTE - CNPJ. 67.620.377/0062-36</t>
  </si>
  <si>
    <t>DU-E.: 25BR0014317883</t>
  </si>
  <si>
    <t>RUC: 5BR676203772LPL0616425</t>
  </si>
  <si>
    <t>NF 068781 - 1077 CXS - 20 PLTS - TRIU8132095 - CSN N0-00367126/CC-IAI/25</t>
  </si>
  <si>
    <t>BL.:  ITJKGD051</t>
  </si>
  <si>
    <t>NF EXPORTAÇÃO.:  68942</t>
  </si>
  <si>
    <t>51250767620377006236550010000689421001589342</t>
  </si>
  <si>
    <t>SO/5229-44X - MINERVA S/A - ARAGUAINA - CNPJ. 67.620.377/0018-62</t>
  </si>
  <si>
    <t>DU-E.: 25BR0014314132</t>
  </si>
  <si>
    <t>RUC: 5BR676203772LPL0615925</t>
  </si>
  <si>
    <t>BL.:  ITJKGD046</t>
  </si>
  <si>
    <t>NF 169760 - 1195 CXS - 20 PLTS - MSWU9010454 - CSN N0-00361500/CC-IAI/25</t>
  </si>
  <si>
    <t>NF 169761 - 1177 CXS - 21 PLTS - MWCU6958922 - CSN N0-00366079/CC-IAI/25</t>
  </si>
  <si>
    <t>186 PALLETS COM O TOTAL DE 3.906,00 KG</t>
  </si>
  <si>
    <t>NF 169762 - 1196 CXS - 21 PLTS - TRIU8586185 - CSN N0-00369456/CC-IAI/25</t>
  </si>
  <si>
    <t>NF 169763 - 1200 CXS - 20 PLTS - MWCU5308769 - CSN N0-00364556/CC-IAI/25</t>
  </si>
  <si>
    <t>NF EXPORTAÇÃO.:  169848</t>
  </si>
  <si>
    <t>NF 169764 - 1197 CXS - 20 PLTS - CGMU4844830 - CSN N0-00367303/CC-IAI/25</t>
  </si>
  <si>
    <t>NF 169796 - 1192 CXS - 21 PLTS - TRIU8727935 - CSN N0-00376426/CC-STS/25</t>
  </si>
  <si>
    <t>17250767620377001862550010001698481003675907</t>
  </si>
  <si>
    <t>NF 169797 - 1165 CXS - 21 PLTS - PONU4945021 - CSN N0-00376416/CC-STS/25</t>
  </si>
  <si>
    <t>NF 169798 - 1193 CXS - 21 PLTS - MWCU6706031 - CSN N0-00379389/CC-IAI/25</t>
  </si>
  <si>
    <r>
      <rPr>
        <rFont val="Arial"/>
        <b/>
        <color rgb="FF000000"/>
        <sz val="9.0"/>
      </rPr>
      <t xml:space="preserve">NF 169817 - 1193 CXS - 20 PLTS - SEGU9501131 - CSN </t>
    </r>
    <r>
      <rPr>
        <rFont val="Arial"/>
        <b/>
        <color rgb="FF000000"/>
        <sz val="9.0"/>
      </rPr>
      <t>N0-00378152/CC-IAI/25</t>
    </r>
  </si>
  <si>
    <t>SO/5229-43X - FORTUNCERES S/A - BATAGUASSU - CNPJ. 52.168.923/0002-31</t>
  </si>
  <si>
    <t>DU-E.: 25BR0014312660</t>
  </si>
  <si>
    <t>RUC: 5BR521689232LPL0615825</t>
  </si>
  <si>
    <t>BL.:  ITJKGD045</t>
  </si>
  <si>
    <t>229 PALLETS COM O TOTAL DE 4.809,00 KG</t>
  </si>
  <si>
    <t>NF 5602 - 1136 CXS - 20 PLTS - ANPU6054507 - CSN N0-00370969/CC-IAI/25</t>
  </si>
  <si>
    <t>NF 5603 - 1100 CXS - 20 PLTS - MWMU6390391 - CSN N0-00360355/CC-IAI/25</t>
  </si>
  <si>
    <t>NF EXPORTAÇÃO.:  5744</t>
  </si>
  <si>
    <t>NF 5604 - 1133 CXS - 21 PLTS - MSWU4000052 - CSN N0-00364535/CC-IAI/25</t>
  </si>
  <si>
    <t>NF 5622 - 1140 CXS - 21 PLTS - MNBU0006907 - CSN N0-00365075CC-IAI/25</t>
  </si>
  <si>
    <t>50250752168923000231550010000057441000171589</t>
  </si>
  <si>
    <t>NF 5623 - 1145 CXS - 21 PLTS - ANPU6310930 - CSN N0-00369446/CC-IAI/25</t>
  </si>
  <si>
    <t>NF 5624 - 1146 CXS - 21 PLTS - APRU5763315 - CSN N0-00369464/CC-IAI/25</t>
  </si>
  <si>
    <t>NF 5694 - 1155 CXS - 21 PLTS - APRU5746025 - CSN N0-00374086/CC-IAI/25</t>
  </si>
  <si>
    <r>
      <rPr>
        <rFont val="Arial"/>
        <b/>
        <color rgb="FF000000"/>
        <sz val="9.0"/>
      </rPr>
      <t xml:space="preserve">NF 5695 - 1155 CXS - 21 PLTS - SUDU5286107 - CSN </t>
    </r>
    <r>
      <rPr>
        <rFont val="Arial"/>
        <b/>
        <color rgb="FF000000"/>
        <sz val="9.0"/>
      </rPr>
      <t>N0-00380005/CC-IAI/25</t>
    </r>
  </si>
  <si>
    <r>
      <rPr>
        <rFont val="Arial"/>
        <b/>
        <color rgb="FF000000"/>
        <sz val="9.0"/>
      </rPr>
      <t xml:space="preserve">NF 5714 - 1155 CXS - 21 PLTS - SUDU6284855 - CSN </t>
    </r>
    <r>
      <rPr>
        <rFont val="Arial"/>
        <b/>
        <color rgb="FF000000"/>
        <sz val="9.0"/>
      </rPr>
      <t>N0-00380009/CC-IAI/25</t>
    </r>
  </si>
  <si>
    <r>
      <rPr>
        <rFont val="Arial"/>
        <b/>
        <color rgb="FF000000"/>
        <sz val="9.0"/>
      </rPr>
      <t xml:space="preserve">NF 5718 - 1155 CXS - 21 PLTS - MSWU9048911 - CSN </t>
    </r>
    <r>
      <rPr>
        <rFont val="Arial"/>
        <b/>
        <color rgb="FF000000"/>
        <sz val="9.0"/>
      </rPr>
      <t>N0-00380038/CC-IAI/25</t>
    </r>
  </si>
  <si>
    <r>
      <rPr>
        <rFont val="Arial"/>
        <b/>
        <color rgb="FF000000"/>
        <sz val="9.0"/>
      </rPr>
      <t xml:space="preserve">NF 5722 - 1149 CXS - 21 PLTS - TCLU1175911 - CSN </t>
    </r>
    <r>
      <rPr>
        <rFont val="Arial"/>
        <b/>
        <color rgb="FF000000"/>
        <sz val="9.0"/>
      </rPr>
      <t>N0-00380074/CC-IAI/25</t>
    </r>
  </si>
  <si>
    <t>SO/5229-41X - FORTUNCERES S/A - MINEIROS - CNPJ. 52.168.923/0005-84</t>
  </si>
  <si>
    <t>DU-E.: 25BR0014308868</t>
  </si>
  <si>
    <t>RUC: 5BR521689232LPL0615625</t>
  </si>
  <si>
    <t>BL.:  ITJKGD043</t>
  </si>
  <si>
    <t>498 PALLETS COM O TOTAL DE 10.458,00 KG</t>
  </si>
  <si>
    <t>NF EXPORTAÇÃO.:  5495</t>
  </si>
  <si>
    <t>NF 5312 - 1175 CXS - 21 PLTS - SUDU5250228 - CSN N0-00357433/CC-IAI/25</t>
  </si>
  <si>
    <t>NF 5313 - 1083 CXS - 20 PLTS - MWCU6747792 - CSN N0-00369450/CC-IAI/25</t>
  </si>
  <si>
    <t>52250752168923000584550010000054951000159797</t>
  </si>
  <si>
    <t>NF 5314 - 1155 CXS - 21 PLTS - SUDU5116559 - CSN N0-00360485/CC-IAI/25</t>
  </si>
  <si>
    <t>NF 5315 - 1161 CXS - 21 PLTS - SUDU5236554 - CSN N0-00358898/CC-IAI/25</t>
  </si>
  <si>
    <t>NF 5316 - 1170 CXS - 21 PLTS - MSWU0019928 - CSN N0-360469/CC-IAI/25</t>
  </si>
  <si>
    <t>NF 5317 - 1125 CXS - 21 PLTS - MWCU6848782 - CSN N0-00360248/CC-IAI/25</t>
  </si>
  <si>
    <r>
      <rPr>
        <rFont val="Arial"/>
        <b/>
        <color rgb="FF000000"/>
        <sz val="9.0"/>
      </rPr>
      <t xml:space="preserve">NF 5318 - 1161 CXS - 21 PLTS - MSWU9080092 - CSN </t>
    </r>
    <r>
      <rPr>
        <rFont val="Arial"/>
        <b/>
        <color rgb="FF000000"/>
        <sz val="9.0"/>
      </rPr>
      <t>N0-386222/CC-STS/25</t>
    </r>
  </si>
  <si>
    <r>
      <rPr>
        <rFont val="Arial"/>
        <b/>
        <color rgb="FF000000"/>
        <sz val="9.0"/>
      </rPr>
      <t xml:space="preserve">NF 5319 - 1160 CXS - 20 PLTS - MWMC6260910 - CSN </t>
    </r>
    <r>
      <rPr>
        <rFont val="Arial"/>
        <b/>
        <color rgb="FF000000"/>
        <sz val="9.0"/>
      </rPr>
      <t>N0-00372292/CC-IAI/25</t>
    </r>
  </si>
  <si>
    <t>NF 5320 - 1260 CXS - 21 PLTS - MWCU6804758 - CSN N0-00366024/CC-IAI/25</t>
  </si>
  <si>
    <t>NF 5321 - 1107 CXS - 20 PLTS - CGMU5019341 - CSN N0-00367229/CC-IAI/25</t>
  </si>
  <si>
    <r>
      <rPr>
        <rFont val="Arial"/>
        <b/>
        <color rgb="FF000000"/>
        <sz val="9.0"/>
      </rPr>
      <t xml:space="preserve">NF 5322 - 1120 CXS - 20 PLTS - PONU4880234 - CSN </t>
    </r>
    <r>
      <rPr>
        <rFont val="Arial"/>
        <b/>
        <color rgb="FF000000"/>
        <sz val="9.0"/>
      </rPr>
      <t>N0-00371357/CC-IAI/25</t>
    </r>
  </si>
  <si>
    <r>
      <rPr>
        <rFont val="Arial"/>
        <b/>
        <color rgb="FF000000"/>
        <sz val="9.0"/>
      </rPr>
      <t xml:space="preserve">NF 5323 - 1260 CXS - 21 PLTS - SUDU8175719 - CSN </t>
    </r>
    <r>
      <rPr>
        <rFont val="Arial"/>
        <b/>
        <color rgb="FF000000"/>
        <sz val="9.0"/>
      </rPr>
      <t>N0-00371443/CC-IAI/25</t>
    </r>
  </si>
  <si>
    <r>
      <rPr>
        <rFont val="Arial"/>
        <b/>
        <color rgb="FF000000"/>
        <sz val="9.0"/>
      </rPr>
      <t xml:space="preserve">NF 5324 - 1150 CXS - 21 PLTS - OCNU4998834 - CSN </t>
    </r>
    <r>
      <rPr>
        <rFont val="Arial"/>
        <b/>
        <color rgb="FF000000"/>
        <sz val="9.0"/>
      </rPr>
      <t>N0-00368532/CC-IAI/25</t>
    </r>
  </si>
  <si>
    <t>NF 5325 - 1116 CXS - 20 PLTS - SUDU5159571 - CSN N0-00364929/CC-IAI/25</t>
  </si>
  <si>
    <t>NF 5326 - 1175 CXS - 21 PLTS - OCNU5003106 - CSN N0-00367215/CC-IAI/25</t>
  </si>
  <si>
    <t>NF 5327 - 1155 CXS - 21 PLTS - OCNU5003913 - CSN N0-00368924/CC-IAI/25</t>
  </si>
  <si>
    <t>NF 5328 - 1170 CXS - 21 PLTS - APRU5854605 - CSN N0-00379420/CC-IAI/25</t>
  </si>
  <si>
    <r>
      <rPr>
        <rFont val="Arial"/>
        <b/>
        <color rgb="FF000000"/>
        <sz val="9.0"/>
      </rPr>
      <t xml:space="preserve">NF 5329 - 1113 CXS - 21 PLTS - TRIU8898239 - CSN </t>
    </r>
    <r>
      <rPr>
        <rFont val="Arial"/>
        <b/>
        <color rgb="FF000000"/>
        <sz val="9.0"/>
      </rPr>
      <t>N0-00373635/CC-IAI/25</t>
    </r>
  </si>
  <si>
    <r>
      <rPr>
        <rFont val="Arial"/>
        <b/>
        <color rgb="FF000000"/>
        <sz val="9.0"/>
      </rPr>
      <t xml:space="preserve">NF 5370 - 1325 CXS - 21 PLTS - TRIU8736520 - CSN </t>
    </r>
    <r>
      <rPr>
        <rFont val="Arial"/>
        <b/>
        <color rgb="FF000000"/>
        <sz val="9.0"/>
      </rPr>
      <t>N0-00372523/CC-IAI/25</t>
    </r>
  </si>
  <si>
    <t>NF 5371 - 1155 CXS - 21 PLTS - MWCU6926294 - CSN N0-00377593/CC-STS/25</t>
  </si>
  <si>
    <t>NF 5403 - 1155 CXS - 21 PLTS - MWCU6652207 - CSN N0-00364520/CC-IAI/25</t>
  </si>
  <si>
    <t>NF 5432 - 1260 CXS - 21 PLTS - APRU5705242 - CSN N0-00377656/CC-STS/25</t>
  </si>
  <si>
    <r>
      <rPr>
        <rFont val="Arial"/>
        <b/>
        <color rgb="FF000000"/>
        <sz val="9.0"/>
      </rPr>
      <t xml:space="preserve">NF 5435 - 1115 CXS - 20 PLTS - MWCU5246815 - CSN </t>
    </r>
    <r>
      <rPr>
        <rFont val="Arial"/>
        <b/>
        <color rgb="FF000000"/>
        <sz val="9.0"/>
      </rPr>
      <t>N0-00375488/CC-STS/25</t>
    </r>
  </si>
  <si>
    <r>
      <rPr>
        <rFont val="Arial"/>
        <b/>
        <color rgb="FF000000"/>
        <sz val="9.0"/>
      </rPr>
      <t xml:space="preserve">NF 5436 - 1155 CXS - 21 PLTS - SUDU5241946 - CSN </t>
    </r>
    <r>
      <rPr>
        <rFont val="Arial"/>
        <b/>
        <color rgb="FF000000"/>
        <sz val="9.0"/>
      </rPr>
      <t>N0-00375737/CC-STS/25</t>
    </r>
  </si>
  <si>
    <t>SO/5229-48X - FORTUNCERES S/A - ALEGRETE - CNPJ. 52.168.923/0013-94</t>
  </si>
  <si>
    <t>DU-E.: 25BR0014317670</t>
  </si>
  <si>
    <t>RUC: 5BR521689232LPL0616325</t>
  </si>
  <si>
    <t>BL.:  ITJKGD050</t>
  </si>
  <si>
    <t>144 PALLETS COM O TOTAL DE 3.024,00 KG</t>
  </si>
  <si>
    <t>NF 3188 - 1233 CXS - 21 PLTS - MWCU6696062 - CSN N0-00358765/CC-IAI/25</t>
  </si>
  <si>
    <r>
      <rPr>
        <rFont val="Arial"/>
        <b/>
        <color rgb="FF000000"/>
        <sz val="9.0"/>
      </rPr>
      <t xml:space="preserve">NF 3189 - 1189 CXS - 21 PLTS - MSWU9082583 - CSN </t>
    </r>
    <r>
      <rPr>
        <rFont val="Arial"/>
        <b/>
        <color rgb="FF000000"/>
        <sz val="9.0"/>
      </rPr>
      <t>N0-00375287/CC-IAI/25</t>
    </r>
  </si>
  <si>
    <t>NF EXPORTAÇÃO.:  3257</t>
  </si>
  <si>
    <t>NF 3192 - 1142 CXS - 20 PLTS - EMCU5298180 - CSN N0-00371294/CC-IAI/25</t>
  </si>
  <si>
    <t>NF 3212 - 1228 CXS - 21 PLTS - MWMU6338388 - CSN N0-00376406/CC-IAI/25</t>
  </si>
  <si>
    <t>43250752168923001394550010000032571000053670</t>
  </si>
  <si>
    <r>
      <rPr>
        <rFont val="Arial"/>
        <b/>
        <color rgb="FF000000"/>
        <sz val="9.0"/>
      </rPr>
      <t xml:space="preserve">NF 3226 - 1205 CXS - 21 PLTS - TRIU8685655 - CSN </t>
    </r>
    <r>
      <rPr>
        <rFont val="Arial"/>
        <b/>
        <color rgb="FF000000"/>
        <sz val="9.0"/>
      </rPr>
      <t>N0-00377739/CC-STS/25</t>
    </r>
  </si>
  <si>
    <t>NF 3227 - 1145 CXS - 20 PLTS - MSWU9023209 - CSN N0-00378172/CC-IAI/25</t>
  </si>
  <si>
    <r>
      <rPr>
        <rFont val="Arial"/>
        <b/>
        <color rgb="FF000000"/>
        <sz val="9.0"/>
      </rPr>
      <t xml:space="preserve">NF 3232 - 1169 CXS - 20 PLTS - TCLU1190773 - CSN </t>
    </r>
    <r>
      <rPr>
        <rFont val="Arial"/>
        <b/>
        <color rgb="FF000000"/>
        <sz val="9.0"/>
      </rPr>
      <t>N0-00377749/CC-STS/25</t>
    </r>
  </si>
  <si>
    <t>SO/5229-42X - FORTUNCERES S/A - TANGARA DA SERRA - CNPJ. 52.168.923/0003-12</t>
  </si>
  <si>
    <t>DESTINO: RUSSIA / SIF 1751</t>
  </si>
  <si>
    <t>DU-E.: 25BR0014666292</t>
  </si>
  <si>
    <t>RUC: 5BR521689232LPL0640025</t>
  </si>
  <si>
    <t>BL.:  ITJKGD044</t>
  </si>
  <si>
    <t>NF 7238 - 1139 CXS - 21 PLTS - SUDU5203170 - CSN N0-00364654/CC-IAI/25</t>
  </si>
  <si>
    <t>NF 7239 - 1124 CXS - 21 PLTS - MNBU3071085 - CSN N0-00364671/CC-IAI/25</t>
  </si>
  <si>
    <t>293 PALLETS COM O TOTAL DE 6.153,00 KG</t>
  </si>
  <si>
    <r>
      <rPr>
        <rFont val="Arial"/>
        <b/>
        <color rgb="FF000000"/>
        <sz val="9.0"/>
      </rPr>
      <t xml:space="preserve">NF 7240 - 1129 CXS - 21 PLTS - APRU5095664 - CSN </t>
    </r>
    <r>
      <rPr>
        <rFont val="Arial"/>
        <b/>
        <color rgb="FF000000"/>
        <sz val="9.0"/>
      </rPr>
      <t>N0-00371983/CC-IAI/25</t>
    </r>
  </si>
  <si>
    <t>NF 7241 - 1123 CXS - 21 PLTS - TRIU8662897 - CSN N0-00368799/CC-IAI/25</t>
  </si>
  <si>
    <t>NF EXPORTAÇÃO.:  7413</t>
  </si>
  <si>
    <r>
      <rPr>
        <rFont val="Arial"/>
        <b/>
        <color rgb="FF000000"/>
        <sz val="9.0"/>
      </rPr>
      <t xml:space="preserve">NF 7242 - 1110 CXS - 21 PLTS - WGMU4988308 - CSN </t>
    </r>
    <r>
      <rPr>
        <rFont val="Arial"/>
        <b/>
        <color rgb="FF000000"/>
        <sz val="9.0"/>
      </rPr>
      <t>N0-00372001/CC-IAI/25</t>
    </r>
  </si>
  <si>
    <r>
      <rPr>
        <rFont val="Arial"/>
        <b/>
        <color rgb="FF000000"/>
        <sz val="9.0"/>
      </rPr>
      <t xml:space="preserve">NF 7317 - 1132 CXS - 21 PLTS - PONU4988147 - CSN </t>
    </r>
    <r>
      <rPr>
        <rFont val="Arial"/>
        <b/>
        <color rgb="FF000000"/>
        <sz val="9.0"/>
      </rPr>
      <t>N0-0378132/CC-IAI/25</t>
    </r>
  </si>
  <si>
    <t>51250752168923000312550010000074131000181807</t>
  </si>
  <si>
    <r>
      <rPr>
        <rFont val="Arial"/>
        <b/>
        <color rgb="FF000000"/>
        <sz val="9.0"/>
      </rPr>
      <t xml:space="preserve">NF 7318 - 1113 CXS - 21 PLTS - SUDU5156720 - CSN </t>
    </r>
    <r>
      <rPr>
        <rFont val="Arial"/>
        <b/>
        <color rgb="FF000000"/>
        <sz val="9.0"/>
      </rPr>
      <t>N0-00378112/CC-IAI/25</t>
    </r>
  </si>
  <si>
    <r>
      <rPr>
        <rFont val="Arial"/>
        <b/>
        <color rgb="FF000000"/>
        <sz val="9.0"/>
      </rPr>
      <t xml:space="preserve">NF 7319 - 1142 CXS - 21 PLTS - MSWU0051154 - CSN </t>
    </r>
    <r>
      <rPr>
        <rFont val="Arial"/>
        <b/>
        <color rgb="FF000000"/>
        <sz val="9.0"/>
      </rPr>
      <t>N0-00378236/CC-IAI/25</t>
    </r>
  </si>
  <si>
    <t>NF 7320 - 1118 CXS - 21 PLTS - TRIU8696475 - CSN N0-00376424/CC-STSI/25</t>
  </si>
  <si>
    <r>
      <rPr>
        <rFont val="Arial"/>
        <b/>
        <color rgb="FF000000"/>
        <sz val="9.0"/>
      </rPr>
      <t xml:space="preserve">NF 7366 - 1109 CXS - 20 PLTS - ANPU5223407 - CSN </t>
    </r>
    <r>
      <rPr>
        <rFont val="Arial"/>
        <b/>
        <color rgb="FF000000"/>
        <sz val="9.0"/>
      </rPr>
      <t>N0-00369418/CC-IAI/25</t>
    </r>
  </si>
  <si>
    <t>NF 7382 - 1118 CXS - 21 PLTS - TRIU8114933 - CSN N0-00380022/CC-IAI/25</t>
  </si>
  <si>
    <r>
      <rPr>
        <rFont val="Arial"/>
        <b/>
        <color rgb="FF000000"/>
        <sz val="9.0"/>
      </rPr>
      <t xml:space="preserve">NF 7386 - 1139 CXS - 21 PLTS - APRU5832967 - CSN </t>
    </r>
    <r>
      <rPr>
        <rFont val="Arial"/>
        <b/>
        <color rgb="FF000000"/>
        <sz val="9.0"/>
      </rPr>
      <t>N0-00380067/CC-IAI/25</t>
    </r>
  </si>
  <si>
    <r>
      <rPr>
        <rFont val="Arial"/>
        <b/>
        <color rgb="FF000000"/>
        <sz val="9.0"/>
      </rPr>
      <t xml:space="preserve">NF 7387 - 1104 CXS - 21 PLTS - TRIU8695695 - CSN </t>
    </r>
    <r>
      <rPr>
        <rFont val="Arial"/>
        <b/>
        <color rgb="FF000000"/>
        <sz val="9.0"/>
      </rPr>
      <t>N0-00380050/CC-IAI/25</t>
    </r>
  </si>
  <si>
    <r>
      <rPr>
        <rFont val="Arial"/>
        <b/>
        <color rgb="FF000000"/>
        <sz val="9.0"/>
      </rPr>
      <t xml:space="preserve">NF 7388 - 1096 CXS - 21 PLTS - MWCU6797896 - CSN </t>
    </r>
    <r>
      <rPr>
        <rFont val="Arial"/>
        <b/>
        <color rgb="FF000000"/>
        <sz val="9.0"/>
      </rPr>
      <t>N0-00380062/CC-STS/25</t>
    </r>
  </si>
  <si>
    <t>SO/5515-5X - FORTUNCERES S/A - TANGARA DA SERRA - CNPJ. 52.168.923/0003-12</t>
  </si>
  <si>
    <t>DU-E.: 25BR0014318197</t>
  </si>
  <si>
    <t>RUC: 5BR521689232LPL0617525</t>
  </si>
  <si>
    <t>BL.:  ITJKGD054</t>
  </si>
  <si>
    <t>NF 7360 - 1140 CXS - 21 PLTS - ANPU5250796 - CSN N0-00365994/CC-IAI/25</t>
  </si>
  <si>
    <t>NF 7361 - 1100 CXS - 20 PLTS - TLNU1001670 - CSN N0-00367323/CC-IAI/25</t>
  </si>
  <si>
    <t>NF 7367 - 1138 CXS - 20 PLTS - MWCU6753460 - CSN N0-00372395/CC-IAI/25</t>
  </si>
  <si>
    <r>
      <rPr>
        <rFont val="Arial"/>
        <b/>
        <color rgb="FF000000"/>
        <sz val="9.0"/>
      </rPr>
      <t xml:space="preserve">NF 7381 - 1128 CXS - 20 PLTS - SEGU9299545 - CSN </t>
    </r>
    <r>
      <rPr>
        <rFont val="Arial"/>
        <b/>
        <color rgb="FF000000"/>
        <sz val="9.0"/>
      </rPr>
      <t>N0-00389874/CC-IAI/25</t>
    </r>
  </si>
  <si>
    <t>NF EXPORTAÇÃO.:  7412</t>
  </si>
  <si>
    <t>51250752168923000312550010000074121000181621</t>
  </si>
  <si>
    <t>DATA: 15/05/2025</t>
  </si>
  <si>
    <t>LISTA DE CARGA - MV PACIFIC MERMAID - FRIGOMERC // BEEF PARAGUAY S/A - ( MINERVA FOODS )</t>
  </si>
  <si>
    <t>BEEF PARAGUAY - (MINERVA FOODS) SO/4846-1X</t>
  </si>
  <si>
    <t>CRT.: PY342000130</t>
  </si>
  <si>
    <t>MIC-DTA.: 2501709157</t>
  </si>
  <si>
    <t>CNTR - SUDU5120013 - 20 PLTS</t>
  </si>
  <si>
    <t>BL.: ITJKAL021</t>
  </si>
  <si>
    <t>BEEF PARAGUAY - (MINERVA FOODS) SO/4846-2X</t>
  </si>
  <si>
    <t>CRT.: PY342000126</t>
  </si>
  <si>
    <t>MIC-DTA.: 2501708029</t>
  </si>
  <si>
    <t>CNTR - MWCU6720580 - 20 PLTS</t>
  </si>
  <si>
    <t>BL.: ITJKAL022</t>
  </si>
  <si>
    <t>FRIGOMERC - (MINERVA FOODS) SO/4846-3X</t>
  </si>
  <si>
    <t>CRT.: PY326810163</t>
  </si>
  <si>
    <t>MIC-DTA.: 2501812560</t>
  </si>
  <si>
    <t>CNTR - ANPU6054507 - 18 PLTS</t>
  </si>
  <si>
    <t>BL.: ITJKAL057</t>
  </si>
  <si>
    <t>BEEF PARAGUAY - (MINERVA FOODS) SO/4846-4X</t>
  </si>
  <si>
    <t>CRT.: PY326810157</t>
  </si>
  <si>
    <t>MIC-DTA.: 2501812772</t>
  </si>
  <si>
    <t>BL.: ITJKAL023</t>
  </si>
  <si>
    <t>BEEF PARAGUAY - (MINERVA FOODS) SO/4846-5X</t>
  </si>
  <si>
    <t>CRT.: PY326810191</t>
  </si>
  <si>
    <t>MIC-DTA.: 2502037748</t>
  </si>
  <si>
    <t>CNTR - ANPU6763999 - 20 PLTS</t>
  </si>
  <si>
    <t>BL.: ITJKAL024</t>
  </si>
  <si>
    <t>BEEF PARAGUAY - (MINERVA FOODS) SO/4846-6X</t>
  </si>
  <si>
    <t>CRT.: PY326810197</t>
  </si>
  <si>
    <t>MIC-DTA.: 2502082298</t>
  </si>
  <si>
    <t>CNTR - PONU4928451 - 20 PLTS</t>
  </si>
  <si>
    <t>BL.: ITJKAL025</t>
  </si>
  <si>
    <t>BEEF PARAGUAY - (MINERVA FOODS) SO/4846-7X</t>
  </si>
  <si>
    <t>CRT.: PY342000146</t>
  </si>
  <si>
    <t>MIC-DTA.: 2501859752</t>
  </si>
  <si>
    <t>CNTR - MWCU6696062 - 20 PLTS</t>
  </si>
  <si>
    <t>BL.: ITJKAL026</t>
  </si>
  <si>
    <t>BEEF PARAGUAY - (MINERVA FOODS) SO/4846-8X</t>
  </si>
  <si>
    <t>CRT.: PY326810180</t>
  </si>
  <si>
    <t>MIC-DTA.: 2501939004</t>
  </si>
  <si>
    <t>CNTR - MWCU6926294 - 20 PLTS</t>
  </si>
  <si>
    <t>BL.: ITJKAL027</t>
  </si>
  <si>
    <t>FRIGOMERC - (MINERVA FOODS) SO/4846-9X</t>
  </si>
  <si>
    <t>CRT.: PY302500610</t>
  </si>
  <si>
    <t>MIC-DTA.: 2501634319</t>
  </si>
  <si>
    <t>CNTR - ANPU5250796 - 18 PLTS</t>
  </si>
  <si>
    <t>BL.: ITJKAL058</t>
  </si>
  <si>
    <t>BEEF PARAGUAY - (MINERVA FOODS) SO/4846-10X</t>
  </si>
  <si>
    <t>CRT.: PY342000140</t>
  </si>
  <si>
    <t>MIC-DTA.: 2501815232</t>
  </si>
  <si>
    <t>CNTR - SUDU5156720 - 20 PLTS</t>
  </si>
  <si>
    <t>BL.: ITJKAL028</t>
  </si>
  <si>
    <t>BEEF PARAGUAY - (MINERVA FOODS) SO/4846-11X</t>
  </si>
  <si>
    <t>CRT.: PY326810192</t>
  </si>
  <si>
    <t>MIC-DTA.: 2502082522</t>
  </si>
  <si>
    <t>CNTR - PONU4864043 - 20 PLTS</t>
  </si>
  <si>
    <t>BL.: ITJKAL029</t>
  </si>
  <si>
    <t>BEEF PARAGUAY - (MINERVA FOODS) SO/4846-13X</t>
  </si>
  <si>
    <t>CRT.: PY326810194</t>
  </si>
  <si>
    <t>MIC-DTA.: 2502105883</t>
  </si>
  <si>
    <t>CNTR - SUDU5223829 - 20 PLTS</t>
  </si>
  <si>
    <t>BL.: ITJKAL030</t>
  </si>
  <si>
    <t>BEEF PARAGUAY - (MINERVA FOODS) SO/4846-14X</t>
  </si>
  <si>
    <t>CRT.: PY313600043</t>
  </si>
  <si>
    <t>MIC-DTA.: 2501925496</t>
  </si>
  <si>
    <t>CNTR - MWMU6377717 - 20 PLTS</t>
  </si>
  <si>
    <t>BL.: ITJKAL031</t>
  </si>
  <si>
    <t>BEEF PARAGUAY - (MINERVA FOODS) SO/4846-15X</t>
  </si>
  <si>
    <t>CRT.: PY302500612</t>
  </si>
  <si>
    <t>MIC-DTA.: 2501543372</t>
  </si>
  <si>
    <t>CNTR - MWCU6676620 - 20 PLTS</t>
  </si>
  <si>
    <t>BL.: ITJKAL032</t>
  </si>
  <si>
    <t>BEEF PARAGUAY - (MINERVA FOODS) SO/4846-16X</t>
  </si>
  <si>
    <t>CRT.: PY326810190</t>
  </si>
  <si>
    <t>MIC-DTA.: 2502037659</t>
  </si>
  <si>
    <t>CNTR - MWCU6652207 - 20 PLTS</t>
  </si>
  <si>
    <t>BL.: ITJKAL033</t>
  </si>
  <si>
    <t>BEEF PARAGUAY - (MINERVA FOODS) SO/4846-17X</t>
  </si>
  <si>
    <t>CRT.: PY342000149</t>
  </si>
  <si>
    <t>MIC-DTA.: 2501936323</t>
  </si>
  <si>
    <t>CNTR - MWCU6995422 - 20 PLTS</t>
  </si>
  <si>
    <t>BL.: ITJKAL034</t>
  </si>
  <si>
    <t>BEEF PARAGUAY - (MINERVA FOODS) SO/4846-18X</t>
  </si>
  <si>
    <t>CRT.: PY346700001</t>
  </si>
  <si>
    <t>MIC-DTA.: 2501650934</t>
  </si>
  <si>
    <t>CNTR - MSWU9102294 - 20 PLTS</t>
  </si>
  <si>
    <t>BL.: ITJKAL035</t>
  </si>
  <si>
    <t>FRIGOMERC - (MINERVA FOODS) SO/4846-19X</t>
  </si>
  <si>
    <t>CRT.: PY342000127</t>
  </si>
  <si>
    <t>MIC-DTA.: 2501708045</t>
  </si>
  <si>
    <t>CNTR - SUDU6131603 - 18 PLTS</t>
  </si>
  <si>
    <t>BL.: ITJKAL059</t>
  </si>
  <si>
    <t>BEEF PARAGUAY - (MINERVA FOODS) SO/4846-20X</t>
  </si>
  <si>
    <t>CRT.: PY326810186</t>
  </si>
  <si>
    <t>MIC-DTA.: 2501957339</t>
  </si>
  <si>
    <t>BL.: ITJKAL036</t>
  </si>
  <si>
    <t>BEEF PARAGUAY - (MINERVA FOODS) SO/4846-21X</t>
  </si>
  <si>
    <t>CRT.: PY342000150</t>
  </si>
  <si>
    <t>MIC-DTA.: 2501936404</t>
  </si>
  <si>
    <t>CNTR - MWMU6338388 - 20 PLTS</t>
  </si>
  <si>
    <t>BL.: ITJKAL037</t>
  </si>
  <si>
    <t>BEEF PARAGUAY - (MINERVA FOODS) SO/4846-22X</t>
  </si>
  <si>
    <t>CRT.: PY346700005</t>
  </si>
  <si>
    <t>MIC-DTA.: 2501934924</t>
  </si>
  <si>
    <t>CNTR - ANPU5244746 - 20 PLTS</t>
  </si>
  <si>
    <t>BL.: ITJKAL038</t>
  </si>
  <si>
    <t>BEEF PARAGUAY - (MINERVA FOODS) SO/4846-23X</t>
  </si>
  <si>
    <t>CRT.: PY313600046</t>
  </si>
  <si>
    <t>MIC-DTA.: 2501926034</t>
  </si>
  <si>
    <t>CNTR - SUDU6131141 - 20 PLTS</t>
  </si>
  <si>
    <t>BL.: ITJKAL039</t>
  </si>
  <si>
    <t>BEEF PARAGUAY - (MINERVA FOODS) SO/4846-24X</t>
  </si>
  <si>
    <t>CRT.: PY342000155</t>
  </si>
  <si>
    <t>MIC-DTA.: 2501960178</t>
  </si>
  <si>
    <t>CNTR - SUDU5159571 - 20 PLTS</t>
  </si>
  <si>
    <t>BL.: ITJKAL040</t>
  </si>
  <si>
    <t>BEEF PARAGUAY - (MINERVA FOODS) SO/4846-25X</t>
  </si>
  <si>
    <t>CRT.: PY326810193</t>
  </si>
  <si>
    <t>MIC-DTA.: 2502106065</t>
  </si>
  <si>
    <t>CNTR - MNBU3071085 - 20 PLTS</t>
  </si>
  <si>
    <t>BL.: ITJKAL041</t>
  </si>
  <si>
    <t>FRIGOMERC - (MINERVA FOODS) SO/4846-26X</t>
  </si>
  <si>
    <t>CRT.: PY326810170</t>
  </si>
  <si>
    <t>MIC-DTA.: 2501821160</t>
  </si>
  <si>
    <t>CNTR - ANPU4000052 - 18 PLTS</t>
  </si>
  <si>
    <t>BL.: ITJKAL060</t>
  </si>
  <si>
    <t>BEEF PARAGUAY - (MINERVA FOODS) SO/4846-27X</t>
  </si>
  <si>
    <t>CRT.: PY326810201</t>
  </si>
  <si>
    <t>MIC-DTA.: 2502102574</t>
  </si>
  <si>
    <t>CNTR - SUDU6083552 - 18 PLTS</t>
  </si>
  <si>
    <t>BL.: ITJKAL042</t>
  </si>
  <si>
    <t>BEEF PARAGUAY - (MINERVA FOODS) SO/4846-28X</t>
  </si>
  <si>
    <t>CRT.: PY326810195</t>
  </si>
  <si>
    <t>MIC-DTA.: 2502085238</t>
  </si>
  <si>
    <t>BL.: ITJKAL043</t>
  </si>
  <si>
    <t>BEEF PARAGUAY - (MINERVA FOODS) SO/4846-29X</t>
  </si>
  <si>
    <t>CRT.: PY302500688</t>
  </si>
  <si>
    <t>MIC-DTA.: 2502007008</t>
  </si>
  <si>
    <t>CNTR - EMCU5303136 - 20 PLTS</t>
  </si>
  <si>
    <t>BL.: ITJKAL044</t>
  </si>
  <si>
    <t>FRIGOMERC - (MINERVA FOODS) SO/4846-30X</t>
  </si>
  <si>
    <t>CRT.: PY326810226</t>
  </si>
  <si>
    <t>MIC-DTA.: 2502254552</t>
  </si>
  <si>
    <t>CNTR - ANPU6022285 - 18 PLTS</t>
  </si>
  <si>
    <t>BL.: ITJKAL061</t>
  </si>
  <si>
    <t>BEEF PARAGUAY - (MINERVA FOODS) SO/4846-31X</t>
  </si>
  <si>
    <t>CRT.: PY342000163</t>
  </si>
  <si>
    <t>MIC-DTA.: 2502038078</t>
  </si>
  <si>
    <t>CNTR - SUDU6186930 - 20 PLTS</t>
  </si>
  <si>
    <t>BL.: ITJKAL045</t>
  </si>
  <si>
    <t>BEEF PARAGUAY - (MINERVA FOODS) SO/4846-32X</t>
  </si>
  <si>
    <t>CRT.: PY326810223</t>
  </si>
  <si>
    <t>MIC-DTA.: 2502254544</t>
  </si>
  <si>
    <t>CNTR - MWCU6804758 - 18 PLTS</t>
  </si>
  <si>
    <t>BL.: ITJKAL046</t>
  </si>
  <si>
    <t>BEEF PARAGUAY - (MINERVA FOODS) SO/4846-33X</t>
  </si>
  <si>
    <t>CRT.: PY342000170</t>
  </si>
  <si>
    <t>MIC-DTA.: 2502100288</t>
  </si>
  <si>
    <t>CNTR - MWCU6672707 - 20 PLTS</t>
  </si>
  <si>
    <t>BL.: ITJKAL047</t>
  </si>
  <si>
    <t>FRIGOMERC - (MINERVA FOODS) SO/4846-34X</t>
  </si>
  <si>
    <t>CRT.: PY342000133</t>
  </si>
  <si>
    <t>MIC-DTA.: 2501811610</t>
  </si>
  <si>
    <t>CNTR - ANPU5286107 - 18 PLTS</t>
  </si>
  <si>
    <t>BL.: ITJKAL062</t>
  </si>
  <si>
    <t>BEEF PARAGUAY - (MINERVA FOODS) SO/4846-35X</t>
  </si>
  <si>
    <t>CRT.: PY342000168</t>
  </si>
  <si>
    <t>MIC-DTA.: 2502099921</t>
  </si>
  <si>
    <t>CNTR - MWCU5323254 - 20 PLTS</t>
  </si>
  <si>
    <t>BL.: ITJKAL048</t>
  </si>
  <si>
    <t>BEEF PARAGUAY - (MINERVA FOODS) SO/4846-36X</t>
  </si>
  <si>
    <t>CRT.: PY346700015</t>
  </si>
  <si>
    <t>MIC-DTA.: 2502311521</t>
  </si>
  <si>
    <t>CNTR - SUDU6106679 - 20 PLTS</t>
  </si>
  <si>
    <t>BL.: ITJKAL049</t>
  </si>
  <si>
    <t>BEEF PARAGUAY - (MINERVA FOODS) SO/4846-37X</t>
  </si>
  <si>
    <t>CRT.: PY342000169</t>
  </si>
  <si>
    <t>MIC-DTA.: 2502091831</t>
  </si>
  <si>
    <t>CNTR - MNBU0006907 - 20 PLTS</t>
  </si>
  <si>
    <t>BL.: ITJKAL050</t>
  </si>
  <si>
    <t>FRIGOMERC - (MINERVA FOODS) SO/4846-38X</t>
  </si>
  <si>
    <t>CRT.: PY342000159</t>
  </si>
  <si>
    <t>MIC-DTA.: 2502050400</t>
  </si>
  <si>
    <t>CNTR - ANPU6928379 - 18 PLTS</t>
  </si>
  <si>
    <t>BL.: ITJKAL063</t>
  </si>
  <si>
    <t>BEEF PARAGUAY - (MINERVA FOODS) SO/4846-39X</t>
  </si>
  <si>
    <t>CRT.: PY342000174</t>
  </si>
  <si>
    <t>MIC-DTA.: 2502100520</t>
  </si>
  <si>
    <t>CNTR - MWCU6860685 - 20 PLTS</t>
  </si>
  <si>
    <t>BL.: ITJKAL051</t>
  </si>
  <si>
    <t>BEEF PARAGUAY - (MINERVA FOODS) SO/4846-40X</t>
  </si>
  <si>
    <t>CRT.: PY326810216</t>
  </si>
  <si>
    <t>MIC-DTA.: 2502191585</t>
  </si>
  <si>
    <t>CNTR - PONU4818270 - 20 PLTS</t>
  </si>
  <si>
    <t>BL.: ITJKAL052</t>
  </si>
  <si>
    <t>FRIGOMERC - (MINERVA FOODS) SO/4846-41X</t>
  </si>
  <si>
    <t>CRT.: PY342000167</t>
  </si>
  <si>
    <t>MIC-DTA.: 2502099638</t>
  </si>
  <si>
    <t>CNTR - MWCU6658890 - 18 PLTS</t>
  </si>
  <si>
    <t>BL.: ITJKAL064</t>
  </si>
  <si>
    <t>BEEF PARAGUAY - (MINERVA FOODS) SO/4846-42X</t>
  </si>
  <si>
    <t>CRT.: PY326810227</t>
  </si>
  <si>
    <t>MIC-DTA.: 2502292985</t>
  </si>
  <si>
    <t>BL.: ITJKAL053</t>
  </si>
  <si>
    <t>FRIGOMERC - (MINERVA FOODS) SO/4846-43X</t>
  </si>
  <si>
    <t>CRT.: PY326810203</t>
  </si>
  <si>
    <t>MIC-DTA.: 2502119086</t>
  </si>
  <si>
    <t>CNTR - PONU4880234 - 18 PLTS</t>
  </si>
  <si>
    <t>BL.: ITJKAL065</t>
  </si>
  <si>
    <t>BEEF PARAGUAY - (MINERVA FOODS) SO/4846-44X</t>
  </si>
  <si>
    <t>CRT.: PY342000172</t>
  </si>
  <si>
    <t>MIC-DTA.: 2502121838</t>
  </si>
  <si>
    <t>BL.: ITJKAL054</t>
  </si>
  <si>
    <t>BEEF PARAGUAY - (MINERVA FOODS) SO/4846-45X</t>
  </si>
  <si>
    <t>CRT.: PY346700013</t>
  </si>
  <si>
    <t>MIC-DTA.: 2502311440</t>
  </si>
  <si>
    <t>CNTR - MWCU5308769 - 20 PLTS</t>
  </si>
  <si>
    <t>BL.: ITJKAL055</t>
  </si>
  <si>
    <t>BEEF PARAGUAY - (MINERVA FOODS) SO/4846-46</t>
  </si>
  <si>
    <t>CRT.: PY342000205</t>
  </si>
  <si>
    <t>MIC-DTA.: 2502311289</t>
  </si>
  <si>
    <t>CNTR - MWMU6437842 - 20 PLTS</t>
  </si>
  <si>
    <t>BL.: ITJKAL056</t>
  </si>
  <si>
    <t>FRIGOMERC - (MINERVA FOODS) SO/4846-47X</t>
  </si>
  <si>
    <t>CRT.: PY313600056</t>
  </si>
  <si>
    <t>MIC-DTA.: 2502131400</t>
  </si>
  <si>
    <t>CNTR - PONU4849563 - 18 PLTS</t>
  </si>
  <si>
    <t>BL.: ITJKAL066</t>
  </si>
  <si>
    <t>DATA.: 28/11/24</t>
  </si>
  <si>
    <t>LISTA DE CARGA  -  MV FUJI BAY - MINERVA S/A</t>
  </si>
  <si>
    <t>SO/3873-1X - MINERVA S/A - PALMEIRAS DE GOIAS - CNPJ. 67.620.377/0004-67</t>
  </si>
  <si>
    <t>LPCO.: E2400649743</t>
  </si>
  <si>
    <t>DU-E.: 24BR0021133512</t>
  </si>
  <si>
    <t>RUC: 4BR676203772LPL1389624</t>
  </si>
  <si>
    <t>BL.:  FBITAKAL026</t>
  </si>
  <si>
    <t>510 PALLETS COM O TOTAL DE 10.710,00 KG</t>
  </si>
  <si>
    <t>NF EXPORTAÇÃO.:  594104</t>
  </si>
  <si>
    <t>52241167620377000467550010005941041012882888</t>
  </si>
  <si>
    <r>
      <rPr>
        <rFont val="Arial"/>
        <b/>
        <color rgb="FF000000"/>
        <sz val="9.0"/>
      </rPr>
      <t>NF 593125 - 1092 CXS - ANPU6235001</t>
    </r>
    <r>
      <rPr>
        <rFont val="Arial"/>
        <b/>
        <color rgb="FFFF0000"/>
        <sz val="9.0"/>
      </rPr>
      <t xml:space="preserve"> </t>
    </r>
    <r>
      <rPr>
        <rFont val="Arial"/>
        <b/>
        <color rgb="FF000000"/>
        <sz val="9.0"/>
      </rPr>
      <t>- CSN N0-0000575536/431/24</t>
    </r>
  </si>
  <si>
    <t>NF 593360 - 1090 CXS - SUDU6131603 - CSN N0-00563526/CC-IAI24</t>
  </si>
  <si>
    <t>NF 593151 - 1090 CXS - MWCU7008159 - CSN N0-00556100/CC-IAI/24</t>
  </si>
  <si>
    <t>NF 593361 - 1085 CXS - SUDU5156720 - CSN N0-00561617/CC-IAI/24</t>
  </si>
  <si>
    <t>NF 593172 - 1042 CXS - MSWU9010454 - CSN N0-00555753/CC-IAI/24</t>
  </si>
  <si>
    <t>NF 593362  - 1104 CXS - EGHU5006241 - CSN N0-00562487/CC-IAI/24</t>
  </si>
  <si>
    <t>NF 593195 - 1114 CXS - SUDU6083552 - CSN N0-00556116/CC-IAI/24</t>
  </si>
  <si>
    <t>NF 593363 - 1108 CXS - MWCU6880439 - CSN N0-00562369/CC-IAI/24</t>
  </si>
  <si>
    <t>NF 593196 - 1098 CXS - MWCU6706031 - CSN N0-00556311/CC-IAI/24</t>
  </si>
  <si>
    <t>NF 593408 - 1032 CXS - MSWU0005312 - CSN N0-00575456/431/24</t>
  </si>
  <si>
    <t>NF 593197 - 1091 CXS - MWCU6950731 - CSN N0-00556293/CC-IAI/24</t>
  </si>
  <si>
    <t>NF 593422 - 1077 CXS - REAU3326903 - CSN N0-00575525/431/24</t>
  </si>
  <si>
    <t>NF 593199 - 1098 CXS - MWCU6767037 - CSN N0-00556614/CC-IAI/24</t>
  </si>
  <si>
    <t>NF 593470 - 1068 CXS - SZLU9087107 - CSN N0-00575517/431/24</t>
  </si>
  <si>
    <t>NF 593203 - 1044 CXS - GESU9237596 - CSN N0-00575537/431/24</t>
  </si>
  <si>
    <t>NF 593485 - 1073 CXS - REAU6390655 - CSN N0-00575474/431/24</t>
  </si>
  <si>
    <t>NF 593273 - 1035 CXS - MNBU0011396 - CSN N0-00559534/CC-IAI/24</t>
  </si>
  <si>
    <t>PARTE LOTE - NF 593487 - 46 CXS - ANPU1215034 - CSN N0-00562383/CC-IAI/24</t>
  </si>
  <si>
    <t>NF 593274 - 1090 CXS - MWCU6858008 - CSN N0-00558289/CC-IAI/24</t>
  </si>
  <si>
    <t>NF 593512 - 1090 CXS - PONU4879341 - CSN N0-00563657/CC-IAI/24</t>
  </si>
  <si>
    <t>NF 593295 - 1084 CXS - MWCU6883361 - CSN N0-00553575/431/24</t>
  </si>
  <si>
    <t>NF 593513 - 1086 CXS - MWCU6995422 - CSN N0-00561535/CC-IAI/24</t>
  </si>
  <si>
    <t>NF 593342 - 1086 CXS - SUDU5159571 - CSN N0-00561437/CC-IAI/24</t>
  </si>
  <si>
    <t>NF 593780 - 1155 CXS - TEMU9113169 - CSN N0-00569095/431/24</t>
  </si>
  <si>
    <t>NF 593359 - 1089 CXS - MWCU6967879 - CSN N0-00561656/CC-IAI/24</t>
  </si>
  <si>
    <t>NF 593806 - 994 CXS - REAU6199530 - CSN N0-00575545/431/24</t>
  </si>
  <si>
    <t>SO/3873-2X - MINERVA S/A - ROLIM DE MOURA - CNPJ. 67.620.377/0074-70</t>
  </si>
  <si>
    <t>LPCO.: E2400649786</t>
  </si>
  <si>
    <t>DU-E.: 24BR0021109190</t>
  </si>
  <si>
    <t>RUC: 4BR676203772LPL1389824</t>
  </si>
  <si>
    <t>BL.:  FBITAKAL027</t>
  </si>
  <si>
    <t>391 PALLETS COM O TOTAL DE 8.211,00 KG</t>
  </si>
  <si>
    <t>NF EXPORTAÇÃO.:  54800</t>
  </si>
  <si>
    <t>NF 54204 - 1073 CXS - SUDU5113821 - CSN N0-00555728/CC-IAI/24</t>
  </si>
  <si>
    <t>NF 54332 - 1041 CXS - MWCU6753460 - CSN N0-00560978/CC-IAI/24</t>
  </si>
  <si>
    <t>11241167620377007470550010000548001002140151</t>
  </si>
  <si>
    <t>NF 54205 - 1076 CXS - MWCU6686845 - CSN N0-00556572/CC-IAI/24</t>
  </si>
  <si>
    <t>NF 54354 - 1065 CXS - GESU9098994 - CSN N0-00558560/791/24</t>
  </si>
  <si>
    <t>NF 54222 - 1072 CXS - MWCU5239605 - CSN N0-00556589/CC-IAI/24</t>
  </si>
  <si>
    <t>NF 54396 - 1076 CXS - MSWU0064207 - CSN N0-00562685/791/24</t>
  </si>
  <si>
    <t>NF 54251 - 1080 CXS - MWCU6950860 - CSN N0-00556300/CC-IAI/24</t>
  </si>
  <si>
    <t>NF 54414 - 1083 CXS - MWMU6377717 - CSN N0-00562496/CC-IAI/24</t>
  </si>
  <si>
    <t>NF 54272 - 1036 CXS - ANPU6668899 - CSN N0-00556559/791/24</t>
  </si>
  <si>
    <t>NF 54416 - 1047 CXS - CCLU8612982 - CSN N0-00563604/CC-IAI/24</t>
  </si>
  <si>
    <t>NF 54284 - 1006 CXS - PONU4864043 - CSN N0-00562477/CC-IAI/24</t>
  </si>
  <si>
    <t>NF 54427 - 1076 CXS - REAU9294228 - CSN N0-00560524/791/24</t>
  </si>
  <si>
    <t>NF 54290 - 1075 CXS - GESU9179400 - CSN N0-00558566/791/24</t>
  </si>
  <si>
    <t>NF 54442 - 1061 CXS - PONU4957790 - CSN N0-00566084/CC-IAI/24</t>
  </si>
  <si>
    <t>NF 54292 - 1067 CXS - CRLU1813109 - CSN N0-00560526/791/24</t>
  </si>
  <si>
    <t>NF 54446 - 1044 CXS - REAU4974958 - CSN N0-00578031/CC-IAI/24</t>
  </si>
  <si>
    <t>NF 54303 - 1047 CXS - EMCU5303840 - CSN N0-00560976/CC-IAI/24</t>
  </si>
  <si>
    <t>NF 54482 - 1077 CXS - REAU5921910 - CSN N0-00581104/791/24</t>
  </si>
  <si>
    <t>NF 54304 - 1074 CXS - MWCU6958922 - CSN N0-00561472/CC-IAI/24</t>
  </si>
  <si>
    <t>PARTE LOTE NF 54690 - 1064 CXS - MWCU6848782 - CSN N0-00575078/CC-IAI/24</t>
  </si>
  <si>
    <t>SO/3873-3X - MINERVA S/A - PARANATINGA - CNPJ. 67.620.377/0080-18</t>
  </si>
  <si>
    <t>LPCO.: E2400649799</t>
  </si>
  <si>
    <t>DU-E.: 24BR0021117819</t>
  </si>
  <si>
    <t>RUC: 4BR676203772LPL1401924</t>
  </si>
  <si>
    <t>BL.:  FBITAKAL028</t>
  </si>
  <si>
    <t>296 PALLETS COM O TOTAL DE 6.216,00 KG</t>
  </si>
  <si>
    <t>NF EXPORTAÇÃO.:  36147</t>
  </si>
  <si>
    <t>51241167620377008018550010000361471001416933</t>
  </si>
  <si>
    <t>NF 35790 - 1076 CXS - MWCU5308769 - CSN N0-00556545/CC-IAI/24</t>
  </si>
  <si>
    <t>NF 35900 - 1060 CXS - SUDU5116559 - CSN N0-00566078/CC-IAI/24</t>
  </si>
  <si>
    <t>NF 35798 - 1100 CXS - ANPU5244746 - CSN N0-00577084/2500/24</t>
  </si>
  <si>
    <t>NF 35901 - 1079 CXS - ANPU6310930 - CSN N0-00562517/CC-IAI/24</t>
  </si>
  <si>
    <t>NF 35800 - 1112 CXS - MWCU5294618 - CSN N0-00557653/CC-IAI/24</t>
  </si>
  <si>
    <t>NF 35902 - 1050 CXS - MWCU5246815 - CSN N0-00562521/CC-IAI/24</t>
  </si>
  <si>
    <t>NF 35815 - 1026 CXS - MWCU6803833 - CSN N0-00558392/CC-IAI/24</t>
  </si>
  <si>
    <t>NF 35904 - 1106 CXS - REAU6285536 - CSN N0-00566080/CC-IAI/24</t>
  </si>
  <si>
    <t>NF 35829 - 1076 CXS - ANPU5223407- CSN N0-00558347/CC-IAI/24</t>
  </si>
  <si>
    <t>NF 35911 - 1122 CXS - ANPU5274615 - CSN N0-00566224/CC-IAI/24</t>
  </si>
  <si>
    <t>NF 35854 - 1050 CXS - MWCU6797896 - CSN N0-00570963/CC-IAI/24</t>
  </si>
  <si>
    <t>NF 35915 - 1092 CXS - MWCU6747792 - CSN N0-00576911/2500/24</t>
  </si>
  <si>
    <t>NF 35860 - 1048 CXS - REAU5780263 - CSN N0-00577022/2500/24</t>
  </si>
  <si>
    <t>PARTE LOTE NF 36005 - 331 CXS - ZCSU5947466 - CSN N0-00571468/CC-IAI/24</t>
  </si>
  <si>
    <t>PARTE LOTE - NF 35888 - 403 CXS - ANPU1215034 - CSN N0-00562429/CC-IAI/24</t>
  </si>
  <si>
    <t>NF 36031 - 1083 CXS - REAU5078391 - CSN N0-00568413/CC-IAI/24</t>
  </si>
  <si>
    <t>SO/3873-4X - MINERVA S/A - MIRASSOL DO OESTE - CNPJ. 67.620.377/0062-36</t>
  </si>
  <si>
    <t>LPCO.: E2400649849</t>
  </si>
  <si>
    <t>DU-E.: 24BR0021138360</t>
  </si>
  <si>
    <t>RUC: 4BR676203772LPL1390024</t>
  </si>
  <si>
    <t>BL.:  FBITAKAL029</t>
  </si>
  <si>
    <t>264 PALLETS COM O TOTAL DE 5544,00 KG</t>
  </si>
  <si>
    <t>NF EXPORTAÇÃO.:  60323</t>
  </si>
  <si>
    <t>NF 59746 - 1130 CXS - ANPU4914761 - CSN N0-00551782/CC-SJP/24</t>
  </si>
  <si>
    <t>NF 59877 - 1121 CXS - MWCU6658890 - CSN N0-00570970/CC-IAI/24</t>
  </si>
  <si>
    <t>51241167620377006236550010000603231001376971</t>
  </si>
  <si>
    <t>NF 59763 - 1103 CXS - ANPU6763999 - CSN N0-00551805/CC-SJP/24</t>
  </si>
  <si>
    <t>PARTE LOTE - NF 59897 - 533 CXS - ANPU1215034 - CSN N0-00562440/CC-IAI/24</t>
  </si>
  <si>
    <t>NF 59780 - 1111 CXS - ANPU6433913 - CSN N0-00551991/CC-SJP/24</t>
  </si>
  <si>
    <t>NF 59911 - 1158 CXS - PONU4880234 - CSN N0-00563521/CC-IAI/24</t>
  </si>
  <si>
    <t>NF 59791 - 1050 CXS - MWMU6401407 - CSN N0-00558411/CC-IAI/24</t>
  </si>
  <si>
    <t>NF 60029 - 1093 CXS - GESU9178765 - CSN N0-00564835/CC-SJP/24</t>
  </si>
  <si>
    <t>NF 59839 - 1099 CXS - MSWU9048207 - CSN N0-00558360/CC-IAI/24</t>
  </si>
  <si>
    <t>NF 60071 - 952 CXS - REAU9068154 - CSN N0-00566991/CC-SJP/24</t>
  </si>
  <si>
    <t>NF 59846 - 1060 CXS - MWCU6260910 - CSN N0-00558328/CC-IAI/24</t>
  </si>
  <si>
    <t>PARTE LOTE NF 60073 - 481 CXS - ZCSU5947466 - CSN N0-00571468/CC-IAI/24</t>
  </si>
  <si>
    <t>NF 59864 - 1099 CXS - CRLU1343448 - CSN N0-00555154/CC-SJP/24</t>
  </si>
  <si>
    <t>NF 60163 - 1205 CXS - CRLU1411727 - CSN N0-00572754/CC-IAI/24</t>
  </si>
  <si>
    <t>SO/3873-5X - MINERVA S/A - ARAGUAINA - CNPJ. 67.620.377/0018-62</t>
  </si>
  <si>
    <t>LPCO.: E2400649879</t>
  </si>
  <si>
    <t>DU-E.: 24BR0021248433</t>
  </si>
  <si>
    <t>RUC: 4BR676203772LPL1408924</t>
  </si>
  <si>
    <t>BL.:  FBITAKAL030</t>
  </si>
  <si>
    <t>112 PALLETS COM O TOTAL DE 2.352,00 KG</t>
  </si>
  <si>
    <t>NF EXPORTAÇÃO.:  165517</t>
  </si>
  <si>
    <t>NF 165176 - 1155 CXS - MWCU6678639 - CSN N0-00557682/CC-IAI/24</t>
  </si>
  <si>
    <t>NF 165267 - 1173 CXS - MWCU6552152 - CSN N0-00563676/CC-IAI/24</t>
  </si>
  <si>
    <t>17241167620377001862550010001655171003556078</t>
  </si>
  <si>
    <t>NF 165182 - 1000 CXS - REAU1142640 - CSN N0-00555629/1940/24</t>
  </si>
  <si>
    <t>NF 165362 - 1002 CXS - ZCSU5946562 - CSN N0-00571751/1940/24</t>
  </si>
  <si>
    <t>NF 165203 - 1200 CXS - MWMU6338388 - CSN N0-00558270/CC-IAI/24</t>
  </si>
  <si>
    <t>PARTE LOTE NF 165445 - 75 CXS - MWCU6848782 - CSN N0-00575069/CC-IAI/24</t>
  </si>
  <si>
    <t>SO/3873-6X - MINERVA S/A - JANAUBA - CNPJ. 67.620.377/0061-55</t>
  </si>
  <si>
    <t>LPCO.: E2400649889</t>
  </si>
  <si>
    <t>DU-E.: 24BR0021251361</t>
  </si>
  <si>
    <t>RUC: 4BR676203772LPL1409424</t>
  </si>
  <si>
    <t>BL.:  FBITAKAL031</t>
  </si>
  <si>
    <t>NF 58133 - 1063 CXS - MNBU3071085 - CSN N0-00556601/CC-IAI/24</t>
  </si>
  <si>
    <t>NF 58255 - 1037 CXS - MWMU6369183 - CSN N0-00561518/CC-IAI/24</t>
  </si>
  <si>
    <t>60 PALLETS COM O TOTAL DE 1260,00 KG</t>
  </si>
  <si>
    <t>NF 58144 - 1052 CXS - REAU5189287  - CSN N0-00568941/CC-UBL/24</t>
  </si>
  <si>
    <t>NF EXPORTAÇÃO.:  58473</t>
  </si>
  <si>
    <t>31241167620377006155550010000584731001671668</t>
  </si>
  <si>
    <t>SO/3873-7X - MINERVA S/A - JOSE BONIFACIO - CNPJ. 67.620.377/0003-86</t>
  </si>
  <si>
    <t>LPCO.: E2400649901</t>
  </si>
  <si>
    <t>DU-E.: 24BR0021127202</t>
  </si>
  <si>
    <t>RUC: 4BR676203772LPL1390524</t>
  </si>
  <si>
    <t>BL.:  FBITAKAL032</t>
  </si>
  <si>
    <t>116 PALLETS COM O TOTAL DE 2436,00 KG</t>
  </si>
  <si>
    <t>NF EXPORTAÇÃO.:  172720</t>
  </si>
  <si>
    <t>NF 172116 - 1084 CXS - ANPU5250796 - CSN N0-00552510/451/24</t>
  </si>
  <si>
    <t>PARTE LOTE - NF 172287 - 248 CXS - ANPU1215034 - CSN N0-00562394/CC-IAI/24</t>
  </si>
  <si>
    <t>35241167620377000386550010001727201005338022</t>
  </si>
  <si>
    <t>NF 172188 - 1112 CXS - PONU4818270 - CSN N0-00559532/CC-IAI/24</t>
  </si>
  <si>
    <t>NF 172296 - 1118 CXS - REAU5014463 - CSN N0-00560366/451/24</t>
  </si>
  <si>
    <t>NF 172191 - 1155 CXS - MWCU6672707 - CSN N0-00558306/CC-IAI/24</t>
  </si>
  <si>
    <t>PARTE LOTE NF 172437- 334 CXS - ZCSU5947466 - CSN N0-00571468/CC-IAI/24</t>
  </si>
  <si>
    <t>NF 172195 - 1155 CXS - MNBU0023972 - CSN N0-00558420/CC-IAI/24</t>
  </si>
  <si>
    <t>SO/3873-8X - MINERVA S/A - BARRETOS - CNPJ. 67.620.377/0001-14</t>
  </si>
  <si>
    <t>LPCO.: E2400649946</t>
  </si>
  <si>
    <t>DU-E.: 24BR0021097850</t>
  </si>
  <si>
    <t>RUC: 4BR676203772LPL1390624</t>
  </si>
  <si>
    <t>BL.:  FBITAKAL033</t>
  </si>
  <si>
    <t>100 PALLETS COM O TOTAL DE 2100 KG</t>
  </si>
  <si>
    <t>NF EXPORTAÇÃO.:  287883</t>
  </si>
  <si>
    <t>NF 286764 - 1071 CXS - PONU4928451 - CSN N0-00555763/CC-IAI/24</t>
  </si>
  <si>
    <t>NF 287132 - 1078 CXS - ANPU6022285 - CSN N0-00566090/CC-IAI/24</t>
  </si>
  <si>
    <t>35241167620377000114550010002878831008245822</t>
  </si>
  <si>
    <t>NF 286910 - 1092 CXS - MSWU1001693 - CSN N0-00558378/CC-IAI/24</t>
  </si>
  <si>
    <t>NF 287269 - 1004 CXS - REAU6587074 - CSN N0-00575169/421/24</t>
  </si>
  <si>
    <t>NF 287000 - 1100 CXS - CRLU1284860 - CSN N0-00575104/421/24</t>
  </si>
  <si>
    <t>DATA.: 27/03/25</t>
  </si>
  <si>
    <t>SO/4512-38X - MINERVA S/A - PALMEIRAS DE GOIAS - CNPJ. 67.620.377/0004-67</t>
  </si>
  <si>
    <t>LPCO.: ?????</t>
  </si>
  <si>
    <t>DU-E.: 25BR0005592532</t>
  </si>
  <si>
    <t>RUC: 5BR676203772LPL0221225</t>
  </si>
  <si>
    <t>BL.: ITJKA005</t>
  </si>
  <si>
    <t>303 PALLETS COM O TOTAL DE 6.363,000 KG</t>
  </si>
  <si>
    <r>
      <rPr>
        <rFont val="Arial"/>
        <b/>
        <color rgb="FF000000"/>
        <sz val="9.0"/>
      </rPr>
      <t>NF 599747 - 1086 CXS - 21 PLTS - ZCSU5947466</t>
    </r>
    <r>
      <rPr>
        <rFont val="Arial"/>
        <b/>
        <color rgb="FFFF0000"/>
        <sz val="9.0"/>
      </rPr>
      <t xml:space="preserve"> </t>
    </r>
    <r>
      <rPr>
        <rFont val="Arial"/>
        <b/>
        <color rgb="FF000000"/>
        <sz val="9.0"/>
      </rPr>
      <t>- CSN N0-00119111/CC-IAI/25</t>
    </r>
  </si>
  <si>
    <t>NF 599996 - 1094 CXS - 20 PLTS - REAU6390655 - CSN N0-00119431/CC-IAI/25</t>
  </si>
  <si>
    <t>NF EXPORTAÇÃO.:  600735</t>
  </si>
  <si>
    <r>
      <rPr>
        <rFont val="Arial"/>
        <b/>
        <color rgb="FF000000"/>
        <sz val="9.0"/>
      </rPr>
      <t>NF 599749 - 1075 CXS - 21 PLTS - CRLU7258615</t>
    </r>
    <r>
      <rPr>
        <rFont val="Arial"/>
        <b/>
        <color rgb="FFFF0000"/>
        <sz val="9.0"/>
      </rPr>
      <t xml:space="preserve"> </t>
    </r>
    <r>
      <rPr>
        <rFont val="Arial"/>
        <b/>
        <color rgb="FF000000"/>
        <sz val="9.0"/>
      </rPr>
      <t>- CSN N0-00121654/CC-IAI/25</t>
    </r>
  </si>
  <si>
    <t>NF 600144 - 1080 CXS - 21 PLTS - GESU9239372 - CSN N0-00127136/CC-IAI/25</t>
  </si>
  <si>
    <t>52250367620377000467550010006007351013104215</t>
  </si>
  <si>
    <r>
      <rPr>
        <rFont val="Arial"/>
        <b/>
        <color rgb="FF000000"/>
        <sz val="9.0"/>
      </rPr>
      <t>NF 599850 - 1155 CXS - 21 PLTS - REAU6106142</t>
    </r>
    <r>
      <rPr>
        <rFont val="Arial"/>
        <b/>
        <color rgb="FFFF0000"/>
        <sz val="9.0"/>
      </rPr>
      <t xml:space="preserve"> </t>
    </r>
    <r>
      <rPr>
        <rFont val="Arial"/>
        <b/>
        <color rgb="FF000000"/>
        <sz val="9.0"/>
      </rPr>
      <t>- CSN N0-00118888/CC-IAI/25</t>
    </r>
  </si>
  <si>
    <t>NF 600145 - 1155 CXS - 21 PLTS - REAU9086287 - CSN N0-00135705/CC-IAI/25</t>
  </si>
  <si>
    <r>
      <rPr>
        <rFont val="Arial"/>
        <b/>
        <color rgb="FF000000"/>
        <sz val="9.0"/>
      </rPr>
      <t>NF 599851 - 1095 CXS - 21 PLTS - CXRU1265946</t>
    </r>
    <r>
      <rPr>
        <rFont val="Arial"/>
        <b/>
        <color rgb="FFFF0000"/>
        <sz val="9.0"/>
      </rPr>
      <t xml:space="preserve"> </t>
    </r>
    <r>
      <rPr>
        <rFont val="Arial"/>
        <b/>
        <color rgb="FF000000"/>
        <sz val="9.0"/>
      </rPr>
      <t>- CSN N0-00118307/CC-IAI/25</t>
    </r>
  </si>
  <si>
    <t>NF 600186 - 1090 CXS - 21 PLTS - REAU5968564 - CSN N0-00131685/CC-IAI/25</t>
  </si>
  <si>
    <r>
      <rPr>
        <rFont val="Arial"/>
        <b/>
        <color rgb="FF000000"/>
        <sz val="9.0"/>
      </rPr>
      <t>NF 599853 - 1066 CXS - 20 PLTS - REAU9068154</t>
    </r>
    <r>
      <rPr>
        <rFont val="Arial"/>
        <b/>
        <color rgb="FFFF0000"/>
        <sz val="9.0"/>
      </rPr>
      <t xml:space="preserve"> </t>
    </r>
    <r>
      <rPr>
        <rFont val="Arial"/>
        <b/>
        <color rgb="FF000000"/>
        <sz val="9.0"/>
      </rPr>
      <t>- CSN N0-00118927/CC-IAI/25</t>
    </r>
  </si>
  <si>
    <t>NF 600453 - 1078 CXS - 20 PLTS - REAU6316370 - CSN N0-00143550/CC-IAI/25</t>
  </si>
  <si>
    <r>
      <rPr>
        <rFont val="Arial"/>
        <b/>
        <color rgb="FF000000"/>
        <sz val="9.0"/>
      </rPr>
      <t>NF 599854 - 1077 CXS - 21 PLTS - GESU9178430</t>
    </r>
    <r>
      <rPr>
        <rFont val="Arial"/>
        <b/>
        <color rgb="FFFF0000"/>
        <sz val="9.0"/>
      </rPr>
      <t xml:space="preserve"> </t>
    </r>
    <r>
      <rPr>
        <rFont val="Arial"/>
        <b/>
        <color rgb="FF000000"/>
        <sz val="9.0"/>
      </rPr>
      <t>- CSN N0-00121542/CC-IAI/25</t>
    </r>
  </si>
  <si>
    <t>NF 600476 - 1088 CXS - 20 PLTS - REAU1125900 - CSN N0-00145511/CC-IAI/25</t>
  </si>
  <si>
    <r>
      <rPr>
        <rFont val="Arial"/>
        <b/>
        <color rgb="FF000000"/>
        <sz val="9.0"/>
      </rPr>
      <t>NF 599856 - 1088 CXS - 21 PLTS - REAU0083245</t>
    </r>
    <r>
      <rPr>
        <rFont val="Arial"/>
        <b/>
        <color rgb="FFFF0000"/>
        <sz val="9.0"/>
      </rPr>
      <t xml:space="preserve"> </t>
    </r>
    <r>
      <rPr>
        <rFont val="Arial"/>
        <b/>
        <color rgb="FF000000"/>
        <sz val="9.0"/>
      </rPr>
      <t>- CSN N0-00118760/CC-IAI/25</t>
    </r>
  </si>
  <si>
    <t>PART LOTE - NF 600489 - 77 CXS - 14 PLTS - GESU9234093 - CSN N0-00151015/CC-IAI/25</t>
  </si>
  <si>
    <r>
      <rPr>
        <rFont val="Arial"/>
        <b/>
        <color rgb="FF000000"/>
        <sz val="9.0"/>
      </rPr>
      <t>NF 599995 - 1098 CXS - 20 PLTS - REAU6057963</t>
    </r>
    <r>
      <rPr>
        <rFont val="Arial"/>
        <b/>
        <color rgb="FFFF0000"/>
        <sz val="9.0"/>
      </rPr>
      <t xml:space="preserve"> </t>
    </r>
    <r>
      <rPr>
        <rFont val="Arial"/>
        <b/>
        <color rgb="FF000000"/>
        <sz val="9.0"/>
      </rPr>
      <t>- CSN N0-00118852/CC-IAI/25</t>
    </r>
  </si>
  <si>
    <t>SO/4578-2 - MINERVA S/A - PALMEIRAS DE GOIAS - CNPJ. 67.620.377/0004-67</t>
  </si>
  <si>
    <t>DU-E.: 25BR0005580518</t>
  </si>
  <si>
    <t>RUC: 5BR676203772LPL0220325</t>
  </si>
  <si>
    <t>BL.: ITJKA008</t>
  </si>
  <si>
    <r>
      <rPr>
        <rFont val="Arial"/>
        <b/>
        <color rgb="FF000000"/>
        <sz val="9.0"/>
      </rPr>
      <t>NF 599748 - 1061 CXS - 21 PLTS - REAU5831519</t>
    </r>
    <r>
      <rPr>
        <rFont val="Arial"/>
        <b/>
        <color rgb="FFFF0000"/>
        <sz val="9.0"/>
      </rPr>
      <t xml:space="preserve"> </t>
    </r>
    <r>
      <rPr>
        <rFont val="Arial"/>
        <b/>
        <color rgb="FF000000"/>
        <sz val="9.0"/>
      </rPr>
      <t>- CSN N0-00125087/CC-IAI/25</t>
    </r>
  </si>
  <si>
    <t>NF 599780 - 1061 CXS - 21 PLTS - REAU4929877 - CSN N0-00125051/CC-IAI/25</t>
  </si>
  <si>
    <t>42 PALLETS COM O TOTAL DE 882,000 KG</t>
  </si>
  <si>
    <t>NF EXPORTAÇÃO.:  600740</t>
  </si>
  <si>
    <t>52250367620377000467550010006007401013104495</t>
  </si>
  <si>
    <t>SO/4512-37X - MINERVA S/A - ROLIM DE MOURA - CNPJ. 67.620.377/0074-70</t>
  </si>
  <si>
    <t>DU-E.: 25BR0005590602</t>
  </si>
  <si>
    <t>RUC: 5BR676203772LPL0221125</t>
  </si>
  <si>
    <t>BL.:  ITJKA004</t>
  </si>
  <si>
    <t>NF 57647 - 1077 CXS - 21 PLTS - REAU1234599 - CSN N0-00121681/CC-IAI/25</t>
  </si>
  <si>
    <t>NF 57709 - 1065 CXS - 21 PLTS - CRLU1383348 - CSN N0-00118845/CC-IAI/25</t>
  </si>
  <si>
    <t>166 PALLETS COM O TOTAL DE 3.486,000 KG</t>
  </si>
  <si>
    <t>NF 57648 - 1075 CXS - 21 PLTS - REAU4960276 - CSN N0-00121149/CC-IAI/25</t>
  </si>
  <si>
    <t>NF 57773 - 1086 CXS - 21 PLTS - APRU5764522 - CSN N0-00118878/CC-IAI/25</t>
  </si>
  <si>
    <t>NF EXPORTAÇÃO.:  58168</t>
  </si>
  <si>
    <t>NF 57682 - 1072 CXS - 21 PLTS - REAU4960110 - CSN N0-00121587/CC-IAI/25</t>
  </si>
  <si>
    <t>NF 57937 - 1072 CXS - 20 PLTS - REAU6008341 - CSN N0-00143513/CC-IAI/25</t>
  </si>
  <si>
    <t>11250367620377007470550010000581681002278202</t>
  </si>
  <si>
    <t>NF 57683 - 1061 CXS - 21 PLTS - REAU1141583 - CSN N0-00121530/CC-IAI/25</t>
  </si>
  <si>
    <t>NF 58001 - 1004 CXS - 20 PLTS - REAU1142168 - CSN N0-00150936/CC-IAI/25</t>
  </si>
  <si>
    <t>O/4578-1 - MINERVA S/A - ROLIM DE MOURA - CNPJ. 67.620.377/0074-70</t>
  </si>
  <si>
    <t>DU-E.: 25BR0005580372</t>
  </si>
  <si>
    <t>RUC: 5BR676203772LPL0220125</t>
  </si>
  <si>
    <t>BL.: ITJKA007</t>
  </si>
  <si>
    <t>NF 57662 - 1088 CXS - 21 PLTS - REAU6098920 - CSN N0-00121125/CC-IAI/25</t>
  </si>
  <si>
    <t>NF 57830 - 1074 CXS - 20 PLTS - REAU6350631 - CSN N0-00129807/CC-IAI/25</t>
  </si>
  <si>
    <t>62 PALLETS COM O TOTAL DE 1.302,000 KG</t>
  </si>
  <si>
    <t>NF 57710 - 1088 CXS - 21 PLTS - REAU6520384 - CSN N0-00122451/CC-IAI/25</t>
  </si>
  <si>
    <t>NF EXPORTAÇÃO.:  58172</t>
  </si>
  <si>
    <t>11250367620377007470550010000581721002278353</t>
  </si>
  <si>
    <t>SO/4512-35X - MINERVA S/A - PARANATINGA - CNPJ. 67.620.377/0080-18</t>
  </si>
  <si>
    <t>DU-E.: 25BR0005586540</t>
  </si>
  <si>
    <t>RUC: 5BR676203772LPL0220825</t>
  </si>
  <si>
    <t>BL.: ITJKA002</t>
  </si>
  <si>
    <t>61 PALLETS COM O TOTAL DE 1.281,000 KG</t>
  </si>
  <si>
    <t>NF 38395 - 997 CXS - 20 PLTS - REAU6924895 - CSN N0-00121706/CC-IAI/25</t>
  </si>
  <si>
    <t>NF 38519 - 983 CXS - 20 PLTS - REAU1126167 - CSN N0-00129838/CC-IAI/25</t>
  </si>
  <si>
    <t>NF EXPORTAÇÃO.:  38855</t>
  </si>
  <si>
    <t>NF 38446 - 1130 CXS - 21 PLTS - REAU4839351 - CSN N0-00117766/CC-IAI/25</t>
  </si>
  <si>
    <t>51250367620377008018550010000388551001491400</t>
  </si>
  <si>
    <t>O/80375-1 - MINERVA S/A - PARANATINGA - CNPJ. 67.620.377/0080-18</t>
  </si>
  <si>
    <t>DU-E.: 25BR0005547782</t>
  </si>
  <si>
    <t>RUC: 5BR676203772LPL0220025</t>
  </si>
  <si>
    <t>83578 - FROZEN BONELLES BEEF ROBBED TRIMMING 80 VL BP</t>
  </si>
  <si>
    <t xml:space="preserve">BL.: ITJKA011  </t>
  </si>
  <si>
    <t>NF 38392 - 1155 CXS - 21 PLTS - REAU5174970 - CSN N0-00121139/CC-IAI/25</t>
  </si>
  <si>
    <t>NF 38520 - 1010 CXS - 20 PLTS REAU0001102 - CSN N0-00129843/CC-IAI/25</t>
  </si>
  <si>
    <t>NF EXPORTAÇÃO.:  38851</t>
  </si>
  <si>
    <t>NF 38437 - 1047 CXS - 20 PLTS - TRLU1874712 - CSN N0-00125119/CC-IAI/25</t>
  </si>
  <si>
    <t>PART LOTE - NF 38765 - 526 CXS - GESU9234093 - CSN N0-00151015/CC-IAI/25</t>
  </si>
  <si>
    <t>51250367620377008018550010000388511001491338</t>
  </si>
  <si>
    <t>SO/4512-36X - MINERVA S/A - MIRASSOL DO OESTE - CNPJ. 67.620.377/0062-36</t>
  </si>
  <si>
    <t>DU-E.: 25BR0005588640</t>
  </si>
  <si>
    <t>RUC: 5BR676203772LPL0220925</t>
  </si>
  <si>
    <t>BL.: ITJKA003</t>
  </si>
  <si>
    <t>292 PALLETS COM O TOTAL DE 6.132,000 KG</t>
  </si>
  <si>
    <t>NF 64078 - 1155 CXS - 21 PLTS - REAU3326903 - CSN N0-00119428/CC-IAI/25</t>
  </si>
  <si>
    <t>NF 64137 - 1155 CXS - 21 PLTS - REAU6105228 - CSN N0-00117687/CC-IAI/25</t>
  </si>
  <si>
    <t>NF EXPORTAÇÃO.:  64667</t>
  </si>
  <si>
    <t>NF 64081 - 1155 CXS - 21 PLTS - REAU5730920 - CSN N0-00118922/CC-IAI/25</t>
  </si>
  <si>
    <t>NF 64141 - 1050 CXS - 21 PLTS - SZLU9078487 - CSN N0-00118310/CC-IAI/25</t>
  </si>
  <si>
    <t>51250367620377006236550010000646671001488961</t>
  </si>
  <si>
    <t>NF 64082 - 1106 CXS - 21 PLTS - REAU6285536 - CSN N0-00118806/CC-IAI/25</t>
  </si>
  <si>
    <t>NF 64142 - 1050 CXS - 21 PLTS - REAU6913817 - CSN N0-00117803/CC-IAI/25</t>
  </si>
  <si>
    <t>NF 64085 - 1155 CXS - 20 PLTS - REAU4972338 - CSN N0-00121637/CC-IAI/25</t>
  </si>
  <si>
    <t>NF 64340 - 1130 CXS - 21 PLTS - REAU5154784 - CSN N0-00130491/CC-IAI/25</t>
  </si>
  <si>
    <t>NF 64086 - 1155 CXS - 21 PLTS - GESU9068325 - CSN N0-00122472/CC-IAI/25</t>
  </si>
  <si>
    <t>NF 64482 - 1038 CXS - 21 PLTS - REAU6114390 - CSN N0-00147883/CC-IAI/25</t>
  </si>
  <si>
    <t>NF 64133 - 1093 CXS - 20 PLTS - REAU9027026 - CSN N0-00118790/CC-IAI/25</t>
  </si>
  <si>
    <t>NF 64502 - 1050 CXS - 21 PLTS - FSCU5640334 - CSN N0-00150607/CC-IAI/25</t>
  </si>
  <si>
    <t>NF 64134 - 1155 CXS - 21 PLTS - GESU91794000 - CSN N0-00118738/CC-IAI/25</t>
  </si>
  <si>
    <t>PART LOTE - NF 64513 - 81 CXS - GESU9234093 - CSN N0-00151015/CC-IAI/25</t>
  </si>
  <si>
    <t>NF 64135 - 1155 CXS - 21 PLTS - REAU9102264 - CSN N0-00117737/CC-IAI/25</t>
  </si>
  <si>
    <t>SO/4512-34X - MINERVA S/A - ARAGUAINA - CNPJ. 67.620.377/0018-62</t>
  </si>
  <si>
    <t>DU-E.: 25BR0005583797</t>
  </si>
  <si>
    <t>RUC: 5BR676203772LPL0220725</t>
  </si>
  <si>
    <t>BL.: ITJKA001</t>
  </si>
  <si>
    <t>NF 167321 - 1186 CXS - 21 PLTS - TRLU1876084 - CSN N0-00117713/CC-IAI/25</t>
  </si>
  <si>
    <t>21 PALLETS COM O TOTAL DE 441,000 KG</t>
  </si>
  <si>
    <t>NF EXPORTAÇÃO.:  167583</t>
  </si>
  <si>
    <t>17250367620377001862550010001675831003614591</t>
  </si>
  <si>
    <t>SO/4578-3 - MINERVA S/A - ARAGUAINA - CNPJ. 67.620.377/0018-62</t>
  </si>
  <si>
    <t>DU-E.: 25BR0005580712</t>
  </si>
  <si>
    <t>RUC: 5BR676203772LPL0220525</t>
  </si>
  <si>
    <t>BL.: ITJKA009</t>
  </si>
  <si>
    <t>NF 167256 - 1192 CXS - 21 PLTS - GESU9055694 - CSN N0-00121117/CC-IAI/25</t>
  </si>
  <si>
    <t>NF 167268 - 1188 CXS - 21 PLTS - CRLU1411727 - CSN N0-00125092/CC-IAI/25</t>
  </si>
  <si>
    <t>NF EXPORTAÇÃO.:  167584</t>
  </si>
  <si>
    <t>17250367620377001862550010001675841003614637</t>
  </si>
  <si>
    <t>SO/4512-39 - MINERVA S/A - JOSE BONIFACIO - CNPJ. 67.620.377/0003-86</t>
  </si>
  <si>
    <t>DU-E.: 25BR0005594438</t>
  </si>
  <si>
    <t>RUC: 5BR676203772LPL0221325</t>
  </si>
  <si>
    <t>BL.: ITJKA006</t>
  </si>
  <si>
    <t>NF 175837 - 1155 CXS - 21 PLTS - REAU9273924 - CSN N0-00135694/CC-IAI/25</t>
  </si>
  <si>
    <t>NF 175839 - 1155 CXS - 21 PLTS - REAU6052961 - CSN N0-00117793/CC-IAI/25</t>
  </si>
  <si>
    <t>NF EXPORTAÇÃO.:  176332</t>
  </si>
  <si>
    <t>35250367620377000386550010001763321005391660</t>
  </si>
  <si>
    <t>SO/4578-4X - MINERVA S/A - BARRETOS - CNPJ. 67.620.377/0001-14</t>
  </si>
  <si>
    <t>DU-E.: 25BR0005581930</t>
  </si>
  <si>
    <t>RUC: 5BR676203772LPL0220625</t>
  </si>
  <si>
    <t>BL.: ITJKA010</t>
  </si>
  <si>
    <t>NF 293370 - 1037 CXS - 20 PLTS - REAU5032702 - CSN N0-00117815/CC-IAI/25</t>
  </si>
  <si>
    <t>NF 293371 - 1062 CXS - 21 PLTS - REAU1800818 - CSN N0-00125105/CC-IAI/25</t>
  </si>
  <si>
    <t>NF EXPORTAÇÃO.:  294325</t>
  </si>
  <si>
    <t>NF 293478 - 1046 CXS - 21 PLTS - REAU4939983 - CSN N0-00122459/CC-IAI/25</t>
  </si>
  <si>
    <t>35250367620377000114550010002943251008338745</t>
  </si>
  <si>
    <t>DATA.: 31/01/25</t>
  </si>
  <si>
    <t>LISTA DE CARGA  -  MV GREENSEA BERMEO - MINERVA S/A</t>
  </si>
  <si>
    <t>SO/4191-1 - MINERVA S/A - PALMEIRAS DE GOIAS - CNPJ. 67.620.377/0004-67</t>
  </si>
  <si>
    <t>LPCO.: E25?????????</t>
  </si>
  <si>
    <t>DU-E.: 25BR0001343554</t>
  </si>
  <si>
    <t>83578 - FROZEN BONELLES BEEF - TRIMMING 70 VL BP</t>
  </si>
  <si>
    <t>RUC: 5BR676203772LPL0057525</t>
  </si>
  <si>
    <t>BL.: GBITAKAL009</t>
  </si>
  <si>
    <r>
      <rPr>
        <rFont val="Arial"/>
        <b/>
        <color rgb="FF000000"/>
        <sz val="9.0"/>
      </rPr>
      <t>NF 596614 - 1028 CXS - EMCU5303136</t>
    </r>
    <r>
      <rPr>
        <rFont val="Arial"/>
        <b/>
        <color rgb="FFFF0000"/>
        <sz val="9.0"/>
      </rPr>
      <t xml:space="preserve"> </t>
    </r>
    <r>
      <rPr>
        <rFont val="Arial"/>
        <b/>
        <color rgb="FF000000"/>
        <sz val="9.0"/>
      </rPr>
      <t>- CSN N0-00030305/CC-IAI/25</t>
    </r>
  </si>
  <si>
    <t>NF 596615 - 1064 CXS - MNBU3071085 - CSN N0-00031925/CC-IAI/25</t>
  </si>
  <si>
    <r>
      <rPr>
        <rFont val="Arial"/>
        <b/>
        <color rgb="FF000000"/>
        <sz val="9.0"/>
      </rPr>
      <t>NF 596749 - 1067 CXS - SUDU5156720</t>
    </r>
    <r>
      <rPr>
        <rFont val="Arial"/>
        <b/>
        <color rgb="FFFF0000"/>
        <sz val="9.0"/>
      </rPr>
      <t xml:space="preserve"> </t>
    </r>
    <r>
      <rPr>
        <rFont val="Arial"/>
        <b/>
        <color rgb="FF000000"/>
        <sz val="9.0"/>
      </rPr>
      <t>- CSN N0-00043479/431/25</t>
    </r>
  </si>
  <si>
    <t>NF 596795 - 1065 CXS - SUDU6022979 - CSN N0-00038537/CC-IAI/25</t>
  </si>
  <si>
    <t>NF EXPORTAÇÃO.:  597401</t>
  </si>
  <si>
    <t>52250167620377000467550010005974011012984475</t>
  </si>
  <si>
    <t>SO/4191-2 - MINERVA S/A - ROLIM DE MOURA - CNPJ. 67.620.377/0074-70</t>
  </si>
  <si>
    <t>DU-E.: 25BR0001347568</t>
  </si>
  <si>
    <t>RUC: 5BR676203772LPL0057825</t>
  </si>
  <si>
    <t>BL.: GBITAKAL010</t>
  </si>
  <si>
    <t>101 PALLETS COM O TOTAL DE 2.121,00 KG</t>
  </si>
  <si>
    <t>NF 56149 - 1037 CXS - MWCU6747792 - CSN N0-00041519/CC-IAI/25</t>
  </si>
  <si>
    <t>NF 56151 - 926 CXS - SUDU5113821 - CSN N0-00035081/CC-STS/25</t>
  </si>
  <si>
    <t>NF EXPORTAÇÃO.:  56526</t>
  </si>
  <si>
    <t>NF 56379 - 1075 CXS - ANPU6928379 - CSN N0-00045109/CC-IAI/25</t>
  </si>
  <si>
    <t>NF 56382 - 1070 CXS - EMCU5297820 - CSN N0-00050382/CC-IAI/25</t>
  </si>
  <si>
    <t>11250167620377007470550010000565261002208650</t>
  </si>
  <si>
    <t>NF 56383 - 1071 CXS - MWCU6958922 - CSN N0-00045142/CC-IAI/25</t>
  </si>
  <si>
    <t>SO/4191-3 - MINERVA S/A - PARANATINGA - CNPJ. 67.620.377/0080-18</t>
  </si>
  <si>
    <t>DU-E.: 25BR0001350291</t>
  </si>
  <si>
    <t>RUC: 5BR676203772LPL0058025</t>
  </si>
  <si>
    <t>BL.: GBITAKAL011</t>
  </si>
  <si>
    <t>73 PALLETS COM O TOTAL DE 1.533,00 KG</t>
  </si>
  <si>
    <t>NF 37100 - 1027 CXS - MWCU5308769 - CSN N0-00037299/CC-STS/25</t>
  </si>
  <si>
    <t>NF 37196 - 1052 CXS - MWCU6926294 - CSN N0-00042903/CC-STS/25</t>
  </si>
  <si>
    <t>NF EXPORTAÇÃO.:  37380</t>
  </si>
  <si>
    <t>NF 37216 - 850 CXS - MWCU6803833 - CSN N0-00041218/CC-STS/25</t>
  </si>
  <si>
    <t>NF 37286 - 633 CXS - MWMU6401407 - CSN N0-00045102/CC-IAI/25</t>
  </si>
  <si>
    <t>51250167620377008018550010000373801001449652</t>
  </si>
  <si>
    <t>SO/4191-4 - MINERVA S/A - BARRETOS - CNPJ. 67.620.377/0001-14</t>
  </si>
  <si>
    <t>DU-E.: 25BR0001351875</t>
  </si>
  <si>
    <t>RUC: 5BR676203772LPL0058325</t>
  </si>
  <si>
    <t>BL.: GBITAKAL012</t>
  </si>
  <si>
    <t>40 PALLETS COM O TOTAL DE 840,00 KG</t>
  </si>
  <si>
    <t>NF 290284 - 1040 CXS - ANPU6760407 - CSN N0-00033786/CC-IAI/25</t>
  </si>
  <si>
    <t>NF 290381 - 928 CXS - MWCU6706031 - CSN N0-00039022/421/25</t>
  </si>
  <si>
    <t>NF EXPORTAÇÃO.:  290956</t>
  </si>
  <si>
    <t>35250167620377000114550010002909561008289640</t>
  </si>
  <si>
    <t>SO/4191-5 - MINERVA S/A - MIRASSOL D´OESTE - CNPJ. 67.620.377/0062-36</t>
  </si>
  <si>
    <t>DU-E.: 25BR0001352952</t>
  </si>
  <si>
    <t>RUC: 5BR676203772LPL0058525</t>
  </si>
  <si>
    <t>BL.: GBITAKAL013</t>
  </si>
  <si>
    <t>NF 062318 - 1040 CXS - MSWU9080092 - CSN N0-00038902/CC-STS/25</t>
  </si>
  <si>
    <t>21 PALLETS COM O TOTAL DE 580,00 KG</t>
  </si>
  <si>
    <t>NF EXPORTAÇÃO.:  62621</t>
  </si>
  <si>
    <t>51250167620377006236550010000626211001432243</t>
  </si>
  <si>
    <t>SO/4191-6 - MINERVA S/A - ARAGUAINA - CNPJ. 67.620.377/0018-62</t>
  </si>
  <si>
    <t>DU-E.: 25BR0001354696</t>
  </si>
  <si>
    <t>RUC: 5BR676203772LPL0058625</t>
  </si>
  <si>
    <t>BL.: GBITAKAL014</t>
  </si>
  <si>
    <t>NF 166265 - 1000 CXS - SUDU6016960 - CSN N0-00030796/1940/25</t>
  </si>
  <si>
    <t>NF 166293 - 1000 CXS - ANPU5223407 - CSN N0-00036320/1940/25</t>
  </si>
  <si>
    <t>NF EXPORTAÇÃO.:  166502</t>
  </si>
  <si>
    <t>17250167620377001862550010001665021003583556</t>
  </si>
  <si>
    <t>DATA.: 03/07/24</t>
  </si>
  <si>
    <t>SO/2743-4X - MINERVA S/A - ARAGUAINA - CNPJ. 67.620.377/0018-62</t>
  </si>
  <si>
    <t>LPCO.: E2400335232</t>
  </si>
  <si>
    <t>DU-E.: 24BR0010707989</t>
  </si>
  <si>
    <t>RUC: 4BR676203772LPL0743624</t>
  </si>
  <si>
    <t>BL.:  202405ITAKAL001</t>
  </si>
  <si>
    <t>118 PALLETS COM O TOTAL DE 2.960,00 KG</t>
  </si>
  <si>
    <r>
      <rPr>
        <rFont val="Arial"/>
        <b/>
        <color rgb="FF000000"/>
        <sz val="9.0"/>
      </rPr>
      <t>NF 162420 - MWCU6958922 - 1199 CXS - CSN N0-</t>
    </r>
    <r>
      <rPr>
        <rFont val="Arial"/>
        <b/>
        <color rgb="FF000000"/>
        <sz val="9.0"/>
      </rPr>
      <t>00279677</t>
    </r>
    <r>
      <rPr>
        <rFont val="Arial"/>
        <b/>
        <color rgb="FF000000"/>
        <sz val="9.0"/>
      </rPr>
      <t>/CC-IAI/24</t>
    </r>
  </si>
  <si>
    <t>NF 162448 - MSWU4000052 - 1192 CXS - CSN N0-00281921/CC-IAI/24</t>
  </si>
  <si>
    <t>NF EXPORTAÇÃO.:  162722</t>
  </si>
  <si>
    <t>NF 162468 - MNBU0023972 - 1171 CXS - CSN N0-00295495/CC-IAI/24</t>
  </si>
  <si>
    <t>NF 162469 - MWCU6260910 - 1165 CXS - CSN N0-00284213/CC-IAI/24</t>
  </si>
  <si>
    <t>17240667620377001862550010001627221003480392</t>
  </si>
  <si>
    <t>NF 162535 - PONU4849563 - 1194 CXS - CSN N0-00294790/CC-IAI/24</t>
  </si>
  <si>
    <t>SO/2743-3X - MINERVA S/A - MIRASSOL DO OESTE - CNPJ. 67.620.377/0062-36</t>
  </si>
  <si>
    <t>LPCO.: E2400335223</t>
  </si>
  <si>
    <t>DU-E.: 24BR0010707199</t>
  </si>
  <si>
    <t>RUC: 4BR676203772LPL0743524</t>
  </si>
  <si>
    <t>BL.:  202405ITAKAL002</t>
  </si>
  <si>
    <t>134 PALLETS COM O TOTAL DE 3.355,00 KG</t>
  </si>
  <si>
    <t>NF 54926 - MWCU6926294 - 1142 CXS - CSN N0-00279688/CC-IAI/24</t>
  </si>
  <si>
    <t>NF 54927 - SUDU5231721 - 1112 CXS - CSN N0-00279687/CC-IAI/24</t>
  </si>
  <si>
    <t>NF EXPORTAÇÃO.:  55371</t>
  </si>
  <si>
    <t>NF 54958 - MWCU6753460 - 1155 CXS - CSN N0-00281933/CC-IAI/24</t>
  </si>
  <si>
    <t>NF 54978 - WGMU5010684 - 1102 CXS - CSN N0-00281926/CC-IAI/24</t>
  </si>
  <si>
    <t>51240667620377006236550010000553711001266795</t>
  </si>
  <si>
    <t>NF 54986 - SUDU6054507 - 1103 CXS - CSN N0-00281930/CC-IAI/24</t>
  </si>
  <si>
    <t>NF 55034 - SUDU6186930 - 1096 CXS - CSN N0-00284220/CC-IAI/24</t>
  </si>
  <si>
    <t>SO/2743-7XR - MINERVA S/A - PARANATINGA - CNPJ. 67.620.377/0080-18</t>
  </si>
  <si>
    <t>LPCO.: E2400335279</t>
  </si>
  <si>
    <t>DU-E.: 24BR0010712826</t>
  </si>
  <si>
    <t>RUC: 4BR676203772LPL0743924</t>
  </si>
  <si>
    <t>BL.:  202405ITAKAL003</t>
  </si>
  <si>
    <t>43 PALLETS COM O TOTAL DE 1.072,50 KG</t>
  </si>
  <si>
    <t>NF 32039 - PONU4931075 - 1084 CXS - CSN N0-00288411/CC-IAI/24</t>
  </si>
  <si>
    <t>NF 32081 - PONU4880234 - 1061 CXS - CSN N0-00292165/CC-IAI/24</t>
  </si>
  <si>
    <t>NF EXPORTAÇÃO.: 32383</t>
  </si>
  <si>
    <t>51240767620377008018550010000323834001322834</t>
  </si>
  <si>
    <t>OBS: OS CNTRS GRIFADOS  FORAM RECUSADOS NA VISTORIA</t>
  </si>
  <si>
    <t>SO/??????-1 - MINERVA S/A - PALMEIRAS DE GOIAS - CNPJ. 67.620.377/0004-67</t>
  </si>
  <si>
    <t>LPCO.: E2400335202</t>
  </si>
  <si>
    <t>DU-E.: 24BR0010705714</t>
  </si>
  <si>
    <t>RUC: 4BR676203772LPL0743324</t>
  </si>
  <si>
    <t>BL.:   202405ITAKAL004</t>
  </si>
  <si>
    <t>389 PALLETS COM O TOTAL DE 9.714,50 KG</t>
  </si>
  <si>
    <t>NF 583706 - MWCU6928379 - 1077 CXS - CSN N0-00276782/CC-IAI/24</t>
  </si>
  <si>
    <t>NF 583709 - MWCU6880439 - 1096 CXS - CSN N0-00276821/CC-IAI/24</t>
  </si>
  <si>
    <t>NF EXPORTAÇÃO.: 584880</t>
  </si>
  <si>
    <t>NF 583768 - MWMU6401407 - 1070 CXS - CSN N0-00276967/CC-IAI/24</t>
  </si>
  <si>
    <t>NF 583774 - MWCU5294618 - 1070 CXS - CSN N0-00276913/CC-IAI/24</t>
  </si>
  <si>
    <t>52240667620377000467550010005848801012603921</t>
  </si>
  <si>
    <t>NF 583784 - SUDU6083552 - 1074 CXS - CSN N0-00276943/CC-IAI/24</t>
  </si>
  <si>
    <t>NF 583785 - SUDU5120013 - 1082 CXS - CSN N0-00277006/CC-IAI/24</t>
  </si>
  <si>
    <t>NF 583786 - MWCU5250796 - 1075 CXS - CSN N0-00292140/CC-IAI/24</t>
  </si>
  <si>
    <t>NF 583852 - SUDU6106679 - 1073 CXS - CSN N0-00292147/CC-IAI/24</t>
  </si>
  <si>
    <t>NF 583862 - MSWU0039293 - 1069 CXS - CSN N0-00279673/CC-IAI/24</t>
  </si>
  <si>
    <t>NF 583867 - MWCU6672707 - 1086 CXS - CSN N0-00279681/CC-IAI/24</t>
  </si>
  <si>
    <t>NF 583874 - MWCU6711974 - 1071 CXS - CSN N0-00279680/CC-IAI/24</t>
  </si>
  <si>
    <t>NF 583877 - MWCU5244746 - 1074 CXS - CSN N0-00279682/CC-IAI/24</t>
  </si>
  <si>
    <t>NF 583882 - SUDU6131141 - 1075 CXS - CSN N0-00279685/CC-IAI/24</t>
  </si>
  <si>
    <t>NF 583884 - MNBU0041847 - 1074 CXS - CSN N0-00279684/CC-IAI/24</t>
  </si>
  <si>
    <t>NF 584090 - MWCU6883361 - 1107 CXS - CSN N0-00281927/CC-IAI/24</t>
  </si>
  <si>
    <t>NF 584283 - MWCU6858008 - 1119 CXS - CSN N0-00292156/CC-IAI/24</t>
  </si>
  <si>
    <t>NF 584284 - MWCU6658890 - 1069 CXS - CSN N0-00294835/CC-IAI/24</t>
  </si>
  <si>
    <t>NF 584359 - MSWU1001693 - 1068 CXS - CSN N0-00294810/CC-IAI/24</t>
  </si>
  <si>
    <t>SO/2743-2X - MINERVA S/A - ROLIM DE MOURA - CNPJ. 67.620.377/0074-70</t>
  </si>
  <si>
    <t>LPCO.: E2400335212</t>
  </si>
  <si>
    <t>DU-E.: 24BR0010713237</t>
  </si>
  <si>
    <t>RUC: 4BR676203772LPL0743424</t>
  </si>
  <si>
    <t>BL.:   202405ITAKAL005</t>
  </si>
  <si>
    <t>362 PALLETS COM O TOTAL DE 9.061,50 KG</t>
  </si>
  <si>
    <t>NF 49969 - MWCU5308769 - 1075 CXS - CSN N0-00284262/CC-IAI/24</t>
  </si>
  <si>
    <t>NF 49971 - SUDU5156720 - 1068 CXS - CSN N0-00284294/CC-IAI/24</t>
  </si>
  <si>
    <t>NF EXPORTAÇÃO.:  50370</t>
  </si>
  <si>
    <t>NF 49973 - MWMU6338388 - 1064 CXS - CSN N0-00284269/CC-IAI/24</t>
  </si>
  <si>
    <t>NF 49990 - MSWU0005312 - 1067 CXS - CSN N0-00284307/CC-IAI/24</t>
  </si>
  <si>
    <t>11240667620377007470550010000503701001972280</t>
  </si>
  <si>
    <t>NF 50012 - EMCU5303136 - 1047 CXS - CSN N0-00284246/CC-IAI/24</t>
  </si>
  <si>
    <t>NF 50015 - EGSU5008931 - 1068 CXS - CSN N0-00288385/CC-IAI/24</t>
  </si>
  <si>
    <t>NF 50031 - EMCU5303840 - 1066 CXS - CSN N0-00288349/CC-IAI/24</t>
  </si>
  <si>
    <t>NF 50032 - MWCU6997019 - 1079 CXS - CSN N0-00288502/CC-IAI/24</t>
  </si>
  <si>
    <t>NF 50033 - MSWU9048207 - 1066 CXS - CSN N0-00288310/CC-IAI/24</t>
  </si>
  <si>
    <t>NF 50087 - MWCU6706031 - 1080 CXS - CSN N0-00287326/CC-IAI/24</t>
  </si>
  <si>
    <t>NF 50122 - MWMU6390391 - 1051 CXS - CSN N0-00295206/CC-IAI/24</t>
  </si>
  <si>
    <t>NF 50124 - PONU4864043 - 1068 CXS - CSN N0-00295290/CC-IAI/24</t>
  </si>
  <si>
    <t>NF 50130 - EMCU5297820 - 1060 CXS - CSN N0-00295383/CC-IAI/24</t>
  </si>
  <si>
    <t>NF 50131 - MWCU6677885 - 1055 CXS - CSN N0-00295259/CC-IAI/24</t>
  </si>
  <si>
    <t>NF 50145 - MWMU6369183 - 1080 CXS - CSN N0-000295339/CC-IAI/24</t>
  </si>
  <si>
    <t>NF 50162 - MWCU6678639 - 1052 CXS - CSN N0-00297212/CC-IAI/24</t>
  </si>
  <si>
    <t>NF 50163 - PONU4914761 - 1077 CXS - CSN N0-00299653/CC-IAI/24</t>
  </si>
  <si>
    <t>SO/2743-6X - MINERVA S/A - JOSE BONIFACIO - CNPJ. 67.620.377/0003-86</t>
  </si>
  <si>
    <t>LPCO.: E2400335264</t>
  </si>
  <si>
    <t>DU-E.: 24BR0010709370</t>
  </si>
  <si>
    <t>RUC: 4BR676203772LPL0743824</t>
  </si>
  <si>
    <t>BL.:   202405ITAKAL006</t>
  </si>
  <si>
    <t>NF 167464 - MWMU6310930 - 1001 CXS - CSN N0-00276749/CC-IAI/24</t>
  </si>
  <si>
    <t>NF 167495 - MWCU6662139 - 1054 CXS - CSN N0-00292464/CC-IAI/24</t>
  </si>
  <si>
    <t>41 PALLETS COM O TOTAL DE 1.027,50 KG</t>
  </si>
  <si>
    <t>NF EXPORTAÇÃO.:  167951</t>
  </si>
  <si>
    <t>35240667620377000386550010001679511005270187</t>
  </si>
  <si>
    <t>SO/2743-5X - MINERVA S/A - JANAUBA - CNPJ. 67.620.377/0061-55</t>
  </si>
  <si>
    <t>LPCO.: E2400335245</t>
  </si>
  <si>
    <t>DU-E.: 24BR0010710602</t>
  </si>
  <si>
    <t>RUC: 4BR676203772LPL0743724</t>
  </si>
  <si>
    <t>BL.:   202405ITAKAL007</t>
  </si>
  <si>
    <t>64 PALLETS COM O TOTAL DE 1.596,50 KG</t>
  </si>
  <si>
    <t>NF 55424 - MWCU6556862 - 1050 CXS - CSN N0-00308383/CC-IAI/24</t>
  </si>
  <si>
    <t>NF 55388 - MWCU6652207 - 1067 CXS - CSN N0-00284240/CC-IAI/24</t>
  </si>
  <si>
    <t>NF EXPORTAÇÃO.:  55629</t>
  </si>
  <si>
    <t>NF 55480 - MWCU6720580 - 1076 CXS - CSN N0-00295156/CC-IAI/24</t>
  </si>
  <si>
    <t>31240667620377006155550010000556291001574039</t>
  </si>
  <si>
    <t>DATA.: 08/05/24</t>
  </si>
  <si>
    <t>SO/2742-16 - MINERVA S/A - SANTOS - CNPJ. 67.620.377/0083-60</t>
  </si>
  <si>
    <t xml:space="preserve">LPCO.: </t>
  </si>
  <si>
    <t>DU-E.: 24BR0007677578</t>
  </si>
  <si>
    <t>80935 - FROZEN BONELLES BEEF NECK VP</t>
  </si>
  <si>
    <t>CARNE CONG. DE BOV. S/O PESCOCO</t>
  </si>
  <si>
    <t>RUC: 4BR676203772LPL0526124</t>
  </si>
  <si>
    <t xml:space="preserve">75512 - FROZEN BONELLES BEEF PIECES 80 CL </t>
  </si>
  <si>
    <t>BL.: GBRITAKAL024</t>
  </si>
  <si>
    <t>67268 - FROZEN BONELLES BEEF TRIMMING 70 VL BP</t>
  </si>
  <si>
    <t>NF EXPORTAÇÃO.:  11265</t>
  </si>
  <si>
    <r>
      <rPr>
        <rFont val="Arial"/>
        <b/>
        <color rgb="FF000000"/>
        <sz val="9.0"/>
      </rPr>
      <t xml:space="preserve">NF 11265 - REAU6199530 - 1070 CXS - </t>
    </r>
    <r>
      <rPr>
        <rFont val="Arial"/>
        <b/>
        <color rgb="FF000000"/>
        <sz val="9.0"/>
      </rPr>
      <t>CSI I0-00210973/CC-STS/24  E  I0-00210975/CC-STS/24</t>
    </r>
  </si>
  <si>
    <t>35240567620377008360550010000112651000114372</t>
  </si>
  <si>
    <t>SO/2742-17 - MINERVA S/A - SANTOS - CNPJ. 67.620.377/0083-60</t>
  </si>
  <si>
    <t>DU-E.: 24BR0007683993</t>
  </si>
  <si>
    <t>86067 - FROZEN BONELLES BEEF CHUCK ROLL VP</t>
  </si>
  <si>
    <t>CARNE CONG. DE BOV. S/O ACEM</t>
  </si>
  <si>
    <t>RUC: 4BR676203772LPL0526024</t>
  </si>
  <si>
    <t>BL.:  GBRITAKAL025</t>
  </si>
  <si>
    <t>NF 11266 - REAU6587074 - 1000 CXS - CSI I0-00210977/CC-STS/24</t>
  </si>
  <si>
    <t>NF EXPORTAÇÃO.:  11266</t>
  </si>
  <si>
    <t>35240567620377008360550010000112661000114388</t>
  </si>
  <si>
    <t>SO/2742-19 - MINERVA S/A - SANTOS - CNPJ. 67.620.377/0083-60</t>
  </si>
  <si>
    <t xml:space="preserve">DESTINO: RUSSIA </t>
  </si>
  <si>
    <t>LPCO.: E2400231024</t>
  </si>
  <si>
    <t>DU-E.: 24BR0007689215</t>
  </si>
  <si>
    <t>RUC: 4BR676203772LPL0524424</t>
  </si>
  <si>
    <t>BL.:  GBRITAKAL027</t>
  </si>
  <si>
    <t>NF 11279 - MWCU5294618 - 1007 CXS - CSN N0-00215411/CC-IAI/24</t>
  </si>
  <si>
    <t>NF EXPORTAÇÃO.: 11279</t>
  </si>
  <si>
    <t>35240567620377008360550010000112791000114521</t>
  </si>
  <si>
    <t>SO/2742-20 - MINERVA S/A - SANTOS - CNPJ. 67.620.377/0083-60</t>
  </si>
  <si>
    <t>DESTINO: RUSSIA</t>
  </si>
  <si>
    <t>LPCO.: E2400231041</t>
  </si>
  <si>
    <t>DU-E.: 24BR0007690175</t>
  </si>
  <si>
    <t>RUC: 4BR676203772LPL0524524</t>
  </si>
  <si>
    <t>BL.:  GBRITAKAL028</t>
  </si>
  <si>
    <r>
      <rPr>
        <rFont val="Arial"/>
        <b/>
        <color rgb="FF000000"/>
        <sz val="9.0"/>
      </rPr>
      <t xml:space="preserve">NF 11278 - WGMU5010684 - 748 CXS - CSN </t>
    </r>
    <r>
      <rPr>
        <rFont val="Arial"/>
        <b/>
        <color rgb="FF000000"/>
        <sz val="9.0"/>
      </rPr>
      <t>N0-00217929/CC-IAI/24</t>
    </r>
  </si>
  <si>
    <t>15 PALLETS COM O TOTAL DE 330,00 KG</t>
  </si>
  <si>
    <t>NF EXPORTAÇÃO.: 11278</t>
  </si>
  <si>
    <t>35240567620377008360550010000112781000114516</t>
  </si>
  <si>
    <t>SO/2742-21 - MINERVA S/A - SANTOS - CNPJ. 67.620.377/0083-60</t>
  </si>
  <si>
    <t>LPCO.: E2400231063</t>
  </si>
  <si>
    <t>DU-E.: 24BR0007691368</t>
  </si>
  <si>
    <t>RUC: 4BR676203772LPL0524624</t>
  </si>
  <si>
    <t>BL.: GBRITAKAL029</t>
  </si>
  <si>
    <r>
      <rPr>
        <rFont val="Arial"/>
        <b/>
        <color rgb="FF000000"/>
        <sz val="9.0"/>
      </rPr>
      <t xml:space="preserve">NF 11280 - MWCU6662139 - 743 CXS - </t>
    </r>
    <r>
      <rPr>
        <rFont val="Arial"/>
        <b/>
        <color rgb="FF000000"/>
        <sz val="9.0"/>
      </rPr>
      <t>CSN N0-00216024/CC-IAI/24</t>
    </r>
  </si>
  <si>
    <t>NF EXPORTAÇÃO.:  11280</t>
  </si>
  <si>
    <t>35240567620377008360550010000112801000114530</t>
  </si>
  <si>
    <t>SO/2742-22 - MINERVA S/A - SANTOS - CNPJ. 67.620.377/0083-60</t>
  </si>
  <si>
    <t>LPCO.: E2400231100</t>
  </si>
  <si>
    <t>DU-E.: 24BR0007692860</t>
  </si>
  <si>
    <t>RUC: 4BR676203772LPL0524724</t>
  </si>
  <si>
    <t>BL.:  GBRITAKAL030</t>
  </si>
  <si>
    <r>
      <rPr>
        <rFont val="Arial"/>
        <b/>
        <color rgb="FF000000"/>
        <sz val="9.0"/>
      </rPr>
      <t xml:space="preserve">NF 11282 - MWCU6880439 - 716 CXS - </t>
    </r>
    <r>
      <rPr>
        <rFont val="Arial"/>
        <b/>
        <color rgb="FF000000"/>
        <sz val="9.0"/>
      </rPr>
      <t>CSN N0-00217937/CC-IAI/24</t>
    </r>
  </si>
  <si>
    <t>NF EXPORTAÇÃO.:  11282</t>
  </si>
  <si>
    <t>35240567620377008360550010000112821000114551</t>
  </si>
  <si>
    <t>SO/2742-23 - MINERVA S/A - SANTOS - CNPJ. 67.620.377/0083-60</t>
  </si>
  <si>
    <t>LPCO.: E2400231138</t>
  </si>
  <si>
    <t>DU-E.: 24BR0007694391</t>
  </si>
  <si>
    <t>RUC: 4BR676203772LPL0524824</t>
  </si>
  <si>
    <t>BL.:  GBRITAKAL031</t>
  </si>
  <si>
    <r>
      <rPr>
        <rFont val="Arial"/>
        <b/>
        <color rgb="FF000000"/>
        <sz val="9.0"/>
      </rPr>
      <t xml:space="preserve">NF 11283 - MSWU9102294 - 854 CXS - </t>
    </r>
    <r>
      <rPr>
        <rFont val="Arial"/>
        <b/>
        <color rgb="FF000000"/>
        <sz val="9.0"/>
      </rPr>
      <t>CSN N0-00217922/CC-IAI/24</t>
    </r>
  </si>
  <si>
    <t>16 PALLETS COM O TOTAL DE 352,00 KG</t>
  </si>
  <si>
    <t>35240567620377008360550010000112831000114567</t>
  </si>
  <si>
    <t>SO/2742-24 - MINERVA S/A - SANTOS - CNPJ. 67.620.377/0083-60</t>
  </si>
  <si>
    <t>LPCO.: E2400231181</t>
  </si>
  <si>
    <t>DU-E.: 24BR0007695916</t>
  </si>
  <si>
    <t>RUC: 4BR676203772LPL0524924</t>
  </si>
  <si>
    <t>BL.:  GBRITAKAL032</t>
  </si>
  <si>
    <r>
      <rPr>
        <rFont val="Arial"/>
        <b/>
        <color rgb="FF000000"/>
        <sz val="9.0"/>
      </rPr>
      <t xml:space="preserve">NF 11284 - MWCU6989564 - 1081 CXS - </t>
    </r>
    <r>
      <rPr>
        <rFont val="Arial"/>
        <b/>
        <color rgb="FF000000"/>
        <sz val="9.0"/>
      </rPr>
      <t>CSN N0-00215996/CC-IAI/24</t>
    </r>
  </si>
  <si>
    <t>NF EXPORTAÇÃO.:  11284</t>
  </si>
  <si>
    <t>35240567620377008360550010000112841000114572</t>
  </si>
  <si>
    <t>SO/2742-25 - MINERVA S/A - SANTOS - CNPJ. 67.620.377/0083-60</t>
  </si>
  <si>
    <t>LPCO.: E2400231299</t>
  </si>
  <si>
    <t>DU-E.: 24BR0007699644</t>
  </si>
  <si>
    <t>RUC: 4BR676203772LPL0525024</t>
  </si>
  <si>
    <t>BL.:  GBRITAKAL033</t>
  </si>
  <si>
    <r>
      <rPr>
        <rFont val="Arial"/>
        <b/>
        <color rgb="FF000000"/>
        <sz val="9.0"/>
      </rPr>
      <t xml:space="preserve">NF 11285 - MNBU0303248 - 848 CXS - </t>
    </r>
    <r>
      <rPr>
        <rFont val="Arial"/>
        <b/>
        <color rgb="FF000000"/>
        <sz val="9.0"/>
      </rPr>
      <t>CSN N0-00217943/CC-IAI/24</t>
    </r>
  </si>
  <si>
    <t>17 PALLETS COM O TOTAL DE 374,00 KG</t>
  </si>
  <si>
    <t>NF EXPORTAÇÃO.:  11285</t>
  </si>
  <si>
    <t>35240567620377008360550010000112851000114588</t>
  </si>
  <si>
    <t>SO/2742-26 - MINERVA S/A - SANTOS - CNPJ. 67.620.377/0083-60</t>
  </si>
  <si>
    <t>LPCO.: E2400231221</t>
  </si>
  <si>
    <t>DU-E.: 24BR0007697900</t>
  </si>
  <si>
    <t>RUC: 4BR676203772LPL0525724</t>
  </si>
  <si>
    <t>BL.:  GBRITAKAL034</t>
  </si>
  <si>
    <r>
      <rPr>
        <rFont val="Arial"/>
        <b/>
        <color rgb="FF000000"/>
        <sz val="9.0"/>
      </rPr>
      <t xml:space="preserve">NF 11312 - SZLU9613372 - 927 CXS - </t>
    </r>
    <r>
      <rPr>
        <rFont val="Arial"/>
        <b/>
        <color rgb="FF000000"/>
        <sz val="9.0"/>
      </rPr>
      <t>CSN N0-00216909/CC-IAI/24</t>
    </r>
  </si>
  <si>
    <t>18 PALLETS COM O TOTAL DE 396,00 KG</t>
  </si>
  <si>
    <t xml:space="preserve">NF EXPORTAÇÃO.: 11312 </t>
  </si>
  <si>
    <t>OBS: COM PARECER AGUARDANDO COPIA DO CSN</t>
  </si>
  <si>
    <t>35240567620377008360550010000113121000114846</t>
  </si>
  <si>
    <t>DATA: 20/12/2023</t>
  </si>
  <si>
    <t>001-004-0001490 - FRIGOMERC - (MINERVA FOODS) SO/1958-1</t>
  </si>
  <si>
    <t>FROZEN BONELLES BEEF TRIMMING BP</t>
  </si>
  <si>
    <t>CRT.: PY.2530.15903</t>
  </si>
  <si>
    <t>MIC-DTA.: 2304840986</t>
  </si>
  <si>
    <t>BL.: No. 202307ITJCALL15</t>
  </si>
  <si>
    <t>001-004-0001484 - FRIGOMERC - (MINERVA FOODS) SO/1958-2</t>
  </si>
  <si>
    <t>CRT.: PY.2530.15896</t>
  </si>
  <si>
    <t>MIC-DTA.: 2304790091</t>
  </si>
  <si>
    <t>BL.: No. 202307ITJCALL16</t>
  </si>
  <si>
    <t>001-004-0001544 - FRIGOMERC - (MINERVA FOODS) SO/1958-3</t>
  </si>
  <si>
    <t>FROZEN BONELLES BEEF TRIMMING 70 VL</t>
  </si>
  <si>
    <t>CRT.: PY.2530.15961</t>
  </si>
  <si>
    <t>CNTR - PONU4514364</t>
  </si>
  <si>
    <t>MIC-DTA.: 2304944196</t>
  </si>
  <si>
    <t>BL.: No. 202307ITJCALL12</t>
  </si>
  <si>
    <t>001-004-0001616 - FRIGOMERC - (MINERVA FOODS) SO/1958-4</t>
  </si>
  <si>
    <t>CRT.: PY.2530.16028</t>
  </si>
  <si>
    <t>CNTR - MWCU6652207</t>
  </si>
  <si>
    <t>MIC-DTA.: 2304998911</t>
  </si>
  <si>
    <t>BL.: No. 202307ITJCALL13</t>
  </si>
  <si>
    <t>001-004-0001633 - FRIGOMERC - (MINERVA FOODS) SO/1958-5</t>
  </si>
  <si>
    <t>CRT.: PY.2530.16030</t>
  </si>
  <si>
    <t>MIC-DTA.: 2305033073</t>
  </si>
  <si>
    <t>BL.: No. 202307ITJCALL14</t>
  </si>
  <si>
    <t>001-004-0001493 - FRIGOMERC - (MINERVA FOODS) SO/1958-17</t>
  </si>
  <si>
    <t>CRT.: PY.2530.15902</t>
  </si>
  <si>
    <t>CNTR - MWCU6720580</t>
  </si>
  <si>
    <t>MIC-DTA.: 2304864567</t>
  </si>
  <si>
    <t>BL.: No. 202307ITJCALL11</t>
  </si>
  <si>
    <t>001-004-0001503 - FRIGOMERC - (MINERVA FOODS) SO/1958-18</t>
  </si>
  <si>
    <t>CRT.: PY.2530.15913</t>
  </si>
  <si>
    <t>CNTR - MSWU0039293</t>
  </si>
  <si>
    <t>MIC-DTA.: 2304840382</t>
  </si>
  <si>
    <t>BL.: No. 202307ITJCALL09</t>
  </si>
  <si>
    <t>001-004-0001491 - FRIGOMERC - (MINERVA FOODS) SO/1958-19</t>
  </si>
  <si>
    <t>CRT.: PY.2530.15912</t>
  </si>
  <si>
    <t>CNTR - MWCU6686845</t>
  </si>
  <si>
    <t>MIC-DTA.: 2304864982</t>
  </si>
  <si>
    <t>BL.: No. 202307ITJCALL10</t>
  </si>
  <si>
    <t>001-004-0001516 - FRIGOMERC - (MINERVA FOODS) SO/1958-20</t>
  </si>
  <si>
    <t>CRT.: PY.2530.15916</t>
  </si>
  <si>
    <t>MIC-DTA.: 2304820420</t>
  </si>
  <si>
    <t>BL.: No. 202307ITJCALL07</t>
  </si>
  <si>
    <t>001-004-0001509 - FRIGOMERC - (MINERVA FOODS) SO/1958-21</t>
  </si>
  <si>
    <t>CRT.: PY.2530.15920</t>
  </si>
  <si>
    <t>MIC-DTA.: 2304812087</t>
  </si>
  <si>
    <t>BL.: No. 202307ITJCALL08</t>
  </si>
  <si>
    <t>001-004-0001515 - FRIGOMERC - (MINERVA FOODS) SO/1958-22</t>
  </si>
  <si>
    <t>CRT.: PY.2530.15924</t>
  </si>
  <si>
    <t>CNTR - MWCU6880439</t>
  </si>
  <si>
    <t>MIC-DTA.: 2304822414</t>
  </si>
  <si>
    <t>BL.: No. 202307ITJCALL05</t>
  </si>
  <si>
    <t>001-004-0001530 - FRIGOMERC - (MINERVA FOODS) SO/1958-23</t>
  </si>
  <si>
    <t>CRT.: PY.2530.15915</t>
  </si>
  <si>
    <t>MIC-DTA.: 2304945451</t>
  </si>
  <si>
    <t>BL.: No. 202307ITJCALL06</t>
  </si>
  <si>
    <t>001-004-0001552 - FRIGOMERC - (MINERVA FOODS) SO/1958-24</t>
  </si>
  <si>
    <t>CRT.: PY.2530.15949</t>
  </si>
  <si>
    <t>MIC-DTA.: 2304959991</t>
  </si>
  <si>
    <t>BL.: No. 202307ITJCALL03</t>
  </si>
  <si>
    <t>001-004-0001548 - FRIGOMERC - (MINERVA FOODS) SO/1958-25</t>
  </si>
  <si>
    <t>CRT.: PY.2530.15947</t>
  </si>
  <si>
    <t>CNTR - MWCU6753460</t>
  </si>
  <si>
    <t>MIC-DTA.: 2304941022</t>
  </si>
  <si>
    <t>BL.: No. 202307ITJCALL04</t>
  </si>
  <si>
    <t>001-004-0001551 - FRIGOMERC - (MINERVA FOODS) SO/1958-26</t>
  </si>
  <si>
    <t>CRT.: PY.2530.15957</t>
  </si>
  <si>
    <t>CNTR - MWCU6883361</t>
  </si>
  <si>
    <t>MIC-DTA.: 2304903260</t>
  </si>
  <si>
    <t>BL.: No. 202307ITJCALL02</t>
  </si>
  <si>
    <t>005-012-0002720 - BEEF PARAGUAY S/A- (MINERVA FOODS) SO/1958-6</t>
  </si>
  <si>
    <t>CRT.: PY.2530.15888</t>
  </si>
  <si>
    <t>MIC-DTA.: 2304790768</t>
  </si>
  <si>
    <t>BL.: No. 202307ITJCALL01</t>
  </si>
  <si>
    <t>005-012-0002721 - BEEF PARAGUAY S/A- (MINERVA FOODS) SO/1958-7</t>
  </si>
  <si>
    <t>CRT.: PY.2530.15895</t>
  </si>
  <si>
    <t>CNTR - MWMU6369183</t>
  </si>
  <si>
    <t>MIC-DTA.: 2304792701</t>
  </si>
  <si>
    <t>BL.: No. 202307ITJCALL40</t>
  </si>
  <si>
    <t>003-004-0001396 - BEEF PARAGUAY S/A- (MINERVA FOODS) SO/1958-8</t>
  </si>
  <si>
    <t>FROZEN BONELLES BEEF TRIMMING 70 VL BP</t>
  </si>
  <si>
    <t>CRT.: PY.2530.15928</t>
  </si>
  <si>
    <t>MIC-DTA.: 2304838345</t>
  </si>
  <si>
    <t>BL.: No. 202307ITJCALL39</t>
  </si>
  <si>
    <t>005-012-0002725 - BEEF PARAGUAY S/A- (MINERVA FOODS) SO/1958-9</t>
  </si>
  <si>
    <t>CRT.: PY.2530.15891</t>
  </si>
  <si>
    <t>MIC-DTA.: 2304817542</t>
  </si>
  <si>
    <t>BL.: No. 202307ITJCALL37</t>
  </si>
  <si>
    <t>005-012-0002756 - BEEF PARAGUAY S/A- (MINERVA FOODS) SO/1958-10</t>
  </si>
  <si>
    <t>CRT.: PY.2530.15921</t>
  </si>
  <si>
    <t>CNTR - SUDU6054507</t>
  </si>
  <si>
    <t>MIC-DTA.: 2304820608</t>
  </si>
  <si>
    <t>BL.: No. 202307ITJCALL38</t>
  </si>
  <si>
    <t>003-004-0001539 - BEEF PARAGUAY S/A- (MINERVA FOODS) SO/1958-11</t>
  </si>
  <si>
    <t>CRT.: PY.2530.16088</t>
  </si>
  <si>
    <t>MIC-DTA.: 2305222593</t>
  </si>
  <si>
    <t>BL.: No. 202307ITJCALL35</t>
  </si>
  <si>
    <t>005-012-0002775 - BEEF PARAGUAY S/A- (MINERVA FOODS) SO/1958-12</t>
  </si>
  <si>
    <t>CRT.: PY.2530.15927</t>
  </si>
  <si>
    <t>MIC-DTA.: 2304838809</t>
  </si>
  <si>
    <t>BL.: No. 202307ITJCALL36</t>
  </si>
  <si>
    <t>005-012-0002859 - BEEF PARAGUAY S/A- (MINERVA FOODS) SO/1958-13</t>
  </si>
  <si>
    <t>CRT.: PY.2530.15960</t>
  </si>
  <si>
    <t>MIC-DTA.: 2304928824</t>
  </si>
  <si>
    <t>BL.: No. 202307ITJCALL33</t>
  </si>
  <si>
    <t>005-012-0002877 - BEEF PARAGUAY S/A- (MINERVA FOODS) SO/1958-14</t>
  </si>
  <si>
    <t>CRT.: PY.2530.15956</t>
  </si>
  <si>
    <t>MIC-DTA.: 2304940557</t>
  </si>
  <si>
    <t>BL.: No. 202307ITJCALL34</t>
  </si>
  <si>
    <t>005-012-0003020 - BEEF PARAGUAY S/A- (MINERVA FOODS) SO/1958-15</t>
  </si>
  <si>
    <t>CRT.: PY.2530.16040</t>
  </si>
  <si>
    <t>CNTR - MWCU6678639</t>
  </si>
  <si>
    <t>MIC-DTA.: 2305069450</t>
  </si>
  <si>
    <t>BL.: No. 202307ITJCALL31</t>
  </si>
  <si>
    <t>005-012-0003047 - BEEF PARAGUAY S/A- (MINERVA FOODS) SO/1958-16</t>
  </si>
  <si>
    <t>CRT.: PY.2530.16063</t>
  </si>
  <si>
    <t>CNTR - MWCU6552152</t>
  </si>
  <si>
    <t>MIC-DTA.: 2305094684</t>
  </si>
  <si>
    <t>BL.: No. 202307ITJCALL32</t>
  </si>
  <si>
    <t>005-012-0002714 - BEEF PARAGUAY S/A- (MINERVA FOODS) SO/1958-27</t>
  </si>
  <si>
    <t>CRT.: PY.2530.15887</t>
  </si>
  <si>
    <t>MIC-DTA.: 2304791870</t>
  </si>
  <si>
    <t>BL.: No. 202307ITJCALL29</t>
  </si>
  <si>
    <t>005-012-0002732 - BEEF PARAGUAY S/A- (MINERVA FOODS) SO/1958-28</t>
  </si>
  <si>
    <t>CRT.: PY.2530.15889</t>
  </si>
  <si>
    <t>CNTR - MWMU6310930</t>
  </si>
  <si>
    <t>MIC-DTA.: 2304791373</t>
  </si>
  <si>
    <t>BL.: No. 202307ITJCALL30</t>
  </si>
  <si>
    <t>003-004-0001356 - BEEF PARAGUAY S/A- (MINERVA FOODS) SO/1958-29</t>
  </si>
  <si>
    <t>CRT.: PY.2530.15909</t>
  </si>
  <si>
    <t>MIC-DTA.: 2304798106</t>
  </si>
  <si>
    <t>BL.: No. 202307ITJCALL27</t>
  </si>
  <si>
    <t>005-012-0002736 - BEEF PARAGUAY S/A- (MINERVA FOODS) SO/1958-30</t>
  </si>
  <si>
    <t>CRT.: PY.2530.15917</t>
  </si>
  <si>
    <t>CNTR - SUDU6106679</t>
  </si>
  <si>
    <t>MIC-DTA.: 2304816481</t>
  </si>
  <si>
    <t>BL.: No. 202307ITJCALL28</t>
  </si>
  <si>
    <t>005-012-0002734 - BEEF PARAGUAY S/A- (MINERVA FOODS) SO/1958-31</t>
  </si>
  <si>
    <t>CRT.: PY.2530.15914</t>
  </si>
  <si>
    <t>CNTR - MWCU6672707</t>
  </si>
  <si>
    <t>MIC-DTA.: 2304798726</t>
  </si>
  <si>
    <t>BL.: No. 202307ITJCALL25</t>
  </si>
  <si>
    <t>003-004-0001354 - BEEF PARAGUAY S/A- (MINERVA FOODS) SO/1958-32</t>
  </si>
  <si>
    <t>CRT.: PY.2530.15919</t>
  </si>
  <si>
    <t>MIC-DTA.: 2304798130</t>
  </si>
  <si>
    <t>BL.: No. 202307ITJCALL26</t>
  </si>
  <si>
    <t>005-012-0002754 - BEEF PARAGUAY S/A- (MINERVA FOODS) SO/1958-33</t>
  </si>
  <si>
    <t>CRT.: PY.2530.15918</t>
  </si>
  <si>
    <t>MIC-DTA.: 2304798742</t>
  </si>
  <si>
    <t>BL.: No. 202307ITJCALL22</t>
  </si>
  <si>
    <t>005-012-0002749 - BEEF PARAGUAY S/A- (MINERVA FOODS) SO/1958-34</t>
  </si>
  <si>
    <t>CRT.: PY.2530.15910</t>
  </si>
  <si>
    <t>CNTR - MSWU9048207</t>
  </si>
  <si>
    <t>MIC-DTA.: 2304816970</t>
  </si>
  <si>
    <t>BL.: No. 202307ITJCALL23</t>
  </si>
  <si>
    <t>003-004-0001392 - BEEF PARAGUAY S/A- (MINERVA FOODS) SO/1958-35</t>
  </si>
  <si>
    <t>CRT.: PY.2530.15922</t>
  </si>
  <si>
    <t>MIC-DTA.: 2304822384</t>
  </si>
  <si>
    <t>BL.: No. 202307ITJCALL24</t>
  </si>
  <si>
    <t>005-012-0002772 - BEEF PARAGUAY S/A- (MINERVA FOODS) SO/1958-36</t>
  </si>
  <si>
    <t>CRT.: PY.2530.15925</t>
  </si>
  <si>
    <t>MIC-DTA.: 2304812370</t>
  </si>
  <si>
    <t>BL.: No. 202307ITJCALL20</t>
  </si>
  <si>
    <t>005-012-0002771 - BEEF PARAGUAY S/A- (MINERVA FOODS) SO/1958-37</t>
  </si>
  <si>
    <t>CRT.: PY.2530.15923</t>
  </si>
  <si>
    <t>MIC-DTA.: 2304819260</t>
  </si>
  <si>
    <t>BL.: No. 202307ITJCALL21</t>
  </si>
  <si>
    <t>005-012-0002838 - BEEF PARAGUAY S/A- (MINERVA FOODS) SO/1958-38</t>
  </si>
  <si>
    <t>CRT.: PY.2530.15959</t>
  </si>
  <si>
    <t>CNTR - MWCU6626147</t>
  </si>
  <si>
    <t>MIC-DTA.: 2304928239</t>
  </si>
  <si>
    <t>BL.: No. 202307ITJCALL18</t>
  </si>
  <si>
    <t>005-012-0002984 - BEEF PARAGUAY S/A- (MINERVA FOODS) SO/1958-39</t>
  </si>
  <si>
    <t>CRT.: PY.2530.16019</t>
  </si>
  <si>
    <t>MIC-DTA.: 2305010324</t>
  </si>
  <si>
    <t>BL.: No. 202307ITJCALL19</t>
  </si>
  <si>
    <t>005-012-0003135 - BEEF PARAGUAY S/A- (MINERVA FOODS) SO/1958-39A</t>
  </si>
  <si>
    <t>CRT.: PY.2530.16085</t>
  </si>
  <si>
    <t>CNTR - MSWU9016175</t>
  </si>
  <si>
    <t>MIC-DTA.: 2305219746</t>
  </si>
  <si>
    <t>BL.: No. 202307ITJCALL17</t>
  </si>
  <si>
    <t>FRIGOMERC - (MINERVA FOODS) SO/3100-1</t>
  </si>
  <si>
    <t>CRT.: PY.2530.17381</t>
  </si>
  <si>
    <t>MIC-DTA.: 2402749886</t>
  </si>
  <si>
    <t xml:space="preserve">BL.: No. </t>
  </si>
  <si>
    <t>FRIGOMERC - (MINERVA FOODS) SO/3100-2</t>
  </si>
  <si>
    <t>CRT.: PY.2530.17363</t>
  </si>
  <si>
    <t>MIC-DTA.: 2402801640</t>
  </si>
  <si>
    <t>BEEF PARAGUAY - (MINERVA FOODS) SO/3100-3</t>
  </si>
  <si>
    <t>CRT.: PY.2530.17390</t>
  </si>
  <si>
    <t>MIC-DTA.: 2402689280</t>
  </si>
  <si>
    <t>BEEF PARAGUAY - (MINERVA FOODS) SO/3100-4</t>
  </si>
  <si>
    <t>BEEF PARAGUAY - (MINERVA FOODS) SO/3100-5</t>
  </si>
  <si>
    <t>CRT.: PY.2530.17375</t>
  </si>
  <si>
    <t>MIC-DTA.: 2402688933</t>
  </si>
  <si>
    <t>BEEF PARAGUAY - (MINERVA FOODS) SO/3100-6</t>
  </si>
  <si>
    <t>CRT.: PY.2530.17399</t>
  </si>
  <si>
    <t>MIC-DTA.: 2402689468</t>
  </si>
  <si>
    <t>BEEF PARAGUAY - (MINERVA FOODS) SO/3100-7</t>
  </si>
  <si>
    <t>CRT.: PY.2530.17401</t>
  </si>
  <si>
    <t>CNTR - MNBU0303428</t>
  </si>
  <si>
    <t>MIC-DTA.: 2402689530</t>
  </si>
  <si>
    <t>BEEF PARAGUAY - (MINERVA FOODS) SO/3100-8</t>
  </si>
  <si>
    <t>CRT.: PY.2530.17406</t>
  </si>
  <si>
    <t>MIC-DTA.: 2402766144</t>
  </si>
  <si>
    <t>BEEF PARAGUAY - (MINERVA FOODS) SO/3100-9</t>
  </si>
  <si>
    <t>CRT.: PY.2530.17425</t>
  </si>
  <si>
    <t>MIC-DTA.: 2402807843</t>
  </si>
  <si>
    <t>BEEF PARAGUAY - (MINERVA FOODS) SO/3100-10</t>
  </si>
  <si>
    <t>CRT.: PY.2530.17378</t>
  </si>
  <si>
    <t>MIC-DTA.: 2402758320</t>
  </si>
  <si>
    <t>BL.:  No. 202307ITJCALL03</t>
  </si>
  <si>
    <t/>
  </si>
  <si>
    <t>DATA.: 16/11/2023</t>
  </si>
  <si>
    <t>LISTA DE CARGA  -  MV BALTIC PERFORMER - MINERVA S/A</t>
  </si>
  <si>
    <t>SO/1854-1 - MINERVA S/A - JOSE BONIFACIO - CNPJ. 67.620.377/0003-86</t>
  </si>
  <si>
    <t>BRUTO SEM
PALLETS</t>
  </si>
  <si>
    <t>BRUTO COM
PALLETS</t>
  </si>
  <si>
    <t>LPCO.: E2300551831</t>
  </si>
  <si>
    <t>83578 - FROZEN BONELLES BEEF TRIMMING 70 VL BP FZN - RUSSIA</t>
  </si>
  <si>
    <t>DU-E.: 23BR0018865044</t>
  </si>
  <si>
    <t>RUC: 3BR676203772LPL0973123</t>
  </si>
  <si>
    <t xml:space="preserve">NF 160612- FSCU5641433- 1036 CXS- CSN N0-00460735/451/23 </t>
  </si>
  <si>
    <t>BL.: 052023ITJKAL007</t>
  </si>
  <si>
    <t>NF EXPORTAÇÃO.:  161212</t>
  </si>
  <si>
    <t>35231167620377000386550010001612121005164300</t>
  </si>
  <si>
    <t>SO/1854-2 - MINERVA S/A - MIRASSOL DO OESTE - CNPJ. 67.620.377/0062-36</t>
  </si>
  <si>
    <t>LPCO.: E2300551856</t>
  </si>
  <si>
    <t>DU-E.: 23BR0018869520</t>
  </si>
  <si>
    <t>RUC: 3BR676203772LPL0973223</t>
  </si>
  <si>
    <t>NF 48017- SZLU9086420- 1050 CXS-  CSN N0-00457434/CC-SJP/23</t>
  </si>
  <si>
    <t>NF 48181- REAU4740522- 1048 CXS- CSN N0-00469523/CC-SJP/23</t>
  </si>
  <si>
    <t xml:space="preserve">BL.: 052023ITJKAL006 </t>
  </si>
  <si>
    <t>NF EXPORTAÇÃO.:  48780</t>
  </si>
  <si>
    <t>51231167620377006236550010000487801001105221</t>
  </si>
  <si>
    <t>SO/1854-4 - MINERVA S/A - MIRASSOL DO OESTE - CNPJ. 67.620.377/0062-36</t>
  </si>
  <si>
    <t>LPCO.: E2300551904</t>
  </si>
  <si>
    <t>83577 - FROZEN BONELLES BEEF TRIMMING 80 VL BP FZN - RUSSIA</t>
  </si>
  <si>
    <t>DU-E.: 23BR0018877760</t>
  </si>
  <si>
    <t>RUC: 3BR676203772LPL0973323</t>
  </si>
  <si>
    <t>NF 48099- GESU9150264- 1090 CXS- CSN N0-00469430/CC-SJP/23</t>
  </si>
  <si>
    <t>BL.: 052023ITJKAL005</t>
  </si>
  <si>
    <t>22 PALLETS COM O TOTAL DE 550,00 KG</t>
  </si>
  <si>
    <t>NF EXPORTAÇÃO.:  48782</t>
  </si>
  <si>
    <t>51231167620377006236550010000487821001105269</t>
  </si>
  <si>
    <t>SO/1854-3 - MINERVA S/A - PALMEIRAS DE GOIAS - CNPJ. 67.620.377/0004-67</t>
  </si>
  <si>
    <t>LPCO.: E2300551870</t>
  </si>
  <si>
    <t>DU-E.: 23BR0018875589</t>
  </si>
  <si>
    <t>RUC: 3BR676203772LPL0973423</t>
  </si>
  <si>
    <t>NF 569599- REAU6576110- 1062 CX- CSN N0-00455444/431/23</t>
  </si>
  <si>
    <t>NF 569713- REAU6041798- 1050 CXS- CSN N0-00455489/431/23</t>
  </si>
  <si>
    <t>BL.: 052023ITJKAL004</t>
  </si>
  <si>
    <t>NF 569852- ZCSU5963282- 1050 CXS- CSN N0-00459589/431/23</t>
  </si>
  <si>
    <t>NF 570127- REAU9770915- 1050 CXS- CSN N0-00465012/431/23</t>
  </si>
  <si>
    <t>128 PALLETS COM O TOTAL DE 3.200,00 KG</t>
  </si>
  <si>
    <t>NF 569993- CXRU1362822- 1050 CXS- CSN N0-00465374/431/23</t>
  </si>
  <si>
    <t>PARTE LOTE- NF 570595- REAU4939983- 135 CXS- CSN N0-00476715/431/23</t>
  </si>
  <si>
    <t>NF EXPORTAÇÃO.:  572302</t>
  </si>
  <si>
    <t>NF 570494- REAU5035548- 1050 CXS- CSN N0-00477400/431/23</t>
  </si>
  <si>
    <t>52231167620377000467550010005723021012163030</t>
  </si>
  <si>
    <t>SO/1854-5 - MINERVA S/A - PALMEIRAS DE GOIAS - CNPJ. 67.620.377/0004-67</t>
  </si>
  <si>
    <t>LPCO.: E2300551931</t>
  </si>
  <si>
    <t>DU-E.: 23BR0018879835</t>
  </si>
  <si>
    <t>RUC: 3BR676203772LPL0973523</t>
  </si>
  <si>
    <t>NF 569466- REAU9287949- 1050 CXS- CSN N0-00448192/431/23</t>
  </si>
  <si>
    <t>NF 569517- TRLU1744262- 1049 CXS- CSN N0-00448170/431/23</t>
  </si>
  <si>
    <t>BL.: 052023ITJKAL008</t>
  </si>
  <si>
    <t>NF 569530- MWCU5219574- 1050 CXS- CSN N0-00448181/431/23</t>
  </si>
  <si>
    <t>NF 569570- TRLU1723608- 1050 CXS- CSN N0-00455466/431/23</t>
  </si>
  <si>
    <t>151 PALLETS COM O TOTAL DE 3.775,00 KG</t>
  </si>
  <si>
    <t>NF 569587- REAU5846709- 1050 CXS- CSN N0-00455399/431/23</t>
  </si>
  <si>
    <t>NF 569799- MSWU0036680- 1049 CXS- CSN N0-00455515/431/23</t>
  </si>
  <si>
    <t>NF EXPORTAÇÃO.:  571360</t>
  </si>
  <si>
    <t>NF 569912- REAU6622051- 1081 CXS- CSN N0-00460287/431/23</t>
  </si>
  <si>
    <t>PARTE LOTE- NF 570595- REAU4939983- 155 CXS- CSN N0-00476715/431/23</t>
  </si>
  <si>
    <t>52231167620377000467550010005713601012134277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</si>
</sst>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"/>
  </numFmts>
  <fonts count="30">
    <font>
      <sz val="10.0"/>
      <color rgb="FF000000"/>
      <name val="Arial"/>
      <scheme val="minor"/>
    </font>
    <font>
      <b/>
      <sz val="10.0"/>
      <color theme="1"/>
      <name val="Arial"/>
    </font>
    <font/>
    <font>
      <sz val="10.0"/>
      <color theme="1"/>
      <name val="Arial"/>
    </font>
    <font>
      <b/>
      <sz val="9.0"/>
      <color theme="1"/>
      <name val="Arial"/>
    </font>
    <font>
      <b/>
      <sz val="24.0"/>
      <color theme="1"/>
      <name val="Arial"/>
    </font>
    <font>
      <b/>
      <sz val="20.0"/>
      <color rgb="FFFF0000"/>
      <name val="Arial"/>
    </font>
    <font>
      <b/>
      <sz val="22.0"/>
      <color theme="1"/>
      <name val="Arial"/>
    </font>
    <font>
      <b/>
      <sz val="16.0"/>
      <color rgb="FFFF0000"/>
      <name val="Arial"/>
    </font>
    <font>
      <b/>
      <sz val="12.0"/>
      <color theme="1"/>
      <name val="Arial"/>
    </font>
    <font>
      <b/>
      <sz val="12.0"/>
      <color rgb="FF000000"/>
      <name val="Arial"/>
    </font>
    <font>
      <sz val="9.0"/>
      <color rgb="FF000000"/>
      <name val="Arial"/>
    </font>
    <font>
      <sz val="9.0"/>
      <color theme="1"/>
      <name val="Arial"/>
    </font>
    <font>
      <sz val="10.0"/>
      <color rgb="FFFF0000"/>
      <name val="Arial"/>
    </font>
    <font>
      <b/>
      <sz val="14.0"/>
      <color rgb="FF000000"/>
      <name val="Arial"/>
    </font>
    <font>
      <b/>
      <sz val="14.0"/>
      <color theme="1"/>
      <name val="Arial"/>
    </font>
    <font>
      <b/>
      <sz val="9.0"/>
      <color rgb="FFFF0000"/>
      <name val="Arial"/>
    </font>
    <font>
      <b/>
      <sz val="9.0"/>
      <color rgb="FF000000"/>
      <name val="Arial"/>
    </font>
    <font>
      <sz val="10.0"/>
      <color rgb="FFFF0000"/>
      <name val="Times New Roman"/>
    </font>
    <font>
      <b/>
      <sz val="10.0"/>
      <color rgb="FF333333"/>
      <name val="Arial"/>
    </font>
    <font>
      <sz val="10.0"/>
      <color rgb="FF000000"/>
      <name val="Arial"/>
    </font>
    <font>
      <b/>
      <sz val="16.0"/>
      <color theme="1"/>
      <name val="Arial"/>
    </font>
    <font>
      <b/>
      <sz val="16.0"/>
      <color rgb="FF000000"/>
      <name val="Arial"/>
    </font>
    <font>
      <b/>
      <sz val="11.0"/>
      <color rgb="FFFF0000"/>
      <name val="Arial"/>
    </font>
    <font>
      <b/>
      <sz val="10.0"/>
      <color rgb="FF000000"/>
      <name val="Arial"/>
    </font>
    <font>
      <b/>
      <sz val="9.0"/>
      <color rgb="FFF1C232"/>
      <name val="Arial"/>
    </font>
    <font>
      <b/>
      <sz val="11.0"/>
      <color rgb="FF000000"/>
      <name val="Arial"/>
    </font>
    <font>
      <b/>
      <sz val="9.0"/>
      <color rgb="FF434343"/>
      <name val="Arial"/>
    </font>
    <font>
      <b/>
      <sz val="10.0"/>
      <color rgb="FFFF0000"/>
      <name val="Arial"/>
    </font>
    <font>
      <sz val="9.0"/>
      <color rgb="FFFF0000"/>
      <name val="Arial"/>
    </font>
  </fonts>
  <fills count="1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4D79B"/>
        <bgColor rgb="FFC4D79B"/>
      </patternFill>
    </fill>
    <fill>
      <patternFill patternType="solid">
        <fgColor rgb="FFFFFF00"/>
        <bgColor rgb="FFFFFF00"/>
      </patternFill>
    </fill>
    <fill>
      <patternFill patternType="solid">
        <fgColor rgb="FFDCE6F1"/>
        <bgColor rgb="FFDCE6F1"/>
      </patternFill>
    </fill>
    <fill>
      <patternFill patternType="solid">
        <fgColor rgb="FFC5D9F1"/>
        <bgColor rgb="FFC5D9F1"/>
      </patternFill>
    </fill>
    <fill>
      <patternFill patternType="solid">
        <fgColor rgb="FFC2D69B"/>
        <bgColor rgb="FFC2D69B"/>
      </patternFill>
    </fill>
    <fill>
      <patternFill patternType="solid">
        <fgColor rgb="FFDBE5F1"/>
        <bgColor rgb="FFDBE5F1"/>
      </patternFill>
    </fill>
    <fill>
      <patternFill patternType="solid">
        <fgColor theme="0"/>
        <bgColor theme="0"/>
      </patternFill>
    </fill>
    <fill>
      <patternFill patternType="solid">
        <fgColor rgb="FFC6D9F0"/>
        <bgColor rgb="FFC6D9F0"/>
      </patternFill>
    </fill>
    <fill>
      <patternFill patternType="solid">
        <fgColor rgb="FFCFE2F3"/>
        <bgColor rgb="FFCFE2F3"/>
      </patternFill>
    </fill>
    <fill>
      <patternFill patternType="solid">
        <fgColor rgb="FFD0E0E3"/>
        <bgColor rgb="FFD0E0E3"/>
      </patternFill>
    </fill>
    <fill>
      <patternFill patternType="solid">
        <fgColor rgb="FFB6D7A8"/>
        <bgColor rgb="FFB6D7A8"/>
      </patternFill>
    </fill>
    <fill>
      <patternFill patternType="solid">
        <fgColor rgb="FFF3F3F3"/>
        <bgColor rgb="FFF3F3F3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</fills>
  <borders count="117">
    <border/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/>
      <right/>
      <top/>
      <bottom/>
    </border>
    <border>
      <left style="thin">
        <color rgb="FF000000"/>
      </left>
      <top/>
      <bottom/>
    </border>
    <border>
      <top/>
      <bottom/>
    </border>
    <border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/>
      <top/>
      <bottom/>
    </border>
    <border>
      <right/>
      <top/>
      <bottom/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</border>
    <border>
      <left/>
      <right style="medium">
        <color rgb="FF000000"/>
      </right>
      <top/>
      <bottom/>
    </border>
    <border>
      <left style="medium">
        <color rgb="FF000000"/>
      </left>
      <right/>
      <top/>
      <bottom/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top style="medium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</border>
    <border>
      <left/>
      <right/>
      <top/>
      <bottom style="medium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left style="thick">
        <color rgb="FF000000"/>
      </left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top style="thick">
        <color rgb="FF000000"/>
      </top>
    </border>
    <border>
      <right style="thick">
        <color rgb="FF000000"/>
      </right>
    </border>
    <border>
      <left/>
      <right style="thick">
        <color rgb="FF000000"/>
      </right>
      <top/>
      <bottom/>
    </border>
    <border>
      <left style="thick">
        <color rgb="FF000000"/>
      </left>
      <right/>
      <top/>
      <bottom/>
    </border>
    <border>
      <left style="thick">
        <color rgb="FF000000"/>
      </left>
      <right/>
      <top/>
      <bottom style="thick">
        <color rgb="FF000000"/>
      </bottom>
    </border>
    <border>
      <left/>
      <right style="thick">
        <color rgb="FF000000"/>
      </right>
      <top/>
      <bottom style="thick">
        <color rgb="FF000000"/>
      </bottom>
    </border>
    <border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top style="thin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/>
      <right/>
      <top style="medium">
        <color rgb="FF000000"/>
      </top>
      <bottom/>
    </border>
    <border>
      <left style="medium">
        <color rgb="FF000000"/>
      </left>
      <top style="medium">
        <color rgb="FF000000"/>
      </top>
      <bottom/>
    </border>
    <border>
      <right style="thin">
        <color rgb="FF000000"/>
      </right>
      <top style="medium">
        <color rgb="FF000000"/>
      </top>
      <bottom/>
    </border>
    <border>
      <right style="thick">
        <color rgb="FF000000"/>
      </right>
      <bottom style="thick">
        <color rgb="FF000000"/>
      </bottom>
    </border>
    <border>
      <left style="medium">
        <color rgb="FF000000"/>
      </left>
      <top/>
      <bottom/>
    </border>
    <border>
      <left style="thick">
        <color rgb="FF000000"/>
      </left>
      <right/>
      <top style="thick">
        <color rgb="FF000000"/>
      </top>
      <bottom style="thick">
        <color rgb="FF000000"/>
      </bottom>
    </border>
    <border>
      <left/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/>
      <bottom style="thick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top/>
      <bottom style="thin">
        <color rgb="FF000000"/>
      </bottom>
    </border>
    <border>
      <right style="medium">
        <color rgb="FF000000"/>
      </right>
      <top/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/>
      <right style="medium">
        <color rgb="FF000000"/>
      </right>
      <top/>
      <bottom style="thin">
        <color rgb="FF000000"/>
      </bottom>
    </border>
    <border>
      <left style="thick">
        <color rgb="FF434343"/>
      </left>
      <top style="thick">
        <color rgb="FF434343"/>
      </top>
    </border>
    <border>
      <right style="thick">
        <color rgb="FF434343"/>
      </right>
      <top style="thick">
        <color rgb="FF434343"/>
      </top>
    </border>
    <border>
      <left style="thick">
        <color rgb="FF434343"/>
      </left>
    </border>
    <border>
      <right style="thick">
        <color rgb="FF434343"/>
      </right>
    </border>
    <border>
      <left/>
      <right style="thick">
        <color rgb="FF434343"/>
      </right>
      <top/>
      <bottom/>
    </border>
    <border>
      <left style="thick">
        <color rgb="FF434343"/>
      </left>
      <right/>
      <top/>
      <bottom/>
    </border>
    <border>
      <left style="thick">
        <color rgb="FF434343"/>
      </left>
      <bottom style="thick">
        <color rgb="FF434343"/>
      </bottom>
    </border>
    <border>
      <right style="thick">
        <color rgb="FF434343"/>
      </right>
      <bottom style="thick">
        <color rgb="FF434343"/>
      </bottom>
    </border>
    <border>
      <left/>
      <right style="medium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  <right style="medium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/>
      <top style="thick">
        <color rgb="FF000000"/>
      </top>
      <bottom/>
    </border>
    <border>
      <left/>
      <right style="thick">
        <color rgb="FF000000"/>
      </right>
      <top style="thick">
        <color rgb="FF000000"/>
      </top>
      <bottom style="medium">
        <color rgb="FF000000"/>
      </bottom>
    </border>
    <border>
      <left style="thick">
        <color rgb="FF000000"/>
      </left>
      <top style="medium">
        <color rgb="FF000000"/>
      </top>
    </border>
    <border>
      <right style="thick">
        <color rgb="FF000000"/>
      </right>
      <top style="medium">
        <color rgb="FF000000"/>
      </top>
    </border>
    <border>
      <left/>
      <right style="thick">
        <color rgb="FF000000"/>
      </right>
      <top style="thick">
        <color rgb="FF000000"/>
      </top>
      <bottom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top style="thick">
        <color rgb="FF000000"/>
      </top>
    </border>
    <border>
      <bottom style="thick">
        <color rgb="FF000000"/>
      </bottom>
    </border>
  </borders>
  <cellStyleXfs count="1">
    <xf borderId="0" fillId="0" fontId="0" numFmtId="0" applyAlignment="1" applyFont="1"/>
  </cellStyleXfs>
  <cellXfs count="6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2" fontId="3" numFmtId="0" xfId="0" applyBorder="1" applyFont="1"/>
    <xf borderId="5" fillId="2" fontId="1" numFmtId="0" xfId="0" applyAlignment="1" applyBorder="1" applyFont="1">
      <alignment horizontal="center"/>
    </xf>
    <xf borderId="6" fillId="0" fontId="2" numFmtId="0" xfId="0" applyBorder="1" applyFont="1"/>
    <xf borderId="7" fillId="0" fontId="2" numFmtId="0" xfId="0" applyBorder="1" applyFont="1"/>
    <xf borderId="8" fillId="2" fontId="1" numFmtId="0" xfId="0" applyAlignment="1" applyBorder="1" applyFont="1">
      <alignment horizontal="center"/>
    </xf>
    <xf borderId="4" fillId="2" fontId="4" numFmtId="0" xfId="0" applyBorder="1" applyFont="1"/>
    <xf borderId="4" fillId="2" fontId="1" numFmtId="0" xfId="0" applyBorder="1" applyFont="1"/>
    <xf borderId="4" fillId="2" fontId="1" numFmtId="164" xfId="0" applyAlignment="1" applyBorder="1" applyFont="1" applyNumberFormat="1">
      <alignment horizontal="center"/>
    </xf>
    <xf borderId="9" fillId="2" fontId="1" numFmtId="49" xfId="0" applyAlignment="1" applyBorder="1" applyFont="1" applyNumberFormat="1">
      <alignment horizontal="center"/>
    </xf>
    <xf borderId="8" fillId="2" fontId="1" numFmtId="0" xfId="0" applyAlignment="1" applyBorder="1" applyFont="1">
      <alignment horizontal="right"/>
    </xf>
    <xf borderId="4" fillId="2" fontId="1" numFmtId="164" xfId="0" applyAlignment="1" applyBorder="1" applyFont="1" applyNumberFormat="1">
      <alignment horizontal="right"/>
    </xf>
    <xf borderId="9" fillId="2" fontId="1" numFmtId="49" xfId="0" applyAlignment="1" applyBorder="1" applyFont="1" applyNumberFormat="1">
      <alignment horizontal="right"/>
    </xf>
    <xf borderId="8" fillId="2" fontId="1" numFmtId="0" xfId="0" applyBorder="1" applyFont="1"/>
    <xf borderId="4" fillId="2" fontId="5" numFmtId="0" xfId="0" applyBorder="1" applyFont="1"/>
    <xf borderId="10" fillId="2" fontId="6" numFmtId="164" xfId="0" applyAlignment="1" applyBorder="1" applyFont="1" applyNumberFormat="1">
      <alignment horizontal="center"/>
    </xf>
    <xf borderId="11" fillId="0" fontId="2" numFmtId="0" xfId="0" applyBorder="1" applyFont="1"/>
    <xf borderId="12" fillId="0" fontId="1" numFmtId="0" xfId="0" applyBorder="1" applyFont="1"/>
    <xf borderId="13" fillId="0" fontId="4" numFmtId="0" xfId="0" applyBorder="1" applyFont="1"/>
    <xf borderId="13" fillId="0" fontId="5" numFmtId="0" xfId="0" applyBorder="1" applyFont="1"/>
    <xf borderId="13" fillId="0" fontId="5" numFmtId="164" xfId="0" applyBorder="1" applyFont="1" applyNumberFormat="1"/>
    <xf borderId="14" fillId="0" fontId="1" numFmtId="49" xfId="0" applyBorder="1" applyFont="1" applyNumberFormat="1"/>
    <xf borderId="15" fillId="0" fontId="7" numFmtId="0" xfId="0" applyAlignment="1" applyBorder="1" applyFont="1">
      <alignment horizontal="center"/>
    </xf>
    <xf borderId="16" fillId="0" fontId="2" numFmtId="0" xfId="0" applyBorder="1" applyFont="1"/>
    <xf borderId="17" fillId="0" fontId="2" numFmtId="0" xfId="0" applyBorder="1" applyFont="1"/>
    <xf borderId="18" fillId="0" fontId="7" numFmtId="0" xfId="0" applyAlignment="1" applyBorder="1" applyFont="1">
      <alignment horizontal="center"/>
    </xf>
    <xf borderId="0" fillId="0" fontId="7" numFmtId="0" xfId="0" applyAlignment="1" applyFont="1">
      <alignment horizontal="center"/>
    </xf>
    <xf borderId="0" fillId="0" fontId="7" numFmtId="164" xfId="0" applyAlignment="1" applyFont="1" applyNumberFormat="1">
      <alignment horizontal="center"/>
    </xf>
    <xf borderId="19" fillId="0" fontId="7" numFmtId="49" xfId="0" applyAlignment="1" applyBorder="1" applyFont="1" applyNumberFormat="1">
      <alignment horizontal="center"/>
    </xf>
    <xf borderId="0" fillId="0" fontId="3" numFmtId="0" xfId="0" applyFont="1"/>
    <xf borderId="15" fillId="3" fontId="8" numFmtId="0" xfId="0" applyAlignment="1" applyBorder="1" applyFill="1" applyFont="1">
      <alignment horizontal="left"/>
    </xf>
    <xf borderId="20" fillId="3" fontId="9" numFmtId="164" xfId="0" applyAlignment="1" applyBorder="1" applyFont="1" applyNumberFormat="1">
      <alignment horizontal="center"/>
    </xf>
    <xf borderId="20" fillId="4" fontId="9" numFmtId="49" xfId="0" applyAlignment="1" applyBorder="1" applyFill="1" applyFont="1" applyNumberFormat="1">
      <alignment horizontal="left"/>
    </xf>
    <xf borderId="21" fillId="0" fontId="1" numFmtId="0" xfId="0" applyAlignment="1" applyBorder="1" applyFont="1">
      <alignment horizontal="left"/>
    </xf>
    <xf borderId="22" fillId="0" fontId="2" numFmtId="0" xfId="0" applyBorder="1" applyFont="1"/>
    <xf borderId="19" fillId="0" fontId="10" numFmtId="0" xfId="0" applyAlignment="1" applyBorder="1" applyFont="1">
      <alignment horizontal="center"/>
    </xf>
    <xf borderId="19" fillId="0" fontId="10" numFmtId="164" xfId="0" applyAlignment="1" applyBorder="1" applyFont="1" applyNumberFormat="1">
      <alignment horizontal="center"/>
    </xf>
    <xf borderId="19" fillId="0" fontId="9" numFmtId="164" xfId="0" applyAlignment="1" applyBorder="1" applyFont="1" applyNumberFormat="1">
      <alignment horizontal="center"/>
    </xf>
    <xf borderId="23" fillId="0" fontId="1" numFmtId="49" xfId="0" applyAlignment="1" applyBorder="1" applyFont="1" applyNumberFormat="1">
      <alignment horizontal="left"/>
    </xf>
    <xf borderId="18" fillId="0" fontId="4" numFmtId="0" xfId="0" applyBorder="1" applyFont="1"/>
    <xf borderId="9" fillId="5" fontId="4" numFmtId="0" xfId="0" applyBorder="1" applyFill="1" applyFont="1"/>
    <xf borderId="19" fillId="0" fontId="11" numFmtId="0" xfId="0" applyAlignment="1" applyBorder="1" applyFont="1">
      <alignment horizontal="center"/>
    </xf>
    <xf borderId="19" fillId="0" fontId="11" numFmtId="164" xfId="0" applyAlignment="1" applyBorder="1" applyFont="1" applyNumberFormat="1">
      <alignment horizontal="center"/>
    </xf>
    <xf borderId="19" fillId="0" fontId="12" numFmtId="164" xfId="0" applyAlignment="1" applyBorder="1" applyFont="1" applyNumberFormat="1">
      <alignment horizontal="center"/>
    </xf>
    <xf borderId="24" fillId="0" fontId="1" numFmtId="49" xfId="0" applyAlignment="1" applyBorder="1" applyFont="1" applyNumberFormat="1">
      <alignment horizontal="left"/>
    </xf>
    <xf borderId="8" fillId="2" fontId="4" numFmtId="0" xfId="0" applyBorder="1" applyFont="1"/>
    <xf borderId="19" fillId="0" fontId="4" numFmtId="0" xfId="0" applyBorder="1" applyFont="1"/>
    <xf borderId="19" fillId="0" fontId="11" numFmtId="3" xfId="0" applyAlignment="1" applyBorder="1" applyFont="1" applyNumberFormat="1">
      <alignment horizontal="center"/>
    </xf>
    <xf borderId="24" fillId="0" fontId="1" numFmtId="49" xfId="0" applyBorder="1" applyFont="1" applyNumberFormat="1"/>
    <xf borderId="4" fillId="2" fontId="13" numFmtId="4" xfId="0" applyBorder="1" applyFont="1" applyNumberFormat="1"/>
    <xf borderId="25" fillId="2" fontId="4" numFmtId="0" xfId="0" applyBorder="1" applyFont="1"/>
    <xf borderId="26" fillId="2" fontId="4" numFmtId="0" xfId="0" applyBorder="1" applyFont="1"/>
    <xf borderId="26" fillId="2" fontId="14" numFmtId="3" xfId="0" applyAlignment="1" applyBorder="1" applyFont="1" applyNumberFormat="1">
      <alignment horizontal="center"/>
    </xf>
    <xf borderId="14" fillId="0" fontId="14" numFmtId="164" xfId="0" applyAlignment="1" applyBorder="1" applyFont="1" applyNumberFormat="1">
      <alignment horizontal="center"/>
    </xf>
    <xf borderId="14" fillId="0" fontId="15" numFmtId="164" xfId="0" applyAlignment="1" applyBorder="1" applyFont="1" applyNumberFormat="1">
      <alignment horizontal="center"/>
    </xf>
    <xf borderId="27" fillId="0" fontId="1" numFmtId="49" xfId="0" applyBorder="1" applyFont="1" applyNumberFormat="1"/>
    <xf borderId="26" fillId="3" fontId="9" numFmtId="3" xfId="0" applyAlignment="1" applyBorder="1" applyFont="1" applyNumberFormat="1">
      <alignment horizontal="center"/>
    </xf>
    <xf borderId="26" fillId="3" fontId="9" numFmtId="164" xfId="0" applyAlignment="1" applyBorder="1" applyFont="1" applyNumberFormat="1">
      <alignment horizontal="center"/>
    </xf>
    <xf borderId="26" fillId="4" fontId="9" numFmtId="49" xfId="0" applyAlignment="1" applyBorder="1" applyFont="1" applyNumberFormat="1">
      <alignment horizontal="left"/>
    </xf>
    <xf borderId="19" fillId="0" fontId="10" numFmtId="3" xfId="0" applyAlignment="1" applyBorder="1" applyFont="1" applyNumberFormat="1">
      <alignment horizontal="center"/>
    </xf>
    <xf borderId="19" fillId="0" fontId="1" numFmtId="49" xfId="0" applyAlignment="1" applyBorder="1" applyFont="1" applyNumberFormat="1">
      <alignment horizontal="left"/>
    </xf>
    <xf borderId="19" fillId="0" fontId="1" numFmtId="49" xfId="0" applyBorder="1" applyFont="1" applyNumberFormat="1"/>
    <xf borderId="19" fillId="0" fontId="9" numFmtId="3" xfId="0" applyAlignment="1" applyBorder="1" applyFont="1" applyNumberFormat="1">
      <alignment horizontal="center"/>
    </xf>
    <xf borderId="19" fillId="0" fontId="12" numFmtId="3" xfId="0" applyAlignment="1" applyBorder="1" applyFont="1" applyNumberFormat="1">
      <alignment horizontal="center"/>
    </xf>
    <xf borderId="26" fillId="2" fontId="15" numFmtId="3" xfId="0" applyAlignment="1" applyBorder="1" applyFont="1" applyNumberFormat="1">
      <alignment horizontal="center"/>
    </xf>
    <xf borderId="19" fillId="0" fontId="9" numFmtId="0" xfId="0" applyAlignment="1" applyBorder="1" applyFont="1">
      <alignment horizontal="center"/>
    </xf>
    <xf borderId="25" fillId="3" fontId="8" numFmtId="0" xfId="0" applyAlignment="1" applyBorder="1" applyFont="1">
      <alignment horizontal="left"/>
    </xf>
    <xf borderId="26" fillId="3" fontId="16" numFmtId="0" xfId="0" applyBorder="1" applyFont="1"/>
    <xf borderId="19" fillId="0" fontId="4" numFmtId="3" xfId="0" applyAlignment="1" applyBorder="1" applyFont="1" applyNumberFormat="1">
      <alignment horizontal="center"/>
    </xf>
    <xf borderId="19" fillId="0" fontId="4" numFmtId="164" xfId="0" applyAlignment="1" applyBorder="1" applyFont="1" applyNumberFormat="1">
      <alignment horizontal="center"/>
    </xf>
    <xf borderId="28" fillId="2" fontId="4" numFmtId="0" xfId="0" applyBorder="1" applyFont="1"/>
    <xf borderId="29" fillId="2" fontId="12" numFmtId="3" xfId="0" applyAlignment="1" applyBorder="1" applyFont="1" applyNumberFormat="1">
      <alignment horizontal="center"/>
    </xf>
    <xf borderId="14" fillId="0" fontId="12" numFmtId="164" xfId="0" applyAlignment="1" applyBorder="1" applyFont="1" applyNumberFormat="1">
      <alignment horizontal="center"/>
    </xf>
    <xf borderId="9" fillId="3" fontId="16" numFmtId="0" xfId="0" applyBorder="1" applyFont="1"/>
    <xf borderId="19" fillId="0" fontId="17" numFmtId="3" xfId="0" applyAlignment="1" applyBorder="1" applyFont="1" applyNumberFormat="1">
      <alignment horizontal="center"/>
    </xf>
    <xf borderId="19" fillId="0" fontId="17" numFmtId="164" xfId="0" applyAlignment="1" applyBorder="1" applyFont="1" applyNumberFormat="1">
      <alignment horizontal="center"/>
    </xf>
    <xf borderId="27" fillId="0" fontId="11" numFmtId="0" xfId="0" applyAlignment="1" applyBorder="1" applyFont="1">
      <alignment horizontal="center"/>
    </xf>
    <xf borderId="14" fillId="0" fontId="11" numFmtId="164" xfId="0" applyAlignment="1" applyBorder="1" applyFont="1" applyNumberFormat="1">
      <alignment horizontal="center"/>
    </xf>
    <xf borderId="27" fillId="0" fontId="11" numFmtId="3" xfId="0" applyAlignment="1" applyBorder="1" applyFont="1" applyNumberFormat="1">
      <alignment horizontal="center"/>
    </xf>
    <xf borderId="19" fillId="0" fontId="4" numFmtId="0" xfId="0" applyAlignment="1" applyBorder="1" applyFont="1">
      <alignment horizontal="center"/>
    </xf>
    <xf borderId="27" fillId="0" fontId="12" numFmtId="3" xfId="0" applyAlignment="1" applyBorder="1" applyFont="1" applyNumberFormat="1">
      <alignment horizontal="center"/>
    </xf>
    <xf borderId="27" fillId="0" fontId="11" numFmtId="164" xfId="0" applyAlignment="1" applyBorder="1" applyFont="1" applyNumberFormat="1">
      <alignment horizontal="center"/>
    </xf>
    <xf borderId="26" fillId="3" fontId="9" numFmtId="0" xfId="0" applyAlignment="1" applyBorder="1" applyFont="1">
      <alignment horizontal="center"/>
    </xf>
    <xf borderId="19" fillId="0" fontId="17" numFmtId="0" xfId="0" applyAlignment="1" applyBorder="1" applyFont="1">
      <alignment horizontal="center"/>
    </xf>
    <xf borderId="0" fillId="0" fontId="1" numFmtId="49" xfId="0" applyAlignment="1" applyFont="1" applyNumberFormat="1">
      <alignment horizontal="left"/>
    </xf>
    <xf borderId="29" fillId="2" fontId="14" numFmtId="3" xfId="0" applyAlignment="1" applyBorder="1" applyFont="1" applyNumberFormat="1">
      <alignment horizontal="center"/>
    </xf>
    <xf borderId="8" fillId="6" fontId="18" numFmtId="0" xfId="0" applyBorder="1" applyFill="1" applyFont="1"/>
    <xf borderId="9" fillId="6" fontId="18" numFmtId="3" xfId="0" applyBorder="1" applyFont="1" applyNumberFormat="1"/>
    <xf borderId="9" fillId="6" fontId="14" numFmtId="3" xfId="0" applyAlignment="1" applyBorder="1" applyFont="1" applyNumberFormat="1">
      <alignment horizontal="center"/>
    </xf>
    <xf borderId="9" fillId="6" fontId="14" numFmtId="164" xfId="0" applyAlignment="1" applyBorder="1" applyFont="1" applyNumberFormat="1">
      <alignment horizontal="center"/>
    </xf>
    <xf borderId="9" fillId="6" fontId="15" numFmtId="164" xfId="0" applyAlignment="1" applyBorder="1" applyFont="1" applyNumberFormat="1">
      <alignment horizontal="center"/>
    </xf>
    <xf borderId="9" fillId="6" fontId="19" numFmtId="49" xfId="0" applyAlignment="1" applyBorder="1" applyFont="1" applyNumberFormat="1">
      <alignment horizontal="left"/>
    </xf>
    <xf borderId="25" fillId="6" fontId="3" numFmtId="0" xfId="0" applyAlignment="1" applyBorder="1" applyFont="1">
      <alignment horizontal="left"/>
    </xf>
    <xf borderId="26" fillId="6" fontId="12" numFmtId="0" xfId="0" applyBorder="1" applyFont="1"/>
    <xf borderId="26" fillId="6" fontId="14" numFmtId="3" xfId="0" applyAlignment="1" applyBorder="1" applyFont="1" applyNumberFormat="1">
      <alignment horizontal="center"/>
    </xf>
    <xf borderId="26" fillId="6" fontId="14" numFmtId="164" xfId="0" applyAlignment="1" applyBorder="1" applyFont="1" applyNumberFormat="1">
      <alignment horizontal="center"/>
    </xf>
    <xf borderId="26" fillId="6" fontId="15" numFmtId="164" xfId="0" applyAlignment="1" applyBorder="1" applyFont="1" applyNumberFormat="1">
      <alignment horizontal="center"/>
    </xf>
    <xf borderId="26" fillId="6" fontId="1" numFmtId="49" xfId="0" applyAlignment="1" applyBorder="1" applyFont="1" applyNumberFormat="1">
      <alignment horizontal="center"/>
    </xf>
    <xf borderId="4" fillId="2" fontId="12" numFmtId="0" xfId="0" applyBorder="1" applyFont="1"/>
    <xf borderId="4" fillId="2" fontId="3" numFmtId="164" xfId="0" applyBorder="1" applyFont="1" applyNumberFormat="1"/>
    <xf borderId="4" fillId="2" fontId="20" numFmtId="164" xfId="0" applyBorder="1" applyFont="1" applyNumberFormat="1"/>
    <xf borderId="4" fillId="2" fontId="3" numFmtId="49" xfId="0" applyBorder="1" applyFont="1" applyNumberFormat="1"/>
    <xf borderId="18" fillId="0" fontId="7" numFmtId="0" xfId="0" applyAlignment="1" applyBorder="1" applyFont="1">
      <alignment horizontal="left"/>
    </xf>
    <xf borderId="0" fillId="0" fontId="4" numFmtId="0" xfId="0" applyFont="1"/>
    <xf borderId="0" fillId="0" fontId="7" numFmtId="0" xfId="0" applyAlignment="1" applyFont="1">
      <alignment horizontal="left"/>
    </xf>
    <xf borderId="0" fillId="0" fontId="7" numFmtId="164" xfId="0" applyAlignment="1" applyFont="1" applyNumberFormat="1">
      <alignment horizontal="left"/>
    </xf>
    <xf borderId="19" fillId="0" fontId="7" numFmtId="49" xfId="0" applyAlignment="1" applyBorder="1" applyFont="1" applyNumberFormat="1">
      <alignment horizontal="left"/>
    </xf>
    <xf borderId="30" fillId="7" fontId="8" numFmtId="0" xfId="0" applyAlignment="1" applyBorder="1" applyFill="1" applyFont="1">
      <alignment horizontal="left"/>
    </xf>
    <xf borderId="31" fillId="7" fontId="16" numFmtId="0" xfId="0" applyAlignment="1" applyBorder="1" applyFont="1">
      <alignment textRotation="45"/>
    </xf>
    <xf borderId="32" fillId="7" fontId="21" numFmtId="164" xfId="0" applyAlignment="1" applyBorder="1" applyFont="1" applyNumberFormat="1">
      <alignment horizontal="center"/>
    </xf>
    <xf borderId="31" fillId="7" fontId="21" numFmtId="164" xfId="0" applyAlignment="1" applyBorder="1" applyFont="1" applyNumberFormat="1">
      <alignment horizontal="center"/>
    </xf>
    <xf borderId="31" fillId="7" fontId="22" numFmtId="164" xfId="0" applyAlignment="1" applyBorder="1" applyFont="1" applyNumberFormat="1">
      <alignment horizontal="center"/>
    </xf>
    <xf borderId="32" fillId="4" fontId="9" numFmtId="49" xfId="0" applyAlignment="1" applyBorder="1" applyFont="1" applyNumberFormat="1">
      <alignment horizontal="left" shrinkToFit="0" wrapText="1"/>
    </xf>
    <xf borderId="33" fillId="0" fontId="1" numFmtId="0" xfId="0" applyAlignment="1" applyBorder="1" applyFont="1">
      <alignment horizontal="left"/>
    </xf>
    <xf borderId="34" fillId="0" fontId="4" numFmtId="0" xfId="0" applyBorder="1" applyFont="1"/>
    <xf borderId="35" fillId="0" fontId="9" numFmtId="0" xfId="0" applyAlignment="1" applyBorder="1" applyFont="1">
      <alignment horizontal="center"/>
    </xf>
    <xf borderId="34" fillId="0" fontId="9" numFmtId="164" xfId="0" applyAlignment="1" applyBorder="1" applyFont="1" applyNumberFormat="1">
      <alignment horizontal="center"/>
    </xf>
    <xf borderId="34" fillId="0" fontId="10" numFmtId="164" xfId="0" applyAlignment="1" applyBorder="1" applyFont="1" applyNumberFormat="1">
      <alignment horizontal="center"/>
    </xf>
    <xf borderId="35" fillId="0" fontId="1" numFmtId="49" xfId="0" applyAlignment="1" applyBorder="1" applyFont="1" applyNumberFormat="1">
      <alignment horizontal="left" shrinkToFit="0" wrapText="1"/>
    </xf>
    <xf borderId="36" fillId="0" fontId="1" numFmtId="0" xfId="0" applyAlignment="1" applyBorder="1" applyFont="1">
      <alignment horizontal="left"/>
    </xf>
    <xf borderId="37" fillId="0" fontId="4" numFmtId="0" xfId="0" applyBorder="1" applyFont="1"/>
    <xf borderId="38" fillId="0" fontId="9" numFmtId="0" xfId="0" applyAlignment="1" applyBorder="1" applyFont="1">
      <alignment horizontal="center"/>
    </xf>
    <xf borderId="37" fillId="0" fontId="9" numFmtId="164" xfId="0" applyAlignment="1" applyBorder="1" applyFont="1" applyNumberFormat="1">
      <alignment horizontal="center"/>
    </xf>
    <xf borderId="37" fillId="0" fontId="10" numFmtId="164" xfId="0" applyAlignment="1" applyBorder="1" applyFont="1" applyNumberFormat="1">
      <alignment horizontal="center"/>
    </xf>
    <xf borderId="38" fillId="0" fontId="1" numFmtId="49" xfId="0" applyAlignment="1" applyBorder="1" applyFont="1" applyNumberFormat="1">
      <alignment horizontal="left" shrinkToFit="0" wrapText="1"/>
    </xf>
    <xf borderId="36" fillId="0" fontId="4" numFmtId="0" xfId="0" applyBorder="1" applyFont="1"/>
    <xf borderId="39" fillId="8" fontId="4" numFmtId="0" xfId="0" applyBorder="1" applyFill="1" applyFont="1"/>
    <xf borderId="38" fillId="0" fontId="12" numFmtId="3" xfId="0" applyAlignment="1" applyBorder="1" applyFont="1" applyNumberFormat="1">
      <alignment horizontal="center"/>
    </xf>
    <xf borderId="37" fillId="0" fontId="12" numFmtId="164" xfId="0" applyAlignment="1" applyBorder="1" applyFont="1" applyNumberFormat="1">
      <alignment horizontal="center"/>
    </xf>
    <xf borderId="37" fillId="0" fontId="11" numFmtId="164" xfId="0" applyAlignment="1" applyBorder="1" applyFont="1" applyNumberFormat="1">
      <alignment horizontal="center"/>
    </xf>
    <xf borderId="38" fillId="0" fontId="1" numFmtId="49" xfId="0" applyBorder="1" applyFont="1" applyNumberFormat="1"/>
    <xf borderId="39" fillId="9" fontId="4" numFmtId="0" xfId="0" applyBorder="1" applyFill="1" applyFont="1"/>
    <xf borderId="4" fillId="9" fontId="4" numFmtId="0" xfId="0" applyBorder="1" applyFont="1"/>
    <xf borderId="4" fillId="9" fontId="17" numFmtId="0" xfId="0" applyBorder="1" applyFont="1"/>
    <xf borderId="40" fillId="9" fontId="4" numFmtId="0" xfId="0" applyBorder="1" applyFont="1"/>
    <xf borderId="41" fillId="9" fontId="15" numFmtId="3" xfId="0" applyAlignment="1" applyBorder="1" applyFont="1" applyNumberFormat="1">
      <alignment horizontal="center"/>
    </xf>
    <xf borderId="37" fillId="0" fontId="15" numFmtId="164" xfId="0" applyAlignment="1" applyBorder="1" applyFont="1" applyNumberFormat="1">
      <alignment horizontal="center"/>
    </xf>
    <xf borderId="37" fillId="0" fontId="14" numFmtId="164" xfId="0" applyAlignment="1" applyBorder="1" applyFont="1" applyNumberFormat="1">
      <alignment horizontal="center"/>
    </xf>
    <xf borderId="38" fillId="0" fontId="23" numFmtId="49" xfId="0" applyAlignment="1" applyBorder="1" applyFont="1" applyNumberFormat="1">
      <alignment horizontal="left" shrinkToFit="0" wrapText="1"/>
    </xf>
    <xf borderId="42" fillId="9" fontId="4" numFmtId="0" xfId="0" applyBorder="1" applyFont="1"/>
    <xf borderId="43" fillId="9" fontId="4" numFmtId="0" xfId="0" applyBorder="1" applyFont="1"/>
    <xf borderId="44" fillId="9" fontId="15" numFmtId="3" xfId="0" applyAlignment="1" applyBorder="1" applyFont="1" applyNumberFormat="1">
      <alignment horizontal="center"/>
    </xf>
    <xf borderId="45" fillId="0" fontId="15" numFmtId="164" xfId="0" applyAlignment="1" applyBorder="1" applyFont="1" applyNumberFormat="1">
      <alignment horizontal="center"/>
    </xf>
    <xf borderId="45" fillId="0" fontId="14" numFmtId="164" xfId="0" applyAlignment="1" applyBorder="1" applyFont="1" applyNumberFormat="1">
      <alignment horizontal="center"/>
    </xf>
    <xf borderId="46" fillId="0" fontId="23" numFmtId="49" xfId="0" applyAlignment="1" applyBorder="1" applyFont="1" applyNumberFormat="1">
      <alignment horizontal="left" shrinkToFit="0" wrapText="1"/>
    </xf>
    <xf borderId="47" fillId="7" fontId="8" numFmtId="0" xfId="0" applyAlignment="1" applyBorder="1" applyFont="1">
      <alignment horizontal="left"/>
    </xf>
    <xf borderId="39" fillId="7" fontId="16" numFmtId="0" xfId="0" applyAlignment="1" applyBorder="1" applyFont="1">
      <alignment textRotation="45"/>
    </xf>
    <xf borderId="44" fillId="4" fontId="9" numFmtId="49" xfId="0" applyAlignment="1" applyBorder="1" applyFont="1" applyNumberFormat="1">
      <alignment horizontal="left" shrinkToFit="0" wrapText="1"/>
    </xf>
    <xf borderId="22" fillId="0" fontId="4" numFmtId="0" xfId="0" applyBorder="1" applyFont="1"/>
    <xf borderId="34" fillId="0" fontId="9" numFmtId="0" xfId="0" applyAlignment="1" applyBorder="1" applyFont="1">
      <alignment horizontal="center"/>
    </xf>
    <xf borderId="18" fillId="0" fontId="1" numFmtId="0" xfId="0" applyAlignment="1" applyBorder="1" applyFont="1">
      <alignment horizontal="left"/>
    </xf>
    <xf borderId="37" fillId="0" fontId="9" numFmtId="3" xfId="0" applyAlignment="1" applyBorder="1" applyFont="1" applyNumberFormat="1">
      <alignment horizontal="center"/>
    </xf>
    <xf borderId="9" fillId="8" fontId="4" numFmtId="0" xfId="0" applyBorder="1" applyFont="1"/>
    <xf borderId="37" fillId="0" fontId="12" numFmtId="3" xfId="0" applyAlignment="1" applyBorder="1" applyFont="1" applyNumberFormat="1">
      <alignment horizontal="center"/>
    </xf>
    <xf borderId="9" fillId="9" fontId="4" numFmtId="0" xfId="0" applyBorder="1" applyFont="1"/>
    <xf borderId="9" fillId="9" fontId="17" numFmtId="0" xfId="0" applyBorder="1" applyFont="1"/>
    <xf borderId="9" fillId="2" fontId="17" numFmtId="0" xfId="0" applyAlignment="1" applyBorder="1" applyFont="1">
      <alignment horizontal="left"/>
    </xf>
    <xf borderId="8" fillId="9" fontId="4" numFmtId="0" xfId="0" applyBorder="1" applyFont="1"/>
    <xf borderId="19" fillId="0" fontId="17" numFmtId="0" xfId="0" applyBorder="1" applyFont="1"/>
    <xf borderId="8" fillId="9" fontId="17" numFmtId="0" xfId="0" applyBorder="1" applyFont="1"/>
    <xf borderId="37" fillId="0" fontId="15" numFmtId="3" xfId="0" applyAlignment="1" applyBorder="1" applyFont="1" applyNumberFormat="1">
      <alignment horizontal="center"/>
    </xf>
    <xf borderId="12" fillId="0" fontId="4" numFmtId="0" xfId="0" applyBorder="1" applyFont="1"/>
    <xf borderId="14" fillId="0" fontId="4" numFmtId="0" xfId="0" applyBorder="1" applyFont="1"/>
    <xf borderId="45" fillId="0" fontId="15" numFmtId="3" xfId="0" applyAlignment="1" applyBorder="1" applyFont="1" applyNumberFormat="1">
      <alignment horizontal="center"/>
    </xf>
    <xf borderId="42" fillId="7" fontId="8" numFmtId="0" xfId="0" applyAlignment="1" applyBorder="1" applyFont="1">
      <alignment horizontal="left"/>
    </xf>
    <xf borderId="43" fillId="7" fontId="16" numFmtId="0" xfId="0" applyAlignment="1" applyBorder="1" applyFont="1">
      <alignment textRotation="45"/>
    </xf>
    <xf borderId="40" fillId="2" fontId="4" numFmtId="0" xfId="0" applyBorder="1" applyFont="1"/>
    <xf borderId="39" fillId="2" fontId="4" numFmtId="0" xfId="0" applyBorder="1" applyFont="1"/>
    <xf borderId="40" fillId="9" fontId="17" numFmtId="0" xfId="0" applyBorder="1" applyFont="1"/>
    <xf borderId="43" fillId="9" fontId="15" numFmtId="3" xfId="0" applyAlignment="1" applyBorder="1" applyFont="1" applyNumberFormat="1">
      <alignment horizontal="center"/>
    </xf>
    <xf borderId="18" fillId="0" fontId="17" numFmtId="0" xfId="0" applyBorder="1" applyFont="1"/>
    <xf borderId="9" fillId="8" fontId="17" numFmtId="0" xfId="0" applyBorder="1" applyFont="1"/>
    <xf borderId="9" fillId="2" fontId="4" numFmtId="0" xfId="0" applyBorder="1" applyFont="1"/>
    <xf borderId="9" fillId="9" fontId="16" numFmtId="0" xfId="0" applyBorder="1" applyFont="1"/>
    <xf borderId="25" fillId="9" fontId="4" numFmtId="0" xfId="0" applyBorder="1" applyFont="1"/>
    <xf borderId="26" fillId="9" fontId="4" numFmtId="0" xfId="0" applyBorder="1" applyFont="1"/>
    <xf borderId="40" fillId="7" fontId="8" numFmtId="0" xfId="0" applyAlignment="1" applyBorder="1" applyFont="1">
      <alignment horizontal="left"/>
    </xf>
    <xf borderId="48" fillId="4" fontId="9" numFmtId="49" xfId="0" applyAlignment="1" applyBorder="1" applyFont="1" applyNumberFormat="1">
      <alignment horizontal="left" shrinkToFit="0" wrapText="1"/>
    </xf>
    <xf borderId="34" fillId="0" fontId="4" numFmtId="0" xfId="0" applyAlignment="1" applyBorder="1" applyFont="1">
      <alignment horizontal="center"/>
    </xf>
    <xf borderId="34" fillId="0" fontId="4" numFmtId="164" xfId="0" applyAlignment="1" applyBorder="1" applyFont="1" applyNumberFormat="1">
      <alignment horizontal="center"/>
    </xf>
    <xf borderId="34" fillId="0" fontId="17" numFmtId="164" xfId="0" applyAlignment="1" applyBorder="1" applyFont="1" applyNumberFormat="1">
      <alignment horizontal="center"/>
    </xf>
    <xf borderId="37" fillId="0" fontId="4" numFmtId="3" xfId="0" applyAlignment="1" applyBorder="1" applyFont="1" applyNumberFormat="1">
      <alignment horizontal="center"/>
    </xf>
    <xf borderId="37" fillId="0" fontId="4" numFmtId="164" xfId="0" applyAlignment="1" applyBorder="1" applyFont="1" applyNumberFormat="1">
      <alignment horizontal="center"/>
    </xf>
    <xf borderId="37" fillId="0" fontId="17" numFmtId="164" xfId="0" applyAlignment="1" applyBorder="1" applyFont="1" applyNumberFormat="1">
      <alignment horizontal="center"/>
    </xf>
    <xf borderId="21" fillId="0" fontId="24" numFmtId="0" xfId="0" applyAlignment="1" applyBorder="1" applyFont="1">
      <alignment horizontal="left"/>
    </xf>
    <xf borderId="22" fillId="0" fontId="17" numFmtId="0" xfId="0" applyBorder="1" applyFont="1"/>
    <xf borderId="34" fillId="0" fontId="17" numFmtId="0" xfId="0" applyAlignment="1" applyBorder="1" applyFont="1">
      <alignment horizontal="center"/>
    </xf>
    <xf borderId="18" fillId="0" fontId="24" numFmtId="0" xfId="0" applyAlignment="1" applyBorder="1" applyFont="1">
      <alignment horizontal="left"/>
    </xf>
    <xf borderId="37" fillId="0" fontId="17" numFmtId="3" xfId="0" applyAlignment="1" applyBorder="1" applyFont="1" applyNumberFormat="1">
      <alignment horizontal="center"/>
    </xf>
    <xf borderId="37" fillId="0" fontId="11" numFmtId="3" xfId="0" applyAlignment="1" applyBorder="1" applyFont="1" applyNumberFormat="1">
      <alignment horizontal="center"/>
    </xf>
    <xf borderId="39" fillId="9" fontId="15" numFmtId="3" xfId="0" applyAlignment="1" applyBorder="1" applyFont="1" applyNumberFormat="1">
      <alignment horizontal="center"/>
    </xf>
    <xf borderId="33" fillId="0" fontId="24" numFmtId="0" xfId="0" applyAlignment="1" applyBorder="1" applyFont="1">
      <alignment horizontal="left"/>
    </xf>
    <xf borderId="34" fillId="0" fontId="17" numFmtId="0" xfId="0" applyBorder="1" applyFont="1"/>
    <xf borderId="35" fillId="0" fontId="4" numFmtId="0" xfId="0" applyAlignment="1" applyBorder="1" applyFont="1">
      <alignment horizontal="center"/>
    </xf>
    <xf borderId="36" fillId="0" fontId="24" numFmtId="0" xfId="0" applyAlignment="1" applyBorder="1" applyFont="1">
      <alignment horizontal="left"/>
    </xf>
    <xf borderId="37" fillId="0" fontId="17" numFmtId="0" xfId="0" applyBorder="1" applyFont="1"/>
    <xf borderId="38" fillId="0" fontId="4" numFmtId="3" xfId="0" applyAlignment="1" applyBorder="1" applyFont="1" applyNumberFormat="1">
      <alignment horizontal="center"/>
    </xf>
    <xf borderId="36" fillId="0" fontId="17" numFmtId="0" xfId="0" applyBorder="1" applyFont="1"/>
    <xf borderId="39" fillId="8" fontId="17" numFmtId="0" xfId="0" applyBorder="1" applyFont="1"/>
    <xf borderId="39" fillId="9" fontId="17" numFmtId="0" xfId="0" applyBorder="1" applyFont="1"/>
    <xf borderId="49" fillId="0" fontId="4" numFmtId="0" xfId="0" applyBorder="1" applyFont="1"/>
    <xf borderId="38" fillId="0" fontId="9" numFmtId="3" xfId="0" applyAlignment="1" applyBorder="1" applyFont="1" applyNumberFormat="1">
      <alignment horizontal="center"/>
    </xf>
    <xf borderId="37" fillId="0" fontId="4" numFmtId="0" xfId="0" applyAlignment="1" applyBorder="1" applyFont="1">
      <alignment horizontal="center"/>
    </xf>
    <xf borderId="50" fillId="0" fontId="4" numFmtId="0" xfId="0" applyAlignment="1" applyBorder="1" applyFont="1">
      <alignment horizontal="center"/>
    </xf>
    <xf borderId="51" fillId="0" fontId="4" numFmtId="164" xfId="0" applyAlignment="1" applyBorder="1" applyFont="1" applyNumberFormat="1">
      <alignment horizontal="center"/>
    </xf>
    <xf borderId="0" fillId="0" fontId="4" numFmtId="3" xfId="0" applyAlignment="1" applyFont="1" applyNumberFormat="1">
      <alignment horizontal="center"/>
    </xf>
    <xf borderId="52" fillId="0" fontId="4" numFmtId="164" xfId="0" applyAlignment="1" applyBorder="1" applyFont="1" applyNumberFormat="1">
      <alignment horizontal="center"/>
    </xf>
    <xf borderId="0" fillId="0" fontId="11" numFmtId="3" xfId="0" applyAlignment="1" applyFont="1" applyNumberFormat="1">
      <alignment horizontal="center"/>
    </xf>
    <xf borderId="52" fillId="0" fontId="11" numFmtId="164" xfId="0" applyAlignment="1" applyBorder="1" applyFont="1" applyNumberFormat="1">
      <alignment horizontal="center"/>
    </xf>
    <xf borderId="0" fillId="0" fontId="12" numFmtId="3" xfId="0" applyAlignment="1" applyFont="1" applyNumberFormat="1">
      <alignment horizontal="center"/>
    </xf>
    <xf borderId="52" fillId="0" fontId="12" numFmtId="164" xfId="0" applyAlignment="1" applyBorder="1" applyFont="1" applyNumberFormat="1">
      <alignment horizontal="center"/>
    </xf>
    <xf borderId="53" fillId="9" fontId="15" numFmtId="3" xfId="0" applyAlignment="1" applyBorder="1" applyFont="1" applyNumberFormat="1">
      <alignment horizontal="center"/>
    </xf>
    <xf borderId="54" fillId="0" fontId="15" numFmtId="164" xfId="0" applyAlignment="1" applyBorder="1" applyFont="1" applyNumberFormat="1">
      <alignment horizontal="center"/>
    </xf>
    <xf borderId="46" fillId="0" fontId="1" numFmtId="49" xfId="0" applyBorder="1" applyFont="1" applyNumberFormat="1"/>
    <xf borderId="55" fillId="0" fontId="4" numFmtId="164" xfId="0" applyAlignment="1" applyBorder="1" applyFont="1" applyNumberFormat="1">
      <alignment horizontal="center"/>
    </xf>
    <xf borderId="51" fillId="0" fontId="17" numFmtId="164" xfId="0" applyAlignment="1" applyBorder="1" applyFont="1" applyNumberFormat="1">
      <alignment horizontal="center"/>
    </xf>
    <xf borderId="56" fillId="0" fontId="4" numFmtId="164" xfId="0" applyAlignment="1" applyBorder="1" applyFont="1" applyNumberFormat="1">
      <alignment horizontal="center"/>
    </xf>
    <xf borderId="52" fillId="0" fontId="17" numFmtId="164" xfId="0" applyAlignment="1" applyBorder="1" applyFont="1" applyNumberFormat="1">
      <alignment horizontal="center"/>
    </xf>
    <xf borderId="56" fillId="0" fontId="11" numFmtId="164" xfId="0" applyAlignment="1" applyBorder="1" applyFont="1" applyNumberFormat="1">
      <alignment horizontal="center"/>
    </xf>
    <xf borderId="56" fillId="0" fontId="12" numFmtId="164" xfId="0" applyAlignment="1" applyBorder="1" applyFont="1" applyNumberFormat="1">
      <alignment horizontal="center"/>
    </xf>
    <xf borderId="57" fillId="0" fontId="15" numFmtId="164" xfId="0" applyAlignment="1" applyBorder="1" applyFont="1" applyNumberFormat="1">
      <alignment horizontal="center"/>
    </xf>
    <xf borderId="54" fillId="0" fontId="14" numFmtId="164" xfId="0" applyAlignment="1" applyBorder="1" applyFont="1" applyNumberFormat="1">
      <alignment horizontal="center"/>
    </xf>
    <xf borderId="39" fillId="9" fontId="16" numFmtId="0" xfId="0" applyBorder="1" applyFont="1"/>
    <xf borderId="55" fillId="0" fontId="1" numFmtId="0" xfId="0" applyAlignment="1" applyBorder="1" applyFont="1">
      <alignment horizontal="left"/>
    </xf>
    <xf borderId="58" fillId="0" fontId="4" numFmtId="0" xfId="0" applyBorder="1" applyFont="1"/>
    <xf borderId="56" fillId="0" fontId="1" numFmtId="0" xfId="0" applyAlignment="1" applyBorder="1" applyFont="1">
      <alignment horizontal="left"/>
    </xf>
    <xf borderId="59" fillId="0" fontId="4" numFmtId="0" xfId="0" applyBorder="1" applyFont="1"/>
    <xf borderId="56" fillId="0" fontId="4" numFmtId="0" xfId="0" applyBorder="1" applyFont="1"/>
    <xf borderId="60" fillId="8" fontId="4" numFmtId="0" xfId="0" applyBorder="1" applyFont="1"/>
    <xf borderId="61" fillId="9" fontId="4" numFmtId="0" xfId="0" applyBorder="1" applyFont="1"/>
    <xf borderId="60" fillId="9" fontId="4" numFmtId="0" xfId="0" applyBorder="1" applyFont="1"/>
    <xf borderId="62" fillId="9" fontId="4" numFmtId="0" xfId="0" applyBorder="1" applyFont="1"/>
    <xf borderId="63" fillId="9" fontId="4" numFmtId="0" xfId="0" applyBorder="1" applyFont="1"/>
    <xf borderId="32" fillId="2" fontId="3" numFmtId="0" xfId="0" applyBorder="1" applyFont="1"/>
    <xf borderId="46" fillId="0" fontId="23" numFmtId="49" xfId="0" applyBorder="1" applyFont="1" applyNumberFormat="1"/>
    <xf borderId="41" fillId="4" fontId="9" numFmtId="49" xfId="0" applyAlignment="1" applyBorder="1" applyFont="1" applyNumberFormat="1">
      <alignment horizontal="left" shrinkToFit="0" wrapText="1"/>
    </xf>
    <xf borderId="35" fillId="0" fontId="4" numFmtId="164" xfId="0" applyAlignment="1" applyBorder="1" applyFont="1" applyNumberFormat="1">
      <alignment horizontal="center"/>
    </xf>
    <xf borderId="50" fillId="0" fontId="17" numFmtId="164" xfId="0" applyAlignment="1" applyBorder="1" applyFont="1" applyNumberFormat="1">
      <alignment horizontal="center"/>
    </xf>
    <xf borderId="23" fillId="0" fontId="1" numFmtId="49" xfId="0" applyAlignment="1" applyBorder="1" applyFont="1" applyNumberFormat="1">
      <alignment horizontal="left" shrinkToFit="0" wrapText="1"/>
    </xf>
    <xf borderId="38" fillId="0" fontId="9" numFmtId="164" xfId="0" applyAlignment="1" applyBorder="1" applyFont="1" applyNumberFormat="1">
      <alignment horizontal="center"/>
    </xf>
    <xf borderId="0" fillId="0" fontId="10" numFmtId="164" xfId="0" applyAlignment="1" applyFont="1" applyNumberFormat="1">
      <alignment horizontal="center"/>
    </xf>
    <xf borderId="24" fillId="0" fontId="1" numFmtId="49" xfId="0" applyAlignment="1" applyBorder="1" applyFont="1" applyNumberFormat="1">
      <alignment horizontal="left" shrinkToFit="0" wrapText="1"/>
    </xf>
    <xf borderId="38" fillId="0" fontId="12" numFmtId="164" xfId="0" applyAlignment="1" applyBorder="1" applyFont="1" applyNumberFormat="1">
      <alignment horizontal="center"/>
    </xf>
    <xf borderId="0" fillId="0" fontId="11" numFmtId="164" xfId="0" applyAlignment="1" applyFont="1" applyNumberFormat="1">
      <alignment horizontal="center"/>
    </xf>
    <xf borderId="39" fillId="2" fontId="17" numFmtId="0" xfId="0" applyBorder="1" applyFont="1"/>
    <xf borderId="24" fillId="0" fontId="23" numFmtId="49" xfId="0" applyAlignment="1" applyBorder="1" applyFont="1" applyNumberFormat="1">
      <alignment horizontal="left" shrinkToFit="0" wrapText="1"/>
    </xf>
    <xf borderId="46" fillId="0" fontId="15" numFmtId="164" xfId="0" applyAlignment="1" applyBorder="1" applyFont="1" applyNumberFormat="1">
      <alignment horizontal="center"/>
    </xf>
    <xf borderId="64" fillId="0" fontId="14" numFmtId="164" xfId="0" applyAlignment="1" applyBorder="1" applyFont="1" applyNumberFormat="1">
      <alignment horizontal="center"/>
    </xf>
    <xf borderId="27" fillId="0" fontId="23" numFmtId="49" xfId="0" applyAlignment="1" applyBorder="1" applyFont="1" applyNumberFormat="1">
      <alignment horizontal="left" shrinkToFit="0" wrapText="1"/>
    </xf>
    <xf borderId="38" fillId="0" fontId="15" numFmtId="164" xfId="0" applyAlignment="1" applyBorder="1" applyFont="1" applyNumberFormat="1">
      <alignment horizontal="center"/>
    </xf>
    <xf borderId="0" fillId="0" fontId="14" numFmtId="164" xfId="0" applyAlignment="1" applyFont="1" applyNumberFormat="1">
      <alignment horizontal="center"/>
    </xf>
    <xf borderId="65" fillId="7" fontId="8" numFmtId="0" xfId="0" applyAlignment="1" applyBorder="1" applyFont="1">
      <alignment horizontal="left"/>
    </xf>
    <xf borderId="66" fillId="7" fontId="16" numFmtId="0" xfId="0" applyAlignment="1" applyBorder="1" applyFont="1">
      <alignment textRotation="45"/>
    </xf>
    <xf borderId="67" fillId="7" fontId="21" numFmtId="164" xfId="0" applyAlignment="1" applyBorder="1" applyFont="1" applyNumberFormat="1">
      <alignment horizontal="center"/>
    </xf>
    <xf borderId="66" fillId="7" fontId="21" numFmtId="164" xfId="0" applyAlignment="1" applyBorder="1" applyFont="1" applyNumberFormat="1">
      <alignment horizontal="center"/>
    </xf>
    <xf borderId="20" fillId="7" fontId="22" numFmtId="164" xfId="0" applyAlignment="1" applyBorder="1" applyFont="1" applyNumberFormat="1">
      <alignment horizontal="center"/>
    </xf>
    <xf borderId="39" fillId="4" fontId="9" numFmtId="49" xfId="0" applyAlignment="1" applyBorder="1" applyFont="1" applyNumberFormat="1">
      <alignment horizontal="left" shrinkToFit="0" wrapText="1"/>
    </xf>
    <xf borderId="38" fillId="0" fontId="4" numFmtId="0" xfId="0" applyAlignment="1" applyBorder="1" applyFont="1">
      <alignment horizontal="center"/>
    </xf>
    <xf borderId="0" fillId="0" fontId="17" numFmtId="164" xfId="0" applyAlignment="1" applyFont="1" applyNumberFormat="1">
      <alignment horizontal="center"/>
    </xf>
    <xf borderId="68" fillId="2" fontId="10" numFmtId="164" xfId="0" applyAlignment="1" applyBorder="1" applyFont="1" applyNumberFormat="1">
      <alignment horizontal="center"/>
    </xf>
    <xf borderId="39" fillId="2" fontId="10" numFmtId="164" xfId="0" applyAlignment="1" applyBorder="1" applyFont="1" applyNumberFormat="1">
      <alignment horizontal="center"/>
    </xf>
    <xf borderId="39" fillId="2" fontId="11" numFmtId="164" xfId="0" applyAlignment="1" applyBorder="1" applyFont="1" applyNumberFormat="1">
      <alignment horizontal="center"/>
    </xf>
    <xf borderId="43" fillId="2" fontId="14" numFmtId="164" xfId="0" applyAlignment="1" applyBorder="1" applyFont="1" applyNumberFormat="1">
      <alignment horizontal="center"/>
    </xf>
    <xf borderId="47" fillId="10" fontId="18" numFmtId="0" xfId="0" applyAlignment="1" applyBorder="1" applyFill="1" applyFont="1">
      <alignment vertical="center"/>
    </xf>
    <xf borderId="68" fillId="10" fontId="18" numFmtId="0" xfId="0" applyAlignment="1" applyBorder="1" applyFont="1">
      <alignment vertical="center"/>
    </xf>
    <xf borderId="69" fillId="10" fontId="15" numFmtId="3" xfId="0" applyAlignment="1" applyBorder="1" applyFont="1" applyNumberFormat="1">
      <alignment horizontal="center"/>
    </xf>
    <xf borderId="69" fillId="10" fontId="15" numFmtId="164" xfId="0" applyAlignment="1" applyBorder="1" applyFont="1" applyNumberFormat="1">
      <alignment horizontal="center"/>
    </xf>
    <xf borderId="68" fillId="10" fontId="14" numFmtId="164" xfId="0" applyAlignment="1" applyBorder="1" applyFont="1" applyNumberFormat="1">
      <alignment horizontal="center"/>
    </xf>
    <xf borderId="68" fillId="10" fontId="19" numFmtId="49" xfId="0" applyAlignment="1" applyBorder="1" applyFont="1" applyNumberFormat="1">
      <alignment horizontal="left" shrinkToFit="0" wrapText="1"/>
    </xf>
    <xf borderId="42" fillId="10" fontId="3" numFmtId="0" xfId="0" applyAlignment="1" applyBorder="1" applyFont="1">
      <alignment horizontal="left"/>
    </xf>
    <xf borderId="43" fillId="10" fontId="12" numFmtId="3" xfId="0" applyBorder="1" applyFont="1" applyNumberFormat="1"/>
    <xf borderId="44" fillId="10" fontId="15" numFmtId="3" xfId="0" applyAlignment="1" applyBorder="1" applyFont="1" applyNumberFormat="1">
      <alignment horizontal="center"/>
    </xf>
    <xf borderId="44" fillId="10" fontId="15" numFmtId="164" xfId="0" applyAlignment="1" applyBorder="1" applyFont="1" applyNumberFormat="1">
      <alignment horizontal="center"/>
    </xf>
    <xf borderId="43" fillId="10" fontId="14" numFmtId="164" xfId="0" applyAlignment="1" applyBorder="1" applyFont="1" applyNumberFormat="1">
      <alignment horizontal="center"/>
    </xf>
    <xf borderId="43" fillId="10" fontId="1" numFmtId="49" xfId="0" applyAlignment="1" applyBorder="1" applyFont="1" applyNumberFormat="1">
      <alignment horizontal="center"/>
    </xf>
    <xf borderId="4" fillId="2" fontId="6" numFmtId="164" xfId="0" applyAlignment="1" applyBorder="1" applyFont="1" applyNumberFormat="1">
      <alignment horizontal="center"/>
    </xf>
    <xf borderId="21" fillId="0" fontId="7" numFmtId="0" xfId="0" applyAlignment="1" applyBorder="1" applyFont="1">
      <alignment horizontal="center"/>
    </xf>
    <xf borderId="70" fillId="0" fontId="2" numFmtId="0" xfId="0" applyBorder="1" applyFont="1"/>
    <xf borderId="71" fillId="7" fontId="8" numFmtId="0" xfId="0" applyAlignment="1" applyBorder="1" applyFont="1">
      <alignment horizontal="left"/>
    </xf>
    <xf borderId="72" fillId="0" fontId="2" numFmtId="0" xfId="0" applyBorder="1" applyFont="1"/>
    <xf borderId="73" fillId="7" fontId="22" numFmtId="164" xfId="0" applyAlignment="1" applyBorder="1" applyFont="1" applyNumberFormat="1">
      <alignment horizontal="center"/>
    </xf>
    <xf borderId="74" fillId="7" fontId="22" numFmtId="164" xfId="0" applyAlignment="1" applyBorder="1" applyFont="1" applyNumberFormat="1">
      <alignment horizontal="center"/>
    </xf>
    <xf borderId="75" fillId="4" fontId="10" numFmtId="49" xfId="0" applyAlignment="1" applyBorder="1" applyFont="1" applyNumberFormat="1">
      <alignment horizontal="left"/>
    </xf>
    <xf borderId="50" fillId="0" fontId="17" numFmtId="0" xfId="0" applyBorder="1" applyFont="1"/>
    <xf borderId="35" fillId="0" fontId="17" numFmtId="0" xfId="0" applyAlignment="1" applyBorder="1" applyFont="1">
      <alignment horizontal="center"/>
    </xf>
    <xf borderId="35" fillId="0" fontId="17" numFmtId="164" xfId="0" applyAlignment="1" applyBorder="1" applyFont="1" applyNumberFormat="1">
      <alignment horizontal="center"/>
    </xf>
    <xf borderId="33" fillId="0" fontId="17" numFmtId="164" xfId="0" applyAlignment="1" applyBorder="1" applyFont="1" applyNumberFormat="1">
      <alignment horizontal="center"/>
    </xf>
    <xf borderId="35" fillId="0" fontId="24" numFmtId="49" xfId="0" applyAlignment="1" applyBorder="1" applyFont="1" applyNumberFormat="1">
      <alignment horizontal="left"/>
    </xf>
    <xf borderId="0" fillId="0" fontId="17" numFmtId="0" xfId="0" applyFont="1"/>
    <xf borderId="38" fillId="0" fontId="17" numFmtId="3" xfId="0" applyAlignment="1" applyBorder="1" applyFont="1" applyNumberFormat="1">
      <alignment horizontal="center"/>
    </xf>
    <xf borderId="38" fillId="0" fontId="17" numFmtId="164" xfId="0" applyAlignment="1" applyBorder="1" applyFont="1" applyNumberFormat="1">
      <alignment horizontal="center"/>
    </xf>
    <xf borderId="36" fillId="0" fontId="17" numFmtId="164" xfId="0" applyAlignment="1" applyBorder="1" applyFont="1" applyNumberFormat="1">
      <alignment horizontal="center"/>
    </xf>
    <xf borderId="38" fillId="0" fontId="24" numFmtId="49" xfId="0" applyAlignment="1" applyBorder="1" applyFont="1" applyNumberFormat="1">
      <alignment horizontal="left"/>
    </xf>
    <xf borderId="4" fillId="8" fontId="17" numFmtId="0" xfId="0" applyBorder="1" applyFont="1"/>
    <xf borderId="38" fillId="0" fontId="11" numFmtId="3" xfId="0" applyAlignment="1" applyBorder="1" applyFont="1" applyNumberFormat="1">
      <alignment horizontal="center"/>
    </xf>
    <xf borderId="38" fillId="0" fontId="11" numFmtId="164" xfId="0" applyAlignment="1" applyBorder="1" applyFont="1" applyNumberFormat="1">
      <alignment horizontal="center"/>
    </xf>
    <xf borderId="36" fillId="0" fontId="11" numFmtId="164" xfId="0" applyAlignment="1" applyBorder="1" applyFont="1" applyNumberFormat="1">
      <alignment horizontal="center"/>
    </xf>
    <xf borderId="38" fillId="0" fontId="24" numFmtId="49" xfId="0" applyBorder="1" applyFont="1" applyNumberFormat="1"/>
    <xf borderId="4" fillId="2" fontId="17" numFmtId="0" xfId="0" applyBorder="1" applyFont="1"/>
    <xf borderId="40" fillId="2" fontId="17" numFmtId="0" xfId="0" applyBorder="1" applyFont="1"/>
    <xf borderId="42" fillId="2" fontId="17" numFmtId="0" xfId="0" applyBorder="1" applyFont="1"/>
    <xf borderId="53" fillId="2" fontId="17" numFmtId="0" xfId="0" applyBorder="1" applyFont="1"/>
    <xf borderId="44" fillId="2" fontId="14" numFmtId="3" xfId="0" applyAlignment="1" applyBorder="1" applyFont="1" applyNumberFormat="1">
      <alignment horizontal="center"/>
    </xf>
    <xf borderId="46" fillId="0" fontId="14" numFmtId="164" xfId="0" applyAlignment="1" applyBorder="1" applyFont="1" applyNumberFormat="1">
      <alignment horizontal="center"/>
    </xf>
    <xf borderId="46" fillId="0" fontId="23" numFmtId="49" xfId="0" applyAlignment="1" applyBorder="1" applyFont="1" applyNumberFormat="1">
      <alignment horizontal="left"/>
    </xf>
    <xf borderId="76" fillId="0" fontId="2" numFmtId="0" xfId="0" applyBorder="1" applyFont="1"/>
    <xf borderId="32" fillId="7" fontId="22" numFmtId="164" xfId="0" applyAlignment="1" applyBorder="1" applyFont="1" applyNumberFormat="1">
      <alignment horizontal="center"/>
    </xf>
    <xf borderId="4" fillId="7" fontId="22" numFmtId="164" xfId="0" applyAlignment="1" applyBorder="1" applyFont="1" applyNumberFormat="1">
      <alignment horizontal="center"/>
    </xf>
    <xf borderId="32" fillId="4" fontId="10" numFmtId="49" xfId="0" applyAlignment="1" applyBorder="1" applyFont="1" applyNumberFormat="1">
      <alignment horizontal="left"/>
    </xf>
    <xf borderId="0" fillId="0" fontId="17" numFmtId="0" xfId="0" applyAlignment="1" applyFont="1">
      <alignment horizontal="center"/>
    </xf>
    <xf borderId="0" fillId="0" fontId="17" numFmtId="3" xfId="0" applyAlignment="1" applyFont="1" applyNumberFormat="1">
      <alignment horizontal="center"/>
    </xf>
    <xf borderId="4" fillId="2" fontId="14" numFmtId="3" xfId="0" applyAlignment="1" applyBorder="1" applyFont="1" applyNumberFormat="1">
      <alignment horizontal="center"/>
    </xf>
    <xf borderId="38" fillId="0" fontId="14" numFmtId="164" xfId="0" applyAlignment="1" applyBorder="1" applyFont="1" applyNumberFormat="1">
      <alignment horizontal="center"/>
    </xf>
    <xf borderId="38" fillId="0" fontId="23" numFmtId="49" xfId="0" applyAlignment="1" applyBorder="1" applyFont="1" applyNumberFormat="1">
      <alignment horizontal="left"/>
    </xf>
    <xf borderId="49" fillId="0" fontId="17" numFmtId="0" xfId="0" applyBorder="1" applyFont="1"/>
    <xf borderId="43" fillId="2" fontId="17" numFmtId="0" xfId="0" applyBorder="1" applyFont="1"/>
    <xf borderId="73" fillId="7" fontId="22" numFmtId="0" xfId="0" applyAlignment="1" applyBorder="1" applyFont="1">
      <alignment horizontal="center"/>
    </xf>
    <xf borderId="35" fillId="0" fontId="17" numFmtId="3" xfId="0" applyAlignment="1" applyBorder="1" applyFont="1" applyNumberFormat="1">
      <alignment horizontal="center"/>
    </xf>
    <xf borderId="38" fillId="0" fontId="11" numFmtId="0" xfId="0" applyAlignment="1" applyBorder="1" applyFont="1">
      <alignment horizontal="center"/>
    </xf>
    <xf borderId="73" fillId="7" fontId="22" numFmtId="3" xfId="0" applyAlignment="1" applyBorder="1" applyFont="1" applyNumberFormat="1">
      <alignment horizontal="center"/>
    </xf>
    <xf borderId="34" fillId="0" fontId="24" numFmtId="49" xfId="0" applyAlignment="1" applyBorder="1" applyFont="1" applyNumberFormat="1">
      <alignment horizontal="left"/>
    </xf>
    <xf borderId="37" fillId="0" fontId="24" numFmtId="49" xfId="0" applyAlignment="1" applyBorder="1" applyFont="1" applyNumberFormat="1">
      <alignment horizontal="left"/>
    </xf>
    <xf borderId="37" fillId="0" fontId="24" numFmtId="49" xfId="0" applyBorder="1" applyFont="1" applyNumberFormat="1"/>
    <xf borderId="4" fillId="2" fontId="16" numFmtId="0" xfId="0" applyBorder="1" applyFont="1"/>
    <xf borderId="4" fillId="2" fontId="17" numFmtId="3" xfId="0" applyBorder="1" applyFont="1" applyNumberFormat="1"/>
    <xf borderId="37" fillId="0" fontId="23" numFmtId="49" xfId="0" applyAlignment="1" applyBorder="1" applyFont="1" applyNumberFormat="1">
      <alignment horizontal="left"/>
    </xf>
    <xf borderId="45" fillId="0" fontId="23" numFmtId="49" xfId="0" applyAlignment="1" applyBorder="1" applyFont="1" applyNumberFormat="1">
      <alignment horizontal="left"/>
    </xf>
    <xf borderId="38" fillId="0" fontId="17" numFmtId="0" xfId="0" applyAlignment="1" applyBorder="1" applyFont="1">
      <alignment horizontal="center"/>
    </xf>
    <xf borderId="49" fillId="0" fontId="14" numFmtId="164" xfId="0" applyAlignment="1" applyBorder="1" applyFont="1" applyNumberFormat="1">
      <alignment horizontal="center"/>
    </xf>
    <xf borderId="47" fillId="10" fontId="18" numFmtId="0" xfId="0" applyBorder="1" applyFont="1"/>
    <xf borderId="68" fillId="10" fontId="18" numFmtId="0" xfId="0" applyBorder="1" applyFont="1"/>
    <xf borderId="4" fillId="10" fontId="14" numFmtId="0" xfId="0" applyAlignment="1" applyBorder="1" applyFont="1">
      <alignment horizontal="center"/>
    </xf>
    <xf borderId="69" fillId="10" fontId="14" numFmtId="164" xfId="0" applyAlignment="1" applyBorder="1" applyFont="1" applyNumberFormat="1">
      <alignment horizontal="center"/>
    </xf>
    <xf borderId="4" fillId="10" fontId="14" numFmtId="164" xfId="0" applyAlignment="1" applyBorder="1" applyFont="1" applyNumberFormat="1">
      <alignment horizontal="center"/>
    </xf>
    <xf borderId="69" fillId="10" fontId="19" numFmtId="49" xfId="0" applyAlignment="1" applyBorder="1" applyFont="1" applyNumberFormat="1">
      <alignment horizontal="left"/>
    </xf>
    <xf borderId="42" fillId="10" fontId="20" numFmtId="0" xfId="0" applyAlignment="1" applyBorder="1" applyFont="1">
      <alignment horizontal="left"/>
    </xf>
    <xf borderId="43" fillId="10" fontId="11" numFmtId="0" xfId="0" applyBorder="1" applyFont="1"/>
    <xf borderId="53" fillId="11" fontId="14" numFmtId="3" xfId="0" applyAlignment="1" applyBorder="1" applyFill="1" applyFont="1" applyNumberFormat="1">
      <alignment horizontal="center"/>
    </xf>
    <xf borderId="44" fillId="11" fontId="14" numFmtId="164" xfId="0" applyAlignment="1" applyBorder="1" applyFont="1" applyNumberFormat="1">
      <alignment horizontal="center"/>
    </xf>
    <xf borderId="53" fillId="11" fontId="14" numFmtId="164" xfId="0" applyAlignment="1" applyBorder="1" applyFont="1" applyNumberFormat="1">
      <alignment horizontal="center"/>
    </xf>
    <xf borderId="44" fillId="10" fontId="24" numFmtId="49" xfId="0" applyAlignment="1" applyBorder="1" applyFont="1" applyNumberFormat="1">
      <alignment horizontal="center"/>
    </xf>
    <xf borderId="69" fillId="7" fontId="22" numFmtId="164" xfId="0" applyAlignment="1" applyBorder="1" applyFont="1" applyNumberFormat="1">
      <alignment horizontal="center"/>
    </xf>
    <xf borderId="35" fillId="0" fontId="10" numFmtId="0" xfId="0" applyAlignment="1" applyBorder="1" applyFont="1">
      <alignment horizontal="center"/>
    </xf>
    <xf borderId="50" fillId="0" fontId="10" numFmtId="164" xfId="0" applyAlignment="1" applyBorder="1" applyFont="1" applyNumberFormat="1">
      <alignment horizontal="center"/>
    </xf>
    <xf borderId="35" fillId="0" fontId="10" numFmtId="164" xfId="0" applyAlignment="1" applyBorder="1" applyFont="1" applyNumberFormat="1">
      <alignment horizontal="center"/>
    </xf>
    <xf borderId="38" fillId="0" fontId="10" numFmtId="0" xfId="0" applyAlignment="1" applyBorder="1" applyFont="1">
      <alignment horizontal="center"/>
    </xf>
    <xf borderId="38" fillId="0" fontId="10" numFmtId="164" xfId="0" applyAlignment="1" applyBorder="1" applyFont="1" applyNumberFormat="1">
      <alignment horizontal="center"/>
    </xf>
    <xf borderId="41" fillId="9" fontId="14" numFmtId="3" xfId="0" applyAlignment="1" applyBorder="1" applyFont="1" applyNumberFormat="1">
      <alignment horizontal="center"/>
    </xf>
    <xf borderId="44" fillId="7" fontId="22" numFmtId="164" xfId="0" applyAlignment="1" applyBorder="1" applyFont="1" applyNumberFormat="1">
      <alignment horizontal="center"/>
    </xf>
    <xf borderId="36" fillId="0" fontId="16" numFmtId="0" xfId="0" applyBorder="1" applyFont="1"/>
    <xf borderId="45" fillId="0" fontId="4" numFmtId="0" xfId="0" applyBorder="1" applyFont="1"/>
    <xf borderId="77" fillId="4" fontId="10" numFmtId="49" xfId="0" applyAlignment="1" applyBorder="1" applyFont="1" applyNumberFormat="1">
      <alignment horizontal="left"/>
    </xf>
    <xf borderId="43" fillId="9" fontId="14" numFmtId="3" xfId="0" applyAlignment="1" applyBorder="1" applyFont="1" applyNumberFormat="1">
      <alignment horizontal="center"/>
    </xf>
    <xf borderId="24" fillId="0" fontId="24" numFmtId="49" xfId="0" applyAlignment="1" applyBorder="1" applyFont="1" applyNumberFormat="1">
      <alignment horizontal="left"/>
    </xf>
    <xf borderId="24" fillId="0" fontId="24" numFmtId="49" xfId="0" applyBorder="1" applyFont="1" applyNumberFormat="1"/>
    <xf borderId="27" fillId="0" fontId="23" numFmtId="49" xfId="0" applyAlignment="1" applyBorder="1" applyFont="1" applyNumberFormat="1">
      <alignment horizontal="left"/>
    </xf>
    <xf borderId="37" fillId="0" fontId="17" numFmtId="0" xfId="0" applyAlignment="1" applyBorder="1" applyFont="1">
      <alignment horizontal="center"/>
    </xf>
    <xf borderId="24" fillId="0" fontId="23" numFmtId="49" xfId="0" applyAlignment="1" applyBorder="1" applyFont="1" applyNumberFormat="1">
      <alignment horizontal="left"/>
    </xf>
    <xf borderId="44" fillId="9" fontId="14" numFmtId="3" xfId="0" applyAlignment="1" applyBorder="1" applyFont="1" applyNumberFormat="1">
      <alignment horizontal="center"/>
    </xf>
    <xf borderId="44" fillId="7" fontId="21" numFmtId="164" xfId="0" applyAlignment="1" applyBorder="1" applyFont="1" applyNumberFormat="1">
      <alignment horizontal="center"/>
    </xf>
    <xf borderId="70" fillId="0" fontId="4" numFmtId="0" xfId="0" applyBorder="1" applyFont="1"/>
    <xf borderId="38" fillId="0" fontId="10" numFmtId="3" xfId="0" applyAlignment="1" applyBorder="1" applyFont="1" applyNumberFormat="1">
      <alignment horizontal="center"/>
    </xf>
    <xf borderId="19" fillId="0" fontId="24" numFmtId="49" xfId="0" applyBorder="1" applyFont="1" applyNumberFormat="1"/>
    <xf borderId="0" fillId="0" fontId="4" numFmtId="0" xfId="0" applyAlignment="1" applyFont="1">
      <alignment horizontal="center"/>
    </xf>
    <xf borderId="38" fillId="0" fontId="14" numFmtId="3" xfId="0" applyAlignment="1" applyBorder="1" applyFont="1" applyNumberFormat="1">
      <alignment horizontal="center"/>
    </xf>
    <xf borderId="46" fillId="0" fontId="14" numFmtId="3" xfId="0" applyAlignment="1" applyBorder="1" applyFont="1" applyNumberFormat="1">
      <alignment horizontal="center"/>
    </xf>
    <xf borderId="39" fillId="2" fontId="16" numFmtId="0" xfId="0" applyBorder="1" applyFont="1"/>
    <xf borderId="69" fillId="7" fontId="21" numFmtId="164" xfId="0" applyAlignment="1" applyBorder="1" applyFont="1" applyNumberFormat="1">
      <alignment horizontal="center"/>
    </xf>
    <xf borderId="69" fillId="2" fontId="10" numFmtId="0" xfId="0" applyAlignment="1" applyBorder="1" applyFont="1">
      <alignment horizontal="center"/>
    </xf>
    <xf borderId="78" fillId="2" fontId="10" numFmtId="164" xfId="0" applyAlignment="1" applyBorder="1" applyFont="1" applyNumberFormat="1">
      <alignment horizontal="center"/>
    </xf>
    <xf borderId="69" fillId="2" fontId="10" numFmtId="164" xfId="0" applyAlignment="1" applyBorder="1" applyFont="1" applyNumberFormat="1">
      <alignment horizontal="center"/>
    </xf>
    <xf borderId="41" fillId="2" fontId="10" numFmtId="3" xfId="0" applyAlignment="1" applyBorder="1" applyFont="1" applyNumberFormat="1">
      <alignment horizontal="center"/>
    </xf>
    <xf borderId="4" fillId="2" fontId="10" numFmtId="164" xfId="0" applyAlignment="1" applyBorder="1" applyFont="1" applyNumberFormat="1">
      <alignment horizontal="center"/>
    </xf>
    <xf borderId="41" fillId="2" fontId="10" numFmtId="164" xfId="0" applyAlignment="1" applyBorder="1" applyFont="1" applyNumberFormat="1">
      <alignment horizontal="center"/>
    </xf>
    <xf borderId="41" fillId="2" fontId="11" numFmtId="3" xfId="0" applyAlignment="1" applyBorder="1" applyFont="1" applyNumberFormat="1">
      <alignment horizontal="center"/>
    </xf>
    <xf borderId="4" fillId="2" fontId="11" numFmtId="164" xfId="0" applyAlignment="1" applyBorder="1" applyFont="1" applyNumberFormat="1">
      <alignment horizontal="center"/>
    </xf>
    <xf borderId="41" fillId="2" fontId="11" numFmtId="164" xfId="0" applyAlignment="1" applyBorder="1" applyFont="1" applyNumberFormat="1">
      <alignment horizontal="center"/>
    </xf>
    <xf borderId="4" fillId="9" fontId="16" numFmtId="0" xfId="0" applyBorder="1" applyFont="1"/>
    <xf borderId="0" fillId="0" fontId="16" numFmtId="0" xfId="0" applyFont="1"/>
    <xf borderId="53" fillId="9" fontId="4" numFmtId="0" xfId="0" applyBorder="1" applyFont="1"/>
    <xf borderId="79" fillId="7" fontId="8" numFmtId="0" xfId="0" applyAlignment="1" applyBorder="1" applyFont="1">
      <alignment horizontal="left"/>
    </xf>
    <xf borderId="80" fillId="0" fontId="2" numFmtId="0" xfId="0" applyBorder="1" applyFont="1"/>
    <xf borderId="40" fillId="2" fontId="16" numFmtId="0" xfId="0" applyBorder="1" applyFont="1"/>
    <xf borderId="37" fillId="0" fontId="16" numFmtId="0" xfId="0" applyBorder="1" applyFont="1"/>
    <xf borderId="29" fillId="4" fontId="10" numFmtId="49" xfId="0" applyAlignment="1" applyBorder="1" applyFont="1" applyNumberFormat="1">
      <alignment horizontal="left"/>
    </xf>
    <xf borderId="28" fillId="9" fontId="4" numFmtId="0" xfId="0" applyBorder="1" applyFont="1"/>
    <xf borderId="4" fillId="9" fontId="25" numFmtId="0" xfId="0" applyBorder="1" applyFont="1"/>
    <xf borderId="58" fillId="0" fontId="17" numFmtId="164" xfId="0" applyAlignment="1" applyBorder="1" applyFont="1" applyNumberFormat="1">
      <alignment horizontal="center"/>
    </xf>
    <xf borderId="59" fillId="0" fontId="17" numFmtId="164" xfId="0" applyAlignment="1" applyBorder="1" applyFont="1" applyNumberFormat="1">
      <alignment horizontal="center"/>
    </xf>
    <xf borderId="59" fillId="0" fontId="11" numFmtId="164" xfId="0" applyAlignment="1" applyBorder="1" applyFont="1" applyNumberFormat="1">
      <alignment horizontal="center"/>
    </xf>
    <xf borderId="81" fillId="0" fontId="14" numFmtId="164" xfId="0" applyAlignment="1" applyBorder="1" applyFont="1" applyNumberFormat="1">
      <alignment horizontal="center"/>
    </xf>
    <xf borderId="46" fillId="0" fontId="24" numFmtId="49" xfId="0" applyAlignment="1" applyBorder="1" applyFont="1" applyNumberFormat="1">
      <alignment horizontal="left"/>
    </xf>
    <xf borderId="37" fillId="0" fontId="12" numFmtId="0" xfId="0" applyBorder="1" applyFont="1"/>
    <xf borderId="39" fillId="2" fontId="11" numFmtId="3" xfId="0" applyAlignment="1" applyBorder="1" applyFont="1" applyNumberFormat="1">
      <alignment horizontal="center"/>
    </xf>
    <xf borderId="41" fillId="2" fontId="23" numFmtId="49" xfId="0" applyAlignment="1" applyBorder="1" applyFont="1" applyNumberFormat="1">
      <alignment horizontal="left"/>
    </xf>
    <xf borderId="39" fillId="12" fontId="4" numFmtId="0" xfId="0" applyBorder="1" applyFill="1" applyFont="1"/>
    <xf borderId="82" fillId="2" fontId="17" numFmtId="0" xfId="0" applyBorder="1" applyFont="1"/>
    <xf borderId="83" fillId="7" fontId="8" numFmtId="0" xfId="0" applyAlignment="1" applyBorder="1" applyFont="1">
      <alignment horizontal="left"/>
    </xf>
    <xf borderId="84" fillId="7" fontId="16" numFmtId="0" xfId="0" applyAlignment="1" applyBorder="1" applyFont="1">
      <alignment textRotation="45"/>
    </xf>
    <xf borderId="0" fillId="0" fontId="4" numFmtId="0" xfId="0" applyAlignment="1" applyFont="1">
      <alignment horizontal="left"/>
    </xf>
    <xf borderId="43" fillId="7" fontId="21" numFmtId="164" xfId="0" applyAlignment="1" applyBorder="1" applyFont="1" applyNumberFormat="1">
      <alignment horizontal="center"/>
    </xf>
    <xf borderId="50" fillId="0" fontId="4" numFmtId="0" xfId="0" applyBorder="1" applyFont="1"/>
    <xf borderId="51" fillId="0" fontId="17" numFmtId="0" xfId="0" applyAlignment="1" applyBorder="1" applyFont="1">
      <alignment horizontal="center"/>
    </xf>
    <xf borderId="52" fillId="0" fontId="17" numFmtId="3" xfId="0" applyAlignment="1" applyBorder="1" applyFont="1" applyNumberFormat="1">
      <alignment horizontal="center"/>
    </xf>
    <xf borderId="4" fillId="8" fontId="4" numFmtId="0" xfId="0" applyBorder="1" applyFont="1"/>
    <xf borderId="52" fillId="0" fontId="11" numFmtId="3" xfId="0" applyAlignment="1" applyBorder="1" applyFont="1" applyNumberFormat="1">
      <alignment horizontal="center"/>
    </xf>
    <xf borderId="85" fillId="9" fontId="14" numFmtId="3" xfId="0" applyAlignment="1" applyBorder="1" applyFont="1" applyNumberFormat="1">
      <alignment horizontal="center"/>
    </xf>
    <xf borderId="0" fillId="0" fontId="3" numFmtId="0" xfId="0" applyAlignment="1" applyFont="1">
      <alignment horizontal="left"/>
    </xf>
    <xf borderId="20" fillId="3" fontId="10" numFmtId="164" xfId="0" applyAlignment="1" applyBorder="1" applyFont="1" applyNumberFormat="1">
      <alignment horizontal="center"/>
    </xf>
    <xf borderId="86" fillId="3" fontId="10" numFmtId="164" xfId="0" applyAlignment="1" applyBorder="1" applyFont="1" applyNumberFormat="1">
      <alignment horizontal="center"/>
    </xf>
    <xf borderId="48" fillId="4" fontId="10" numFmtId="49" xfId="0" applyAlignment="1" applyBorder="1" applyFont="1" applyNumberFormat="1">
      <alignment horizontal="left"/>
    </xf>
    <xf borderId="4" fillId="2" fontId="20" numFmtId="0" xfId="0" applyBorder="1" applyFont="1"/>
    <xf borderId="9" fillId="5" fontId="17" numFmtId="0" xfId="0" applyBorder="1" applyFont="1"/>
    <xf borderId="8" fillId="2" fontId="17" numFmtId="0" xfId="0" applyBorder="1" applyFont="1"/>
    <xf borderId="25" fillId="2" fontId="17" numFmtId="0" xfId="0" applyBorder="1" applyFont="1"/>
    <xf borderId="26" fillId="2" fontId="17" numFmtId="0" xfId="0" applyBorder="1" applyFont="1"/>
    <xf borderId="13" fillId="0" fontId="14" numFmtId="164" xfId="0" applyAlignment="1" applyBorder="1" applyFont="1" applyNumberFormat="1">
      <alignment horizontal="center"/>
    </xf>
    <xf borderId="27" fillId="0" fontId="24" numFmtId="49" xfId="0" applyBorder="1" applyFont="1" applyNumberFormat="1"/>
    <xf borderId="26" fillId="3" fontId="10" numFmtId="3" xfId="0" applyAlignment="1" applyBorder="1" applyFont="1" applyNumberFormat="1">
      <alignment horizontal="center"/>
    </xf>
    <xf borderId="26" fillId="3" fontId="10" numFmtId="164" xfId="0" applyAlignment="1" applyBorder="1" applyFont="1" applyNumberFormat="1">
      <alignment horizontal="center"/>
    </xf>
    <xf borderId="26" fillId="4" fontId="10" numFmtId="49" xfId="0" applyAlignment="1" applyBorder="1" applyFont="1" applyNumberFormat="1">
      <alignment horizontal="left"/>
    </xf>
    <xf borderId="19" fillId="0" fontId="24" numFmtId="49" xfId="0" applyAlignment="1" applyBorder="1" applyFont="1" applyNumberFormat="1">
      <alignment horizontal="left"/>
    </xf>
    <xf borderId="14" fillId="0" fontId="24" numFmtId="49" xfId="0" applyBorder="1" applyFont="1" applyNumberFormat="1"/>
    <xf borderId="15" fillId="3" fontId="8" numFmtId="0" xfId="0" applyBorder="1" applyFont="1"/>
    <xf borderId="26" fillId="4" fontId="10" numFmtId="49" xfId="0" applyBorder="1" applyFont="1" applyNumberFormat="1"/>
    <xf borderId="21" fillId="0" fontId="24" numFmtId="0" xfId="0" applyBorder="1" applyFont="1"/>
    <xf borderId="19" fillId="0" fontId="20" numFmtId="3" xfId="0" applyBorder="1" applyFont="1" applyNumberFormat="1"/>
    <xf borderId="19" fillId="0" fontId="20" numFmtId="164" xfId="0" applyBorder="1" applyFont="1" applyNumberFormat="1"/>
    <xf borderId="19" fillId="0" fontId="20" numFmtId="0" xfId="0" applyBorder="1" applyFont="1"/>
    <xf borderId="25" fillId="2" fontId="20" numFmtId="0" xfId="0" applyBorder="1" applyFont="1"/>
    <xf borderId="26" fillId="2" fontId="20" numFmtId="0" xfId="0" applyBorder="1" applyFont="1"/>
    <xf borderId="26" fillId="2" fontId="20" numFmtId="3" xfId="0" applyBorder="1" applyFont="1" applyNumberFormat="1"/>
    <xf borderId="14" fillId="0" fontId="20" numFmtId="164" xfId="0" applyBorder="1" applyFont="1" applyNumberFormat="1"/>
    <xf borderId="25" fillId="6" fontId="20" numFmtId="0" xfId="0" applyAlignment="1" applyBorder="1" applyFont="1">
      <alignment horizontal="left"/>
    </xf>
    <xf borderId="26" fillId="6" fontId="11" numFmtId="0" xfId="0" applyBorder="1" applyFont="1"/>
    <xf borderId="26" fillId="6" fontId="24" numFmtId="49" xfId="0" applyAlignment="1" applyBorder="1" applyFont="1" applyNumberFormat="1">
      <alignment horizontal="center"/>
    </xf>
    <xf borderId="1" fillId="2" fontId="4" numFmtId="0" xfId="0" applyAlignment="1" applyBorder="1" applyFont="1">
      <alignment horizontal="center"/>
    </xf>
    <xf borderId="86" fillId="3" fontId="9" numFmtId="164" xfId="0" applyAlignment="1" applyBorder="1" applyFont="1" applyNumberFormat="1">
      <alignment horizontal="center"/>
    </xf>
    <xf borderId="48" fillId="4" fontId="9" numFmtId="49" xfId="0" applyAlignment="1" applyBorder="1" applyFont="1" applyNumberFormat="1">
      <alignment horizontal="left"/>
    </xf>
    <xf borderId="0" fillId="0" fontId="9" numFmtId="164" xfId="0" applyAlignment="1" applyFont="1" applyNumberFormat="1">
      <alignment horizontal="center"/>
    </xf>
    <xf borderId="0" fillId="0" fontId="12" numFmtId="164" xfId="0" applyAlignment="1" applyFont="1" applyNumberFormat="1">
      <alignment horizontal="center"/>
    </xf>
    <xf borderId="13" fillId="0" fontId="15" numFmtId="164" xfId="0" applyAlignment="1" applyBorder="1" applyFont="1" applyNumberFormat="1">
      <alignment horizontal="center"/>
    </xf>
    <xf borderId="26" fillId="2" fontId="3" numFmtId="0" xfId="0" applyBorder="1" applyFont="1"/>
    <xf borderId="26" fillId="4" fontId="9" numFmtId="49" xfId="0" applyBorder="1" applyFont="1" applyNumberFormat="1"/>
    <xf borderId="21" fillId="0" fontId="1" numFmtId="0" xfId="0" applyBorder="1" applyFont="1"/>
    <xf borderId="19" fillId="0" fontId="3" numFmtId="3" xfId="0" applyBorder="1" applyFont="1" applyNumberFormat="1"/>
    <xf borderId="19" fillId="0" fontId="3" numFmtId="164" xfId="0" applyBorder="1" applyFont="1" applyNumberFormat="1"/>
    <xf borderId="19" fillId="0" fontId="3" numFmtId="0" xfId="0" applyBorder="1" applyFont="1"/>
    <xf borderId="25" fillId="2" fontId="3" numFmtId="0" xfId="0" applyBorder="1" applyFont="1"/>
    <xf borderId="26" fillId="2" fontId="3" numFmtId="3" xfId="0" applyBorder="1" applyFont="1" applyNumberFormat="1"/>
    <xf borderId="14" fillId="0" fontId="3" numFmtId="164" xfId="0" applyBorder="1" applyFont="1" applyNumberFormat="1"/>
    <xf borderId="15" fillId="13" fontId="8" numFmtId="0" xfId="0" applyAlignment="1" applyBorder="1" applyFill="1" applyFont="1">
      <alignment horizontal="left"/>
    </xf>
    <xf borderId="8" fillId="14" fontId="4" numFmtId="0" xfId="0" applyBorder="1" applyFill="1" applyFont="1"/>
    <xf borderId="9" fillId="2" fontId="14" numFmtId="3" xfId="0" applyAlignment="1" applyBorder="1" applyFont="1" applyNumberFormat="1">
      <alignment horizontal="center"/>
    </xf>
    <xf borderId="19" fillId="0" fontId="14" numFmtId="164" xfId="0" applyAlignment="1" applyBorder="1" applyFont="1" applyNumberFormat="1">
      <alignment horizontal="center"/>
    </xf>
    <xf borderId="0" fillId="0" fontId="15" numFmtId="164" xfId="0" applyAlignment="1" applyFont="1" applyNumberFormat="1">
      <alignment horizontal="center"/>
    </xf>
    <xf borderId="87" fillId="15" fontId="4" numFmtId="0" xfId="0" applyBorder="1" applyFill="1" applyFont="1"/>
    <xf borderId="88" fillId="0" fontId="2" numFmtId="0" xfId="0" applyBorder="1" applyFont="1"/>
    <xf borderId="30" fillId="7" fontId="22" numFmtId="0" xfId="0" applyAlignment="1" applyBorder="1" applyFont="1">
      <alignment horizontal="left"/>
    </xf>
    <xf borderId="0" fillId="0" fontId="1" numFmtId="49" xfId="0" applyFont="1" applyNumberFormat="1"/>
    <xf borderId="47" fillId="7" fontId="22" numFmtId="0" xfId="0" applyAlignment="1" applyBorder="1" applyFont="1">
      <alignment horizontal="left"/>
    </xf>
    <xf borderId="39" fillId="7" fontId="17" numFmtId="0" xfId="0" applyAlignment="1" applyBorder="1" applyFont="1">
      <alignment textRotation="45"/>
    </xf>
    <xf borderId="40" fillId="7" fontId="22" numFmtId="0" xfId="0" applyAlignment="1" applyBorder="1" applyFont="1">
      <alignment horizontal="left"/>
    </xf>
    <xf borderId="40" fillId="7" fontId="21" numFmtId="0" xfId="0" applyAlignment="1" applyBorder="1" applyFont="1">
      <alignment horizontal="left"/>
    </xf>
    <xf borderId="9" fillId="2" fontId="17" numFmtId="0" xfId="0" applyBorder="1" applyFont="1"/>
    <xf borderId="15" fillId="7" fontId="22" numFmtId="0" xfId="0" applyAlignment="1" applyBorder="1" applyFont="1">
      <alignment horizontal="left"/>
    </xf>
    <xf borderId="89" fillId="0" fontId="2" numFmtId="0" xfId="0" applyBorder="1" applyFont="1"/>
    <xf borderId="68" fillId="7" fontId="21" numFmtId="164" xfId="0" applyAlignment="1" applyBorder="1" applyFont="1" applyNumberFormat="1">
      <alignment horizontal="center"/>
    </xf>
    <xf borderId="68" fillId="7" fontId="22" numFmtId="164" xfId="0" applyAlignment="1" applyBorder="1" applyFont="1" applyNumberFormat="1">
      <alignment horizontal="center"/>
    </xf>
    <xf borderId="69" fillId="4" fontId="9" numFmtId="49" xfId="0" applyAlignment="1" applyBorder="1" applyFont="1" applyNumberFormat="1">
      <alignment horizontal="left" shrinkToFit="0" wrapText="1"/>
    </xf>
    <xf borderId="90" fillId="0" fontId="1" numFmtId="49" xfId="0" applyAlignment="1" applyBorder="1" applyFont="1" applyNumberFormat="1">
      <alignment horizontal="left" shrinkToFit="0" wrapText="1"/>
    </xf>
    <xf borderId="91" fillId="0" fontId="1" numFmtId="49" xfId="0" applyAlignment="1" applyBorder="1" applyFont="1" applyNumberFormat="1">
      <alignment horizontal="left" shrinkToFit="0" wrapText="1"/>
    </xf>
    <xf borderId="91" fillId="0" fontId="1" numFmtId="49" xfId="0" applyBorder="1" applyFont="1" applyNumberFormat="1"/>
    <xf borderId="91" fillId="0" fontId="23" numFmtId="49" xfId="0" applyAlignment="1" applyBorder="1" applyFont="1" applyNumberFormat="1">
      <alignment horizontal="left" shrinkToFit="0" wrapText="1"/>
    </xf>
    <xf borderId="92" fillId="7" fontId="22" numFmtId="0" xfId="0" applyAlignment="1" applyBorder="1" applyFont="1">
      <alignment horizontal="left"/>
    </xf>
    <xf borderId="93" fillId="0" fontId="2" numFmtId="0" xfId="0" applyBorder="1" applyFont="1"/>
    <xf borderId="94" fillId="7" fontId="22" numFmtId="0" xfId="0" applyAlignment="1" applyBorder="1" applyFont="1">
      <alignment horizontal="left"/>
    </xf>
    <xf borderId="37" fillId="0" fontId="23" numFmtId="49" xfId="0" applyAlignment="1" applyBorder="1" applyFont="1" applyNumberFormat="1">
      <alignment horizontal="left" shrinkToFit="0" wrapText="1"/>
    </xf>
    <xf borderId="95" fillId="0" fontId="4" numFmtId="0" xfId="0" applyBorder="1" applyFont="1"/>
    <xf borderId="96" fillId="0" fontId="9" numFmtId="0" xfId="0" applyAlignment="1" applyBorder="1" applyFont="1">
      <alignment horizontal="center"/>
    </xf>
    <xf borderId="95" fillId="0" fontId="9" numFmtId="164" xfId="0" applyAlignment="1" applyBorder="1" applyFont="1" applyNumberFormat="1">
      <alignment horizontal="center"/>
    </xf>
    <xf borderId="95" fillId="0" fontId="10" numFmtId="164" xfId="0" applyAlignment="1" applyBorder="1" applyFont="1" applyNumberFormat="1">
      <alignment horizontal="center"/>
    </xf>
    <xf borderId="97" fillId="9" fontId="4" numFmtId="0" xfId="0" applyBorder="1" applyFont="1"/>
    <xf borderId="25" fillId="9" fontId="17" numFmtId="0" xfId="0" applyBorder="1" applyFont="1"/>
    <xf borderId="49" fillId="0" fontId="3" numFmtId="0" xfId="0" applyBorder="1" applyFont="1"/>
    <xf borderId="53" fillId="2" fontId="3" numFmtId="0" xfId="0" applyBorder="1" applyFont="1"/>
    <xf borderId="44" fillId="2" fontId="3" numFmtId="3" xfId="0" applyBorder="1" applyFont="1" applyNumberFormat="1"/>
    <xf borderId="46" fillId="0" fontId="3" numFmtId="164" xfId="0" applyBorder="1" applyFont="1" applyNumberFormat="1"/>
    <xf borderId="45" fillId="0" fontId="3" numFmtId="49" xfId="0" applyBorder="1" applyFont="1" applyNumberFormat="1"/>
    <xf borderId="40" fillId="10" fontId="3" numFmtId="0" xfId="0" applyBorder="1" applyFont="1"/>
    <xf borderId="39" fillId="10" fontId="3" numFmtId="0" xfId="0" applyBorder="1" applyFont="1"/>
    <xf borderId="41" fillId="10" fontId="15" numFmtId="3" xfId="0" applyAlignment="1" applyBorder="1" applyFont="1" applyNumberFormat="1">
      <alignment horizontal="center"/>
    </xf>
    <xf borderId="41" fillId="10" fontId="15" numFmtId="164" xfId="0" applyAlignment="1" applyBorder="1" applyFont="1" applyNumberFormat="1">
      <alignment horizontal="center"/>
    </xf>
    <xf borderId="39" fillId="10" fontId="15" numFmtId="164" xfId="0" applyAlignment="1" applyBorder="1" applyFont="1" applyNumberFormat="1">
      <alignment horizontal="center"/>
    </xf>
    <xf borderId="39" fillId="10" fontId="3" numFmtId="49" xfId="0" applyBorder="1" applyFont="1" applyNumberFormat="1"/>
    <xf borderId="42" fillId="10" fontId="3" numFmtId="0" xfId="0" applyBorder="1" applyFont="1"/>
    <xf borderId="43" fillId="10" fontId="3" numFmtId="3" xfId="0" applyBorder="1" applyFont="1" applyNumberFormat="1"/>
    <xf borderId="43" fillId="10" fontId="3" numFmtId="49" xfId="0" applyBorder="1" applyFont="1" applyNumberFormat="1"/>
    <xf borderId="9" fillId="2" fontId="1" numFmtId="49" xfId="0" applyAlignment="1" applyBorder="1" applyFont="1" applyNumberFormat="1">
      <alignment horizontal="right" readingOrder="0"/>
    </xf>
    <xf borderId="33" fillId="0" fontId="1" numFmtId="0" xfId="0" applyAlignment="1" applyBorder="1" applyFont="1">
      <alignment horizontal="left" readingOrder="0"/>
    </xf>
    <xf borderId="77" fillId="16" fontId="1" numFmtId="49" xfId="0" applyBorder="1" applyFill="1" applyFont="1" applyNumberFormat="1"/>
    <xf borderId="98" fillId="0" fontId="1" numFmtId="0" xfId="0" applyAlignment="1" applyBorder="1" applyFont="1">
      <alignment horizontal="left"/>
    </xf>
    <xf borderId="99" fillId="0" fontId="4" numFmtId="0" xfId="0" applyBorder="1" applyFont="1"/>
    <xf borderId="100" fillId="0" fontId="1" numFmtId="0" xfId="0" applyAlignment="1" applyBorder="1" applyFont="1">
      <alignment horizontal="left"/>
    </xf>
    <xf borderId="101" fillId="0" fontId="4" numFmtId="0" xfId="0" applyBorder="1" applyFont="1"/>
    <xf borderId="100" fillId="0" fontId="4" numFmtId="0" xfId="0" applyBorder="1" applyFont="1"/>
    <xf borderId="102" fillId="8" fontId="4" numFmtId="0" xfId="0" applyBorder="1" applyFont="1"/>
    <xf borderId="103" fillId="2" fontId="4" numFmtId="0" xfId="0" applyBorder="1" applyFont="1"/>
    <xf borderId="102" fillId="9" fontId="4" numFmtId="0" xfId="0" applyBorder="1" applyFont="1"/>
    <xf borderId="38" fillId="0" fontId="26" numFmtId="49" xfId="0" applyAlignment="1" applyBorder="1" applyFont="1" applyNumberFormat="1">
      <alignment horizontal="left" shrinkToFit="0" wrapText="1"/>
    </xf>
    <xf borderId="103" fillId="2" fontId="17" numFmtId="0" xfId="0" applyBorder="1" applyFont="1"/>
    <xf borderId="102" fillId="2" fontId="17" numFmtId="0" xfId="0" applyBorder="1" applyFont="1"/>
    <xf borderId="39" fillId="2" fontId="12" numFmtId="3" xfId="0" applyAlignment="1" applyBorder="1" applyFont="1" applyNumberFormat="1">
      <alignment horizontal="center"/>
    </xf>
    <xf borderId="102" fillId="2" fontId="4" numFmtId="0" xfId="0" applyBorder="1" applyFont="1"/>
    <xf borderId="103" fillId="9" fontId="17" numFmtId="0" xfId="0" applyBorder="1" applyFont="1"/>
    <xf borderId="102" fillId="9" fontId="17" numFmtId="0" xfId="0" applyBorder="1" applyFont="1"/>
    <xf borderId="101" fillId="0" fontId="4" numFmtId="0" xfId="0" applyAlignment="1" applyBorder="1" applyFont="1">
      <alignment horizontal="center"/>
    </xf>
    <xf borderId="104" fillId="0" fontId="4" numFmtId="0" xfId="0" applyBorder="1" applyFont="1"/>
    <xf borderId="105" fillId="0" fontId="4" numFmtId="0" xfId="0" applyBorder="1" applyFont="1"/>
    <xf borderId="39" fillId="8" fontId="27" numFmtId="0" xfId="0" applyBorder="1" applyFont="1"/>
    <xf borderId="37" fillId="0" fontId="1" numFmtId="49" xfId="0" applyBorder="1" applyFont="1" applyNumberFormat="1"/>
    <xf borderId="24" fillId="0" fontId="26" numFmtId="49" xfId="0" applyAlignment="1" applyBorder="1" applyFont="1" applyNumberFormat="1">
      <alignment horizontal="left" shrinkToFit="0" wrapText="1"/>
    </xf>
    <xf borderId="52" fillId="0" fontId="1" numFmtId="0" xfId="0" applyAlignment="1" applyBorder="1" applyFont="1">
      <alignment horizontal="left" shrinkToFit="0" wrapText="1"/>
    </xf>
    <xf quotePrefix="1" borderId="38" fillId="0" fontId="23" numFmtId="49" xfId="0" applyAlignment="1" applyBorder="1" applyFont="1" applyNumberFormat="1">
      <alignment horizontal="left"/>
    </xf>
    <xf borderId="90" fillId="0" fontId="17" numFmtId="0" xfId="0" applyAlignment="1" applyBorder="1" applyFont="1">
      <alignment horizontal="center"/>
    </xf>
    <xf borderId="91" fillId="0" fontId="11" numFmtId="3" xfId="0" applyAlignment="1" applyBorder="1" applyFont="1" applyNumberFormat="1">
      <alignment horizontal="center"/>
    </xf>
    <xf borderId="35" fillId="0" fontId="11" numFmtId="0" xfId="0" applyAlignment="1" applyBorder="1" applyFont="1">
      <alignment horizontal="center"/>
    </xf>
    <xf borderId="34" fillId="0" fontId="11" numFmtId="164" xfId="0" applyAlignment="1" applyBorder="1" applyFont="1" applyNumberFormat="1">
      <alignment horizontal="center"/>
    </xf>
    <xf borderId="4" fillId="2" fontId="3" numFmtId="0" xfId="0" applyAlignment="1" applyBorder="1" applyFont="1">
      <alignment horizontal="left"/>
    </xf>
    <xf borderId="4" fillId="2" fontId="12" numFmtId="3" xfId="0" applyBorder="1" applyFont="1" applyNumberFormat="1"/>
    <xf borderId="4" fillId="2" fontId="15" numFmtId="3" xfId="0" applyAlignment="1" applyBorder="1" applyFont="1" applyNumberFormat="1">
      <alignment horizontal="center"/>
    </xf>
    <xf borderId="4" fillId="2" fontId="14" numFmtId="164" xfId="0" applyAlignment="1" applyBorder="1" applyFont="1" applyNumberFormat="1">
      <alignment horizontal="center"/>
    </xf>
    <xf borderId="4" fillId="2" fontId="1" numFmtId="49" xfId="0" applyAlignment="1" applyBorder="1" applyFont="1" applyNumberFormat="1">
      <alignment horizontal="center"/>
    </xf>
    <xf borderId="23" fillId="0" fontId="24" numFmtId="49" xfId="0" applyAlignment="1" applyBorder="1" applyFont="1" applyNumberFormat="1">
      <alignment horizontal="left"/>
    </xf>
    <xf borderId="40" fillId="4" fontId="17" numFmtId="0" xfId="0" applyBorder="1" applyFont="1"/>
    <xf borderId="39" fillId="4" fontId="17" numFmtId="0" xfId="0" applyBorder="1" applyFont="1"/>
    <xf borderId="70" fillId="0" fontId="17" numFmtId="0" xfId="0" applyBorder="1" applyFont="1"/>
    <xf borderId="30" fillId="7" fontId="8" numFmtId="0" xfId="0" applyBorder="1" applyFont="1"/>
    <xf borderId="31" fillId="7" fontId="3" numFmtId="0" xfId="0" applyBorder="1" applyFont="1"/>
    <xf borderId="31" fillId="4" fontId="9" numFmtId="49" xfId="0" applyBorder="1" applyFont="1" applyNumberFormat="1"/>
    <xf borderId="4" fillId="2" fontId="3" numFmtId="4" xfId="0" applyBorder="1" applyFont="1" applyNumberFormat="1"/>
    <xf borderId="36" fillId="0" fontId="1" numFmtId="0" xfId="0" applyBorder="1" applyFont="1"/>
    <xf borderId="37" fillId="0" fontId="3" numFmtId="0" xfId="0" applyBorder="1" applyFont="1"/>
    <xf borderId="37" fillId="0" fontId="3" numFmtId="164" xfId="0" applyBorder="1" applyFont="1" applyNumberFormat="1"/>
    <xf borderId="37" fillId="0" fontId="3" numFmtId="3" xfId="0" applyBorder="1" applyFont="1" applyNumberFormat="1"/>
    <xf borderId="36" fillId="0" fontId="3" numFmtId="0" xfId="0" applyBorder="1" applyFont="1"/>
    <xf borderId="39" fillId="2" fontId="3" numFmtId="0" xfId="0" applyBorder="1" applyFont="1"/>
    <xf borderId="42" fillId="2" fontId="3" numFmtId="0" xfId="0" applyBorder="1" applyFont="1"/>
    <xf borderId="43" fillId="2" fontId="3" numFmtId="0" xfId="0" applyBorder="1" applyFont="1"/>
    <xf borderId="43" fillId="2" fontId="15" numFmtId="3" xfId="0" applyAlignment="1" applyBorder="1" applyFont="1" applyNumberFormat="1">
      <alignment horizontal="center"/>
    </xf>
    <xf borderId="20" fillId="4" fontId="10" numFmtId="49" xfId="0" applyAlignment="1" applyBorder="1" applyFont="1" applyNumberFormat="1">
      <alignment horizontal="left"/>
    </xf>
    <xf borderId="23" fillId="0" fontId="28" numFmtId="49" xfId="0" applyAlignment="1" applyBorder="1" applyFont="1" applyNumberFormat="1">
      <alignment horizontal="left"/>
    </xf>
    <xf borderId="19" fillId="0" fontId="29" numFmtId="3" xfId="0" applyAlignment="1" applyBorder="1" applyFont="1" applyNumberFormat="1">
      <alignment horizontal="center"/>
    </xf>
    <xf borderId="19" fillId="0" fontId="29" numFmtId="164" xfId="0" applyAlignment="1" applyBorder="1" applyFont="1" applyNumberFormat="1">
      <alignment horizontal="center"/>
    </xf>
    <xf borderId="24" fillId="0" fontId="28" numFmtId="49" xfId="0" applyAlignment="1" applyBorder="1" applyFont="1" applyNumberFormat="1">
      <alignment horizontal="left"/>
    </xf>
    <xf borderId="8" fillId="2" fontId="16" numFmtId="0" xfId="0" applyBorder="1" applyFont="1"/>
    <xf borderId="24" fillId="0" fontId="28" numFmtId="49" xfId="0" applyBorder="1" applyFont="1" applyNumberFormat="1"/>
    <xf borderId="27" fillId="0" fontId="28" numFmtId="49" xfId="0" applyBorder="1" applyFont="1" applyNumberFormat="1"/>
    <xf borderId="15" fillId="17" fontId="8" numFmtId="0" xfId="0" applyAlignment="1" applyBorder="1" applyFill="1" applyFont="1">
      <alignment horizontal="left"/>
    </xf>
    <xf borderId="1" fillId="17" fontId="1" numFmtId="0" xfId="0" applyAlignment="1" applyBorder="1" applyFont="1">
      <alignment horizontal="left"/>
    </xf>
    <xf borderId="8" fillId="17" fontId="4" numFmtId="0" xfId="0" applyBorder="1" applyFont="1"/>
    <xf borderId="9" fillId="17" fontId="4" numFmtId="0" xfId="0" applyBorder="1" applyFont="1"/>
    <xf borderId="19" fillId="0" fontId="15" numFmtId="164" xfId="0" applyAlignment="1" applyBorder="1" applyFont="1" applyNumberFormat="1">
      <alignment horizontal="center"/>
    </xf>
    <xf borderId="25" fillId="17" fontId="4" numFmtId="0" xfId="0" applyBorder="1" applyFont="1"/>
    <xf borderId="26" fillId="17" fontId="4" numFmtId="0" xfId="0" applyBorder="1" applyFont="1"/>
    <xf borderId="22" fillId="0" fontId="9" numFmtId="0" xfId="0" applyAlignment="1" applyBorder="1" applyFont="1">
      <alignment horizontal="center"/>
    </xf>
    <xf borderId="22" fillId="0" fontId="9" numFmtId="164" xfId="0" applyAlignment="1" applyBorder="1" applyFont="1" applyNumberFormat="1">
      <alignment horizontal="center"/>
    </xf>
    <xf borderId="22" fillId="0" fontId="1" numFmtId="49" xfId="0" applyAlignment="1" applyBorder="1" applyFont="1" applyNumberFormat="1">
      <alignment horizontal="left"/>
    </xf>
    <xf quotePrefix="1" borderId="9" fillId="17" fontId="4" numFmtId="0" xfId="0" applyBorder="1" applyFont="1"/>
    <xf borderId="9" fillId="2" fontId="15" numFmtId="3" xfId="0" applyAlignment="1" applyBorder="1" applyFont="1" applyNumberFormat="1">
      <alignment horizontal="center"/>
    </xf>
    <xf borderId="106" fillId="7" fontId="16" numFmtId="0" xfId="0" applyAlignment="1" applyBorder="1" applyFont="1">
      <alignment textRotation="45"/>
    </xf>
    <xf borderId="107" fillId="7" fontId="21" numFmtId="164" xfId="0" applyAlignment="1" applyBorder="1" applyFont="1" applyNumberFormat="1">
      <alignment horizontal="center"/>
    </xf>
    <xf borderId="106" fillId="7" fontId="21" numFmtId="164" xfId="0" applyAlignment="1" applyBorder="1" applyFont="1" applyNumberFormat="1">
      <alignment horizontal="center"/>
    </xf>
    <xf borderId="106" fillId="7" fontId="22" numFmtId="164" xfId="0" applyAlignment="1" applyBorder="1" applyFont="1" applyNumberFormat="1">
      <alignment horizontal="center"/>
    </xf>
    <xf borderId="108" fillId="4" fontId="9" numFmtId="49" xfId="0" applyAlignment="1" applyBorder="1" applyFont="1" applyNumberFormat="1">
      <alignment horizontal="left" shrinkToFit="0" wrapText="1"/>
    </xf>
    <xf borderId="51" fillId="0" fontId="9" numFmtId="0" xfId="0" applyAlignment="1" applyBorder="1" applyFont="1">
      <alignment horizontal="center"/>
    </xf>
    <xf borderId="51" fillId="0" fontId="1" numFmtId="49" xfId="0" applyAlignment="1" applyBorder="1" applyFont="1" applyNumberFormat="1">
      <alignment horizontal="left" shrinkToFit="0" wrapText="1"/>
    </xf>
    <xf borderId="52" fillId="0" fontId="9" numFmtId="3" xfId="0" applyAlignment="1" applyBorder="1" applyFont="1" applyNumberFormat="1">
      <alignment horizontal="center"/>
    </xf>
    <xf borderId="52" fillId="0" fontId="1" numFmtId="49" xfId="0" applyAlignment="1" applyBorder="1" applyFont="1" applyNumberFormat="1">
      <alignment horizontal="left" shrinkToFit="0" wrapText="1"/>
    </xf>
    <xf borderId="52" fillId="0" fontId="12" numFmtId="3" xfId="0" applyAlignment="1" applyBorder="1" applyFont="1" applyNumberFormat="1">
      <alignment horizontal="center"/>
    </xf>
    <xf borderId="52" fillId="0" fontId="1" numFmtId="49" xfId="0" applyBorder="1" applyFont="1" applyNumberFormat="1"/>
    <xf borderId="4" fillId="2" fontId="17" numFmtId="0" xfId="0" applyAlignment="1" applyBorder="1" applyFont="1">
      <alignment horizontal="left"/>
    </xf>
    <xf borderId="54" fillId="0" fontId="15" numFmtId="3" xfId="0" applyAlignment="1" applyBorder="1" applyFont="1" applyNumberFormat="1">
      <alignment horizontal="center"/>
    </xf>
    <xf borderId="54" fillId="0" fontId="23" numFmtId="49" xfId="0" applyAlignment="1" applyBorder="1" applyFont="1" applyNumberFormat="1">
      <alignment horizontal="left" shrinkToFit="0" wrapText="1"/>
    </xf>
    <xf borderId="109" fillId="7" fontId="8" numFmtId="0" xfId="0" applyAlignment="1" applyBorder="1" applyFont="1">
      <alignment horizontal="left"/>
    </xf>
    <xf borderId="110" fillId="7" fontId="16" numFmtId="0" xfId="0" applyAlignment="1" applyBorder="1" applyFont="1">
      <alignment textRotation="45"/>
    </xf>
    <xf borderId="111" fillId="0" fontId="1" numFmtId="0" xfId="0" applyAlignment="1" applyBorder="1" applyFont="1">
      <alignment horizontal="left"/>
    </xf>
    <xf borderId="112" fillId="0" fontId="4" numFmtId="0" xfId="0" applyBorder="1" applyFont="1"/>
    <xf borderId="56" fillId="0" fontId="17" numFmtId="0" xfId="0" applyBorder="1" applyFont="1"/>
    <xf borderId="60" fillId="8" fontId="17" numFmtId="0" xfId="0" applyBorder="1" applyFont="1"/>
    <xf borderId="61" fillId="2" fontId="4" numFmtId="0" xfId="0" applyBorder="1" applyFont="1"/>
    <xf borderId="60" fillId="2" fontId="4" numFmtId="0" xfId="0" applyBorder="1" applyFont="1"/>
    <xf borderId="113" fillId="7" fontId="16" numFmtId="0" xfId="0" applyAlignment="1" applyBorder="1" applyFont="1">
      <alignment textRotation="45"/>
    </xf>
    <xf borderId="60" fillId="9" fontId="17" numFmtId="0" xfId="0" applyBorder="1" applyFont="1"/>
    <xf borderId="60" fillId="2" fontId="17" numFmtId="0" xfId="0" applyAlignment="1" applyBorder="1" applyFont="1">
      <alignment horizontal="left"/>
    </xf>
    <xf borderId="60" fillId="9" fontId="16" numFmtId="0" xfId="0" applyBorder="1" applyFont="1"/>
    <xf borderId="114" fillId="4" fontId="9" numFmtId="49" xfId="0" applyAlignment="1" applyBorder="1" applyFont="1" applyNumberFormat="1">
      <alignment horizontal="left" shrinkToFit="0" wrapText="1"/>
    </xf>
    <xf borderId="59" fillId="0" fontId="23" numFmtId="49" xfId="0" applyAlignment="1" applyBorder="1" applyFont="1" applyNumberFormat="1">
      <alignment horizontal="left" shrinkToFit="0" wrapText="1"/>
    </xf>
    <xf borderId="57" fillId="0" fontId="4" numFmtId="0" xfId="0" applyBorder="1" applyFont="1"/>
    <xf borderId="81" fillId="0" fontId="4" numFmtId="0" xfId="0" applyBorder="1" applyFont="1"/>
    <xf borderId="55" fillId="0" fontId="17" numFmtId="0" xfId="0" applyAlignment="1" applyBorder="1" applyFont="1">
      <alignment horizontal="center"/>
    </xf>
    <xf borderId="115" fillId="0" fontId="17" numFmtId="164" xfId="0" applyAlignment="1" applyBorder="1" applyFont="1" applyNumberFormat="1">
      <alignment horizontal="center"/>
    </xf>
    <xf borderId="56" fillId="0" fontId="17" numFmtId="3" xfId="0" applyAlignment="1" applyBorder="1" applyFont="1" applyNumberFormat="1">
      <alignment horizontal="center"/>
    </xf>
    <xf borderId="56" fillId="0" fontId="11" numFmtId="3" xfId="0" applyAlignment="1" applyBorder="1" applyFont="1" applyNumberFormat="1">
      <alignment horizontal="center"/>
    </xf>
    <xf borderId="56" fillId="0" fontId="12" numFmtId="3" xfId="0" applyAlignment="1" applyBorder="1" applyFont="1" applyNumberFormat="1">
      <alignment horizontal="center"/>
    </xf>
    <xf borderId="61" fillId="9" fontId="15" numFmtId="3" xfId="0" applyAlignment="1" applyBorder="1" applyFont="1" applyNumberFormat="1">
      <alignment horizontal="center"/>
    </xf>
    <xf borderId="52" fillId="0" fontId="15" numFmtId="164" xfId="0" applyAlignment="1" applyBorder="1" applyFont="1" applyNumberFormat="1">
      <alignment horizontal="center"/>
    </xf>
    <xf borderId="52" fillId="0" fontId="14" numFmtId="164" xfId="0" applyAlignment="1" applyBorder="1" applyFont="1" applyNumberFormat="1">
      <alignment horizontal="center"/>
    </xf>
    <xf borderId="62" fillId="9" fontId="15" numFmtId="3" xfId="0" applyAlignment="1" applyBorder="1" applyFont="1" applyNumberFormat="1">
      <alignment horizontal="center"/>
    </xf>
    <xf borderId="116" fillId="0" fontId="14" numFmtId="164" xfId="0" applyAlignment="1" applyBorder="1" applyFont="1" applyNumberFormat="1">
      <alignment horizontal="center"/>
    </xf>
    <xf borderId="81" fillId="0" fontId="23" numFmtId="49" xfId="0" applyAlignment="1" applyBorder="1" applyFont="1" applyNumberFormat="1">
      <alignment horizontal="left" shrinkToFit="0" wrapText="1"/>
    </xf>
    <xf borderId="39" fillId="10" fontId="14" numFmtId="164" xfId="0" applyAlignment="1" applyBorder="1" applyFont="1" applyNumberFormat="1">
      <alignment horizontal="center"/>
    </xf>
    <xf borderId="39" fillId="10" fontId="19" numFmtId="49" xfId="0" applyAlignment="1" applyBorder="1" applyFont="1" applyNumberFormat="1">
      <alignment horizontal="left" shrinkToFit="0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7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123825</xdr:colOff>
      <xdr:row>0</xdr:row>
      <xdr:rowOff>152400</xdr:rowOff>
    </xdr:from>
    <xdr:ext cx="2847975" cy="11715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123825</xdr:colOff>
      <xdr:row>0</xdr:row>
      <xdr:rowOff>152400</xdr:rowOff>
    </xdr:from>
    <xdr:ext cx="2847975" cy="11715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123825</xdr:colOff>
      <xdr:row>0</xdr:row>
      <xdr:rowOff>152400</xdr:rowOff>
    </xdr:from>
    <xdr:ext cx="2847975" cy="11715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123825</xdr:colOff>
      <xdr:row>0</xdr:row>
      <xdr:rowOff>152400</xdr:rowOff>
    </xdr:from>
    <xdr:ext cx="2847975" cy="11715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123825</xdr:colOff>
      <xdr:row>0</xdr:row>
      <xdr:rowOff>152400</xdr:rowOff>
    </xdr:from>
    <xdr:ext cx="2847975" cy="11715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123825</xdr:colOff>
      <xdr:row>0</xdr:row>
      <xdr:rowOff>152400</xdr:rowOff>
    </xdr:from>
    <xdr:ext cx="2847975" cy="11715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123825</xdr:colOff>
      <xdr:row>0</xdr:row>
      <xdr:rowOff>152400</xdr:rowOff>
    </xdr:from>
    <xdr:ext cx="2847975" cy="11715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123825</xdr:colOff>
      <xdr:row>0</xdr:row>
      <xdr:rowOff>152400</xdr:rowOff>
    </xdr:from>
    <xdr:ext cx="2847975" cy="11715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123825</xdr:colOff>
      <xdr:row>0</xdr:row>
      <xdr:rowOff>152400</xdr:rowOff>
    </xdr:from>
    <xdr:ext cx="2847975" cy="11715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123825</xdr:colOff>
      <xdr:row>0</xdr:row>
      <xdr:rowOff>152400</xdr:rowOff>
    </xdr:from>
    <xdr:ext cx="2847975" cy="11715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123825</xdr:colOff>
      <xdr:row>0</xdr:row>
      <xdr:rowOff>152400</xdr:rowOff>
    </xdr:from>
    <xdr:ext cx="2847975" cy="11715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123825</xdr:colOff>
      <xdr:row>0</xdr:row>
      <xdr:rowOff>152400</xdr:rowOff>
    </xdr:from>
    <xdr:ext cx="2847975" cy="11715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123825</xdr:colOff>
      <xdr:row>0</xdr:row>
      <xdr:rowOff>152400</xdr:rowOff>
    </xdr:from>
    <xdr:ext cx="2847975" cy="11715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123825</xdr:colOff>
      <xdr:row>0</xdr:row>
      <xdr:rowOff>152400</xdr:rowOff>
    </xdr:from>
    <xdr:ext cx="2847975" cy="11715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123825</xdr:colOff>
      <xdr:row>0</xdr:row>
      <xdr:rowOff>152400</xdr:rowOff>
    </xdr:from>
    <xdr:ext cx="2847975" cy="11715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123825</xdr:colOff>
      <xdr:row>0</xdr:row>
      <xdr:rowOff>152400</xdr:rowOff>
    </xdr:from>
    <xdr:ext cx="2847975" cy="11715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123825</xdr:colOff>
      <xdr:row>0</xdr:row>
      <xdr:rowOff>152400</xdr:rowOff>
    </xdr:from>
    <xdr:ext cx="2847975" cy="11715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123825</xdr:colOff>
      <xdr:row>0</xdr:row>
      <xdr:rowOff>152400</xdr:rowOff>
    </xdr:from>
    <xdr:ext cx="2847975" cy="11715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123825</xdr:colOff>
      <xdr:row>0</xdr:row>
      <xdr:rowOff>152400</xdr:rowOff>
    </xdr:from>
    <xdr:ext cx="2847975" cy="11715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123825</xdr:colOff>
      <xdr:row>0</xdr:row>
      <xdr:rowOff>152400</xdr:rowOff>
    </xdr:from>
    <xdr:ext cx="2847975" cy="11715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123825</xdr:colOff>
      <xdr:row>0</xdr:row>
      <xdr:rowOff>152400</xdr:rowOff>
    </xdr:from>
    <xdr:ext cx="2847975" cy="11715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123825</xdr:colOff>
      <xdr:row>0</xdr:row>
      <xdr:rowOff>152400</xdr:rowOff>
    </xdr:from>
    <xdr:ext cx="2847975" cy="11715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123825</xdr:colOff>
      <xdr:row>0</xdr:row>
      <xdr:rowOff>152400</xdr:rowOff>
    </xdr:from>
    <xdr:ext cx="2847975" cy="11715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2.xml"/><Relationship Id="rId3" Type="http://schemas.openxmlformats.org/officeDocument/2006/relationships/vmlDrawing" Target="../drawings/vmlDrawing1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2.63" defaultRowHeight="15.0"/>
  <cols>
    <col customWidth="1" min="1" max="1" width="66.63"/>
    <col customWidth="1" min="2" max="2" width="57.13"/>
    <col customWidth="1" min="3" max="3" width="21.88"/>
    <col customWidth="1" min="4" max="4" width="20.5"/>
    <col customWidth="1" min="5" max="5" width="22.88"/>
    <col customWidth="1" min="6" max="6" width="71.5"/>
    <col customWidth="1" min="7" max="7" width="50.13"/>
    <col customWidth="1" min="8" max="26" width="8.0"/>
  </cols>
  <sheetData>
    <row r="1" ht="12.75" customHeight="1">
      <c r="A1" s="1" t="s">
        <v>0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2.75" customHeight="1">
      <c r="A2" s="5" t="s">
        <v>1</v>
      </c>
      <c r="B2" s="6"/>
      <c r="C2" s="6"/>
      <c r="D2" s="6"/>
      <c r="E2" s="6"/>
      <c r="F2" s="7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2.75" customHeight="1">
      <c r="A3" s="5" t="s">
        <v>2</v>
      </c>
      <c r="B3" s="6"/>
      <c r="C3" s="6"/>
      <c r="D3" s="6"/>
      <c r="E3" s="6"/>
      <c r="F3" s="7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2.75" customHeight="1">
      <c r="A4" s="5" t="s">
        <v>3</v>
      </c>
      <c r="B4" s="6"/>
      <c r="C4" s="6"/>
      <c r="D4" s="6"/>
      <c r="E4" s="6"/>
      <c r="F4" s="7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2.75" customHeight="1">
      <c r="A5" s="8"/>
      <c r="B5" s="9"/>
      <c r="C5" s="10"/>
      <c r="D5" s="11"/>
      <c r="E5" s="11"/>
      <c r="F5" s="12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2.75" customHeight="1">
      <c r="A6" s="13"/>
      <c r="B6" s="9"/>
      <c r="C6" s="10"/>
      <c r="D6" s="14"/>
      <c r="E6" s="14"/>
      <c r="F6" s="15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30.0" customHeight="1">
      <c r="A7" s="16"/>
      <c r="B7" s="9"/>
      <c r="C7" s="17"/>
      <c r="D7" s="18"/>
      <c r="E7" s="19"/>
      <c r="F7" s="15" t="s">
        <v>4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0.0" customHeight="1">
      <c r="A8" s="20" t="s">
        <v>5</v>
      </c>
      <c r="B8" s="21"/>
      <c r="C8" s="22"/>
      <c r="D8" s="23"/>
      <c r="E8" s="23"/>
      <c r="F8" s="2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7.75" customHeight="1">
      <c r="A9" s="25" t="s">
        <v>6</v>
      </c>
      <c r="B9" s="26"/>
      <c r="C9" s="26"/>
      <c r="D9" s="26"/>
      <c r="E9" s="26"/>
      <c r="F9" s="27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8.5" customHeight="1">
      <c r="A10" s="28"/>
      <c r="B10" s="29"/>
      <c r="C10" s="29"/>
      <c r="D10" s="30"/>
      <c r="E10" s="30"/>
      <c r="F10" s="31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</row>
    <row r="11" ht="33.0" customHeight="1">
      <c r="A11" s="33" t="s">
        <v>7</v>
      </c>
      <c r="B11" s="27"/>
      <c r="C11" s="34" t="s">
        <v>8</v>
      </c>
      <c r="D11" s="34" t="s">
        <v>9</v>
      </c>
      <c r="E11" s="34" t="s">
        <v>10</v>
      </c>
      <c r="F11" s="35" t="s">
        <v>11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75" customHeight="1">
      <c r="A12" s="36" t="s">
        <v>12</v>
      </c>
      <c r="B12" s="37"/>
      <c r="C12" s="38"/>
      <c r="D12" s="39"/>
      <c r="E12" s="40"/>
      <c r="F12" s="41" t="s">
        <v>13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75" customHeight="1">
      <c r="A13" s="42" t="s">
        <v>14</v>
      </c>
      <c r="B13" s="43" t="s">
        <v>15</v>
      </c>
      <c r="C13" s="44">
        <v>844.0</v>
      </c>
      <c r="D13" s="45">
        <v>25013.73</v>
      </c>
      <c r="E13" s="46">
        <v>26139.61</v>
      </c>
      <c r="F13" s="47" t="s">
        <v>16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2.75" customHeight="1">
      <c r="A14" s="48" t="s">
        <v>17</v>
      </c>
      <c r="B14" s="49"/>
      <c r="C14" s="50"/>
      <c r="D14" s="45"/>
      <c r="E14" s="46"/>
      <c r="F14" s="51" t="s">
        <v>18</v>
      </c>
      <c r="G14" s="52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2.75" customHeight="1">
      <c r="A15" s="53"/>
      <c r="B15" s="54"/>
      <c r="C15" s="55"/>
      <c r="D15" s="56"/>
      <c r="E15" s="57"/>
      <c r="F15" s="58" t="s">
        <v>19</v>
      </c>
      <c r="G15" s="52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2.75" customHeight="1">
      <c r="A16" s="33" t="s">
        <v>20</v>
      </c>
      <c r="B16" s="27"/>
      <c r="C16" s="59" t="s">
        <v>8</v>
      </c>
      <c r="D16" s="60" t="s">
        <v>9</v>
      </c>
      <c r="E16" s="60" t="s">
        <v>10</v>
      </c>
      <c r="F16" s="61" t="s">
        <v>11</v>
      </c>
      <c r="G16" s="52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2.75" customHeight="1">
      <c r="A17" s="36" t="s">
        <v>12</v>
      </c>
      <c r="B17" s="37"/>
      <c r="C17" s="62"/>
      <c r="D17" s="39"/>
      <c r="E17" s="40"/>
      <c r="F17" s="63" t="s">
        <v>13</v>
      </c>
      <c r="G17" s="52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2.75" customHeight="1">
      <c r="A18" s="42" t="s">
        <v>14</v>
      </c>
      <c r="B18" s="43" t="s">
        <v>15</v>
      </c>
      <c r="C18" s="50">
        <v>857.0</v>
      </c>
      <c r="D18" s="45">
        <v>24993.55</v>
      </c>
      <c r="E18" s="46">
        <v>26136.43</v>
      </c>
      <c r="F18" s="63" t="s">
        <v>21</v>
      </c>
      <c r="G18" s="52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8.75" customHeight="1">
      <c r="A19" s="48" t="s">
        <v>22</v>
      </c>
      <c r="B19" s="49"/>
      <c r="C19" s="50"/>
      <c r="D19" s="45"/>
      <c r="E19" s="46"/>
      <c r="F19" s="64" t="s">
        <v>23</v>
      </c>
      <c r="G19" s="52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8.75" customHeight="1">
      <c r="A20" s="53"/>
      <c r="B20" s="54"/>
      <c r="C20" s="55"/>
      <c r="D20" s="56"/>
      <c r="E20" s="57"/>
      <c r="F20" s="58" t="s">
        <v>24</v>
      </c>
      <c r="G20" s="52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33.0" customHeight="1">
      <c r="A21" s="33" t="s">
        <v>25</v>
      </c>
      <c r="B21" s="27"/>
      <c r="C21" s="60" t="s">
        <v>8</v>
      </c>
      <c r="D21" s="60" t="s">
        <v>9</v>
      </c>
      <c r="E21" s="60" t="s">
        <v>10</v>
      </c>
      <c r="F21" s="61" t="s">
        <v>11</v>
      </c>
      <c r="G21" s="52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36" t="s">
        <v>12</v>
      </c>
      <c r="B22" s="37"/>
      <c r="C22" s="38"/>
      <c r="D22" s="39"/>
      <c r="E22" s="40"/>
      <c r="F22" s="63" t="s">
        <v>13</v>
      </c>
      <c r="G22" s="52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2" t="s">
        <v>14</v>
      </c>
      <c r="B23" s="43" t="s">
        <v>15</v>
      </c>
      <c r="C23" s="50">
        <v>897.0</v>
      </c>
      <c r="D23" s="45">
        <v>24997.61</v>
      </c>
      <c r="E23" s="46">
        <v>26240.83</v>
      </c>
      <c r="F23" s="63" t="s">
        <v>26</v>
      </c>
      <c r="G23" s="52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2.75" customHeight="1">
      <c r="A24" s="48" t="s">
        <v>27</v>
      </c>
      <c r="B24" s="49"/>
      <c r="C24" s="50"/>
      <c r="D24" s="45"/>
      <c r="E24" s="46"/>
      <c r="F24" s="64" t="s">
        <v>28</v>
      </c>
      <c r="G24" s="52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2.75" customHeight="1">
      <c r="A25" s="53"/>
      <c r="B25" s="54"/>
      <c r="C25" s="55"/>
      <c r="D25" s="56"/>
      <c r="E25" s="57"/>
      <c r="F25" s="58" t="s">
        <v>29</v>
      </c>
      <c r="G25" s="52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2.75" customHeight="1">
      <c r="A26" s="33" t="s">
        <v>30</v>
      </c>
      <c r="B26" s="27"/>
      <c r="C26" s="59" t="s">
        <v>8</v>
      </c>
      <c r="D26" s="60" t="s">
        <v>9</v>
      </c>
      <c r="E26" s="60" t="s">
        <v>10</v>
      </c>
      <c r="F26" s="61" t="s">
        <v>11</v>
      </c>
      <c r="G26" s="52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2.75" customHeight="1">
      <c r="A27" s="36" t="s">
        <v>12</v>
      </c>
      <c r="B27" s="37"/>
      <c r="C27" s="65"/>
      <c r="D27" s="40"/>
      <c r="E27" s="40"/>
      <c r="F27" s="63" t="s">
        <v>13</v>
      </c>
      <c r="G27" s="52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2.75" customHeight="1">
      <c r="A28" s="42" t="s">
        <v>14</v>
      </c>
      <c r="B28" s="43" t="s">
        <v>15</v>
      </c>
      <c r="C28" s="66">
        <v>871.0</v>
      </c>
      <c r="D28" s="46">
        <v>25003.81</v>
      </c>
      <c r="E28" s="46">
        <v>26189.87</v>
      </c>
      <c r="F28" s="63" t="s">
        <v>31</v>
      </c>
      <c r="G28" s="52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2.75" customHeight="1">
      <c r="A29" s="48" t="s">
        <v>32</v>
      </c>
      <c r="B29" s="49"/>
      <c r="C29" s="66"/>
      <c r="D29" s="46"/>
      <c r="E29" s="46"/>
      <c r="F29" s="64" t="s">
        <v>33</v>
      </c>
      <c r="G29" s="52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2.75" customHeight="1">
      <c r="A30" s="53"/>
      <c r="B30" s="54"/>
      <c r="C30" s="67"/>
      <c r="D30" s="57"/>
      <c r="E30" s="57"/>
      <c r="F30" s="58" t="s">
        <v>34</v>
      </c>
      <c r="G30" s="52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8.75" customHeight="1">
      <c r="A31" s="33" t="s">
        <v>35</v>
      </c>
      <c r="B31" s="27"/>
      <c r="C31" s="59" t="s">
        <v>8</v>
      </c>
      <c r="D31" s="60" t="s">
        <v>9</v>
      </c>
      <c r="E31" s="60" t="s">
        <v>10</v>
      </c>
      <c r="F31" s="61" t="s">
        <v>11</v>
      </c>
      <c r="G31" s="52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8.75" customHeight="1">
      <c r="A32" s="36" t="s">
        <v>12</v>
      </c>
      <c r="B32" s="37"/>
      <c r="C32" s="62"/>
      <c r="D32" s="39"/>
      <c r="E32" s="40"/>
      <c r="F32" s="63" t="s">
        <v>13</v>
      </c>
      <c r="G32" s="52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2" t="s">
        <v>14</v>
      </c>
      <c r="B33" s="43" t="s">
        <v>15</v>
      </c>
      <c r="C33" s="45">
        <v>846.0</v>
      </c>
      <c r="D33" s="45">
        <v>25010.86</v>
      </c>
      <c r="E33" s="46">
        <v>26167.29</v>
      </c>
      <c r="F33" s="63" t="s">
        <v>36</v>
      </c>
      <c r="G33" s="52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8" t="s">
        <v>37</v>
      </c>
      <c r="B34" s="49"/>
      <c r="C34" s="44"/>
      <c r="D34" s="45"/>
      <c r="E34" s="46"/>
      <c r="F34" s="64" t="s">
        <v>38</v>
      </c>
      <c r="G34" s="52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53"/>
      <c r="B35" s="54"/>
      <c r="C35" s="55"/>
      <c r="D35" s="56"/>
      <c r="E35" s="57"/>
      <c r="F35" s="58" t="s">
        <v>39</v>
      </c>
      <c r="G35" s="52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2.75" customHeight="1">
      <c r="A36" s="33" t="s">
        <v>40</v>
      </c>
      <c r="B36" s="27"/>
      <c r="C36" s="59" t="s">
        <v>8</v>
      </c>
      <c r="D36" s="60" t="s">
        <v>9</v>
      </c>
      <c r="E36" s="60" t="s">
        <v>10</v>
      </c>
      <c r="F36" s="61" t="s">
        <v>11</v>
      </c>
      <c r="G36" s="52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2.75" customHeight="1">
      <c r="A37" s="36" t="s">
        <v>12</v>
      </c>
      <c r="B37" s="37"/>
      <c r="C37" s="62"/>
      <c r="D37" s="39"/>
      <c r="E37" s="40"/>
      <c r="F37" s="63" t="s">
        <v>13</v>
      </c>
      <c r="G37" s="52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2.75" customHeight="1">
      <c r="A38" s="42" t="s">
        <v>14</v>
      </c>
      <c r="B38" s="43" t="s">
        <v>15</v>
      </c>
      <c r="C38" s="50">
        <v>844.0</v>
      </c>
      <c r="D38" s="45">
        <v>25020.12</v>
      </c>
      <c r="E38" s="46">
        <v>26170.68</v>
      </c>
      <c r="F38" s="63" t="s">
        <v>41</v>
      </c>
      <c r="G38" s="52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2.75" customHeight="1">
      <c r="A39" s="48" t="s">
        <v>42</v>
      </c>
      <c r="B39" s="49"/>
      <c r="C39" s="50"/>
      <c r="D39" s="45"/>
      <c r="E39" s="46"/>
      <c r="F39" s="64" t="s">
        <v>43</v>
      </c>
      <c r="G39" s="52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2.75" customHeight="1">
      <c r="A40" s="53"/>
      <c r="B40" s="54"/>
      <c r="C40" s="55"/>
      <c r="D40" s="56"/>
      <c r="E40" s="57"/>
      <c r="F40" s="58" t="s">
        <v>44</v>
      </c>
      <c r="G40" s="52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8.75" customHeight="1">
      <c r="A41" s="33" t="s">
        <v>45</v>
      </c>
      <c r="B41" s="27"/>
      <c r="C41" s="59" t="s">
        <v>8</v>
      </c>
      <c r="D41" s="60" t="s">
        <v>9</v>
      </c>
      <c r="E41" s="60" t="s">
        <v>10</v>
      </c>
      <c r="F41" s="61" t="s">
        <v>11</v>
      </c>
      <c r="G41" s="52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6.5" customHeight="1">
      <c r="A42" s="36" t="s">
        <v>12</v>
      </c>
      <c r="B42" s="37"/>
      <c r="C42" s="39"/>
      <c r="D42" s="39"/>
      <c r="E42" s="40"/>
      <c r="F42" s="63" t="s">
        <v>13</v>
      </c>
      <c r="G42" s="52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2" t="s">
        <v>14</v>
      </c>
      <c r="B43" s="43" t="s">
        <v>15</v>
      </c>
      <c r="C43" s="44">
        <v>848.0</v>
      </c>
      <c r="D43" s="45">
        <v>25005.74</v>
      </c>
      <c r="E43" s="46">
        <v>26134.95</v>
      </c>
      <c r="F43" s="63" t="s">
        <v>46</v>
      </c>
      <c r="G43" s="52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8" t="s">
        <v>47</v>
      </c>
      <c r="B44" s="49"/>
      <c r="C44" s="50"/>
      <c r="D44" s="45"/>
      <c r="E44" s="46"/>
      <c r="F44" s="64" t="s">
        <v>48</v>
      </c>
      <c r="G44" s="52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2.75" customHeight="1">
      <c r="A45" s="53"/>
      <c r="B45" s="54"/>
      <c r="C45" s="55"/>
      <c r="D45" s="56"/>
      <c r="E45" s="57"/>
      <c r="F45" s="58" t="s">
        <v>49</v>
      </c>
      <c r="G45" s="52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2.75" customHeight="1">
      <c r="A46" s="33" t="s">
        <v>50</v>
      </c>
      <c r="B46" s="27"/>
      <c r="C46" s="59" t="s">
        <v>8</v>
      </c>
      <c r="D46" s="60" t="s">
        <v>9</v>
      </c>
      <c r="E46" s="60" t="s">
        <v>10</v>
      </c>
      <c r="F46" s="61" t="s">
        <v>11</v>
      </c>
      <c r="G46" s="52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2.75" customHeight="1">
      <c r="A47" s="36" t="s">
        <v>12</v>
      </c>
      <c r="B47" s="37"/>
      <c r="C47" s="62"/>
      <c r="D47" s="39"/>
      <c r="E47" s="40"/>
      <c r="F47" s="63" t="s">
        <v>13</v>
      </c>
      <c r="G47" s="52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2.75" customHeight="1">
      <c r="A48" s="42" t="s">
        <v>14</v>
      </c>
      <c r="B48" s="43" t="s">
        <v>15</v>
      </c>
      <c r="C48" s="50">
        <v>844.0</v>
      </c>
      <c r="D48" s="45">
        <v>25014.63</v>
      </c>
      <c r="E48" s="46">
        <v>26150.92</v>
      </c>
      <c r="F48" s="63" t="s">
        <v>51</v>
      </c>
      <c r="G48" s="52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0" customHeight="1">
      <c r="A49" s="48" t="s">
        <v>52</v>
      </c>
      <c r="B49" s="49"/>
      <c r="C49" s="50"/>
      <c r="D49" s="45"/>
      <c r="E49" s="46"/>
      <c r="F49" s="64" t="s">
        <v>53</v>
      </c>
      <c r="G49" s="52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8.75" customHeight="1">
      <c r="A50" s="53"/>
      <c r="B50" s="54"/>
      <c r="C50" s="55"/>
      <c r="D50" s="56"/>
      <c r="E50" s="57"/>
      <c r="F50" s="58" t="s">
        <v>54</v>
      </c>
      <c r="G50" s="52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33.0" customHeight="1">
      <c r="A51" s="33" t="s">
        <v>55</v>
      </c>
      <c r="B51" s="27"/>
      <c r="C51" s="60" t="s">
        <v>8</v>
      </c>
      <c r="D51" s="60" t="s">
        <v>9</v>
      </c>
      <c r="E51" s="60" t="s">
        <v>10</v>
      </c>
      <c r="F51" s="61" t="s">
        <v>11</v>
      </c>
      <c r="G51" s="52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75" customHeight="1">
      <c r="A52" s="36" t="s">
        <v>12</v>
      </c>
      <c r="B52" s="37"/>
      <c r="C52" s="38"/>
      <c r="D52" s="39"/>
      <c r="E52" s="40"/>
      <c r="F52" s="63" t="s">
        <v>13</v>
      </c>
      <c r="G52" s="52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2.75" customHeight="1">
      <c r="A53" s="42" t="s">
        <v>14</v>
      </c>
      <c r="B53" s="43" t="s">
        <v>15</v>
      </c>
      <c r="C53" s="50">
        <v>841.0</v>
      </c>
      <c r="D53" s="45">
        <v>25001.09</v>
      </c>
      <c r="E53" s="46">
        <v>26124.56</v>
      </c>
      <c r="F53" s="63" t="s">
        <v>56</v>
      </c>
      <c r="G53" s="52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2.75" customHeight="1">
      <c r="A54" s="48" t="s">
        <v>57</v>
      </c>
      <c r="B54" s="49"/>
      <c r="C54" s="50"/>
      <c r="D54" s="45"/>
      <c r="E54" s="46"/>
      <c r="F54" s="64" t="s">
        <v>58</v>
      </c>
      <c r="G54" s="52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2.75" customHeight="1">
      <c r="A55" s="53"/>
      <c r="B55" s="54"/>
      <c r="C55" s="55"/>
      <c r="D55" s="56"/>
      <c r="E55" s="57"/>
      <c r="F55" s="58" t="s">
        <v>59</v>
      </c>
      <c r="G55" s="52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2.75" customHeight="1">
      <c r="A56" s="33" t="s">
        <v>60</v>
      </c>
      <c r="B56" s="27"/>
      <c r="C56" s="59" t="s">
        <v>8</v>
      </c>
      <c r="D56" s="60" t="s">
        <v>9</v>
      </c>
      <c r="E56" s="60" t="s">
        <v>10</v>
      </c>
      <c r="F56" s="61" t="s">
        <v>11</v>
      </c>
      <c r="G56" s="52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2.75" customHeight="1">
      <c r="A57" s="36" t="s">
        <v>12</v>
      </c>
      <c r="B57" s="37"/>
      <c r="C57" s="62"/>
      <c r="D57" s="39"/>
      <c r="E57" s="40"/>
      <c r="F57" s="63" t="s">
        <v>13</v>
      </c>
      <c r="G57" s="52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2.75" customHeight="1">
      <c r="A58" s="42" t="s">
        <v>14</v>
      </c>
      <c r="B58" s="43" t="s">
        <v>15</v>
      </c>
      <c r="C58" s="50">
        <v>858.0</v>
      </c>
      <c r="D58" s="45">
        <v>25006.6</v>
      </c>
      <c r="E58" s="46">
        <v>26167.01</v>
      </c>
      <c r="F58" s="63" t="s">
        <v>61</v>
      </c>
      <c r="G58" s="52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2.75" customHeight="1">
      <c r="A59" s="48" t="s">
        <v>62</v>
      </c>
      <c r="B59" s="49"/>
      <c r="C59" s="50"/>
      <c r="D59" s="45"/>
      <c r="E59" s="46"/>
      <c r="F59" s="64" t="s">
        <v>63</v>
      </c>
      <c r="G59" s="52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8.75" customHeight="1">
      <c r="A60" s="53"/>
      <c r="B60" s="54"/>
      <c r="C60" s="55"/>
      <c r="D60" s="56"/>
      <c r="E60" s="57"/>
      <c r="F60" s="58" t="s">
        <v>64</v>
      </c>
      <c r="G60" s="52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33.0" customHeight="1">
      <c r="A61" s="33" t="s">
        <v>65</v>
      </c>
      <c r="B61" s="27"/>
      <c r="C61" s="60" t="s">
        <v>8</v>
      </c>
      <c r="D61" s="60" t="s">
        <v>9</v>
      </c>
      <c r="E61" s="60" t="s">
        <v>10</v>
      </c>
      <c r="F61" s="61" t="s">
        <v>11</v>
      </c>
      <c r="G61" s="52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2.75" customHeight="1">
      <c r="A62" s="36" t="s">
        <v>12</v>
      </c>
      <c r="B62" s="37"/>
      <c r="C62" s="38"/>
      <c r="D62" s="39"/>
      <c r="E62" s="40"/>
      <c r="F62" s="63" t="s">
        <v>13</v>
      </c>
      <c r="G62" s="52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2.75" customHeight="1">
      <c r="A63" s="42" t="s">
        <v>14</v>
      </c>
      <c r="B63" s="43" t="s">
        <v>15</v>
      </c>
      <c r="C63" s="50">
        <v>836.0</v>
      </c>
      <c r="D63" s="45">
        <v>24995.47</v>
      </c>
      <c r="E63" s="46">
        <v>26120.96</v>
      </c>
      <c r="F63" s="63" t="s">
        <v>66</v>
      </c>
      <c r="G63" s="52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2.75" customHeight="1">
      <c r="A64" s="48" t="s">
        <v>67</v>
      </c>
      <c r="B64" s="49"/>
      <c r="C64" s="50"/>
      <c r="D64" s="45"/>
      <c r="E64" s="46"/>
      <c r="F64" s="64" t="s">
        <v>68</v>
      </c>
      <c r="G64" s="52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53"/>
      <c r="B65" s="54"/>
      <c r="C65" s="55"/>
      <c r="D65" s="56"/>
      <c r="E65" s="57"/>
      <c r="F65" s="58" t="s">
        <v>69</v>
      </c>
      <c r="G65" s="52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2.75" customHeight="1">
      <c r="A66" s="33" t="s">
        <v>70</v>
      </c>
      <c r="B66" s="27"/>
      <c r="C66" s="59" t="s">
        <v>8</v>
      </c>
      <c r="D66" s="60" t="s">
        <v>9</v>
      </c>
      <c r="E66" s="60" t="s">
        <v>10</v>
      </c>
      <c r="F66" s="61" t="s">
        <v>11</v>
      </c>
      <c r="G66" s="52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2.75" customHeight="1">
      <c r="A67" s="36" t="s">
        <v>12</v>
      </c>
      <c r="B67" s="37"/>
      <c r="C67" s="62"/>
      <c r="D67" s="39"/>
      <c r="E67" s="40"/>
      <c r="F67" s="63" t="s">
        <v>13</v>
      </c>
      <c r="G67" s="52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2.75" customHeight="1">
      <c r="A68" s="42" t="s">
        <v>14</v>
      </c>
      <c r="B68" s="43" t="s">
        <v>15</v>
      </c>
      <c r="C68" s="50">
        <v>812.0</v>
      </c>
      <c r="D68" s="45">
        <v>25015.7</v>
      </c>
      <c r="E68" s="46">
        <v>26195.95</v>
      </c>
      <c r="F68" s="63" t="s">
        <v>71</v>
      </c>
      <c r="G68" s="52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6.5" customHeight="1">
      <c r="A69" s="48" t="s">
        <v>72</v>
      </c>
      <c r="B69" s="49"/>
      <c r="C69" s="50"/>
      <c r="D69" s="45"/>
      <c r="E69" s="46"/>
      <c r="F69" s="64" t="s">
        <v>73</v>
      </c>
      <c r="G69" s="52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53"/>
      <c r="B70" s="54"/>
      <c r="C70" s="55"/>
      <c r="D70" s="56"/>
      <c r="E70" s="57"/>
      <c r="F70" s="58" t="s">
        <v>74</v>
      </c>
      <c r="G70" s="52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26.25" customHeight="1">
      <c r="A71" s="33" t="s">
        <v>75</v>
      </c>
      <c r="B71" s="27"/>
      <c r="C71" s="60" t="s">
        <v>8</v>
      </c>
      <c r="D71" s="60" t="s">
        <v>9</v>
      </c>
      <c r="E71" s="60" t="s">
        <v>10</v>
      </c>
      <c r="F71" s="61" t="s">
        <v>11</v>
      </c>
      <c r="G71" s="52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75" customHeight="1">
      <c r="A72" s="36" t="s">
        <v>12</v>
      </c>
      <c r="B72" s="37"/>
      <c r="C72" s="68"/>
      <c r="D72" s="40"/>
      <c r="E72" s="40"/>
      <c r="F72" s="63" t="s">
        <v>13</v>
      </c>
      <c r="G72" s="52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.75" customHeight="1">
      <c r="A73" s="42" t="s">
        <v>14</v>
      </c>
      <c r="B73" s="43" t="s">
        <v>15</v>
      </c>
      <c r="C73" s="66">
        <v>868.0</v>
      </c>
      <c r="D73" s="46">
        <v>25006.32</v>
      </c>
      <c r="E73" s="46">
        <v>26144.12</v>
      </c>
      <c r="F73" s="63" t="s">
        <v>76</v>
      </c>
      <c r="G73" s="52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2.75" customHeight="1">
      <c r="A74" s="48" t="s">
        <v>77</v>
      </c>
      <c r="B74" s="49"/>
      <c r="C74" s="66"/>
      <c r="D74" s="46"/>
      <c r="E74" s="46"/>
      <c r="F74" s="64" t="s">
        <v>78</v>
      </c>
      <c r="G74" s="52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75" customHeight="1">
      <c r="A75" s="53"/>
      <c r="B75" s="54"/>
      <c r="C75" s="67"/>
      <c r="D75" s="57"/>
      <c r="E75" s="57"/>
      <c r="F75" s="58" t="s">
        <v>79</v>
      </c>
      <c r="G75" s="52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2.75" customHeight="1">
      <c r="A76" s="69" t="s">
        <v>80</v>
      </c>
      <c r="B76" s="70"/>
      <c r="C76" s="59" t="s">
        <v>8</v>
      </c>
      <c r="D76" s="60" t="s">
        <v>9</v>
      </c>
      <c r="E76" s="60" t="s">
        <v>10</v>
      </c>
      <c r="F76" s="61" t="s">
        <v>11</v>
      </c>
      <c r="G76" s="52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75" customHeight="1">
      <c r="A77" s="36" t="s">
        <v>12</v>
      </c>
      <c r="B77" s="37"/>
      <c r="C77" s="71"/>
      <c r="D77" s="72"/>
      <c r="E77" s="72"/>
      <c r="F77" s="63" t="s">
        <v>13</v>
      </c>
      <c r="G77" s="52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2.75" customHeight="1">
      <c r="A78" s="42" t="s">
        <v>14</v>
      </c>
      <c r="B78" s="43" t="s">
        <v>15</v>
      </c>
      <c r="C78" s="66">
        <v>879.0</v>
      </c>
      <c r="D78" s="46">
        <v>24990.77</v>
      </c>
      <c r="E78" s="46">
        <v>26187.92</v>
      </c>
      <c r="F78" s="63" t="s">
        <v>81</v>
      </c>
      <c r="G78" s="52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customHeight="1">
      <c r="A79" s="48" t="s">
        <v>82</v>
      </c>
      <c r="B79" s="49"/>
      <c r="C79" s="66"/>
      <c r="D79" s="46"/>
      <c r="E79" s="46"/>
      <c r="F79" s="64" t="s">
        <v>83</v>
      </c>
      <c r="G79" s="52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0" customHeight="1">
      <c r="A80" s="53"/>
      <c r="B80" s="73"/>
      <c r="C80" s="74"/>
      <c r="D80" s="75"/>
      <c r="E80" s="75"/>
      <c r="F80" s="58" t="s">
        <v>84</v>
      </c>
      <c r="G80" s="52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22.5" customHeight="1">
      <c r="A81" s="69" t="s">
        <v>85</v>
      </c>
      <c r="B81" s="76"/>
      <c r="C81" s="59" t="s">
        <v>8</v>
      </c>
      <c r="D81" s="60" t="s">
        <v>9</v>
      </c>
      <c r="E81" s="60" t="s">
        <v>10</v>
      </c>
      <c r="F81" s="61" t="s">
        <v>11</v>
      </c>
      <c r="G81" s="52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36" t="s">
        <v>12</v>
      </c>
      <c r="B82" s="37"/>
      <c r="C82" s="77"/>
      <c r="D82" s="78"/>
      <c r="E82" s="72"/>
      <c r="F82" s="63" t="s">
        <v>13</v>
      </c>
      <c r="G82" s="52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customHeight="1">
      <c r="A83" s="42" t="s">
        <v>14</v>
      </c>
      <c r="B83" s="43" t="s">
        <v>15</v>
      </c>
      <c r="C83" s="50">
        <v>866.0</v>
      </c>
      <c r="D83" s="45">
        <v>25002.24</v>
      </c>
      <c r="E83" s="46">
        <v>26248.34</v>
      </c>
      <c r="F83" s="63" t="s">
        <v>86</v>
      </c>
      <c r="G83" s="52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2.0" customHeight="1">
      <c r="A84" s="48" t="s">
        <v>87</v>
      </c>
      <c r="B84" s="49"/>
      <c r="C84" s="45"/>
      <c r="D84" s="45"/>
      <c r="E84" s="46"/>
      <c r="F84" s="64" t="s">
        <v>88</v>
      </c>
      <c r="G84" s="52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2.75" customHeight="1">
      <c r="A85" s="53"/>
      <c r="B85" s="73"/>
      <c r="C85" s="79"/>
      <c r="D85" s="80"/>
      <c r="E85" s="75"/>
      <c r="F85" s="58" t="s">
        <v>89</v>
      </c>
      <c r="G85" s="52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2.75" customHeight="1">
      <c r="A86" s="69" t="s">
        <v>90</v>
      </c>
      <c r="B86" s="76"/>
      <c r="C86" s="59" t="s">
        <v>8</v>
      </c>
      <c r="D86" s="60" t="s">
        <v>9</v>
      </c>
      <c r="E86" s="60" t="s">
        <v>10</v>
      </c>
      <c r="F86" s="61" t="s">
        <v>11</v>
      </c>
      <c r="G86" s="52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2.75" customHeight="1">
      <c r="A87" s="36" t="s">
        <v>12</v>
      </c>
      <c r="B87" s="37"/>
      <c r="C87" s="77"/>
      <c r="D87" s="78"/>
      <c r="E87" s="72"/>
      <c r="F87" s="63" t="s">
        <v>13</v>
      </c>
      <c r="G87" s="52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2.75" customHeight="1">
      <c r="A88" s="42" t="s">
        <v>14</v>
      </c>
      <c r="B88" s="43" t="s">
        <v>15</v>
      </c>
      <c r="C88" s="50">
        <v>902.0</v>
      </c>
      <c r="D88" s="45">
        <v>24987.94</v>
      </c>
      <c r="E88" s="46">
        <v>26096.24</v>
      </c>
      <c r="F88" s="63" t="s">
        <v>91</v>
      </c>
      <c r="G88" s="52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2.75" customHeight="1">
      <c r="A89" s="48" t="s">
        <v>92</v>
      </c>
      <c r="B89" s="49"/>
      <c r="C89" s="50"/>
      <c r="D89" s="45"/>
      <c r="E89" s="46"/>
      <c r="F89" s="64" t="s">
        <v>93</v>
      </c>
      <c r="G89" s="52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2.75" customHeight="1">
      <c r="A90" s="53"/>
      <c r="B90" s="73"/>
      <c r="C90" s="81"/>
      <c r="D90" s="80"/>
      <c r="E90" s="75"/>
      <c r="F90" s="58" t="s">
        <v>94</v>
      </c>
      <c r="G90" s="52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2.75" customHeight="1">
      <c r="A91" s="69" t="s">
        <v>95</v>
      </c>
      <c r="B91" s="76"/>
      <c r="C91" s="59" t="s">
        <v>8</v>
      </c>
      <c r="D91" s="60" t="s">
        <v>9</v>
      </c>
      <c r="E91" s="60" t="s">
        <v>10</v>
      </c>
      <c r="F91" s="61" t="s">
        <v>11</v>
      </c>
      <c r="G91" s="52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7.25" customHeight="1">
      <c r="A92" s="36" t="s">
        <v>12</v>
      </c>
      <c r="B92" s="37"/>
      <c r="C92" s="77"/>
      <c r="D92" s="78"/>
      <c r="E92" s="72"/>
      <c r="F92" s="63" t="s">
        <v>13</v>
      </c>
      <c r="G92" s="52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0" customHeight="1">
      <c r="A93" s="42" t="s">
        <v>14</v>
      </c>
      <c r="B93" s="43" t="s">
        <v>15</v>
      </c>
      <c r="C93" s="50">
        <v>906.0</v>
      </c>
      <c r="D93" s="45">
        <v>25001.98</v>
      </c>
      <c r="E93" s="46">
        <v>26283.58</v>
      </c>
      <c r="F93" s="63" t="s">
        <v>96</v>
      </c>
      <c r="G93" s="52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8" t="s">
        <v>97</v>
      </c>
      <c r="B94" s="49"/>
      <c r="C94" s="44"/>
      <c r="D94" s="45"/>
      <c r="E94" s="46"/>
      <c r="F94" s="64" t="s">
        <v>98</v>
      </c>
      <c r="G94" s="52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53"/>
      <c r="B95" s="73"/>
      <c r="C95" s="81"/>
      <c r="D95" s="80"/>
      <c r="E95" s="75"/>
      <c r="F95" s="58" t="s">
        <v>99</v>
      </c>
      <c r="G95" s="52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2.75" customHeight="1">
      <c r="A96" s="69" t="s">
        <v>100</v>
      </c>
      <c r="B96" s="76"/>
      <c r="C96" s="59" t="s">
        <v>8</v>
      </c>
      <c r="D96" s="60" t="s">
        <v>9</v>
      </c>
      <c r="E96" s="60" t="s">
        <v>10</v>
      </c>
      <c r="F96" s="61" t="s">
        <v>11</v>
      </c>
      <c r="G96" s="52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2.75" customHeight="1">
      <c r="A97" s="36" t="s">
        <v>12</v>
      </c>
      <c r="B97" s="37"/>
      <c r="C97" s="77"/>
      <c r="D97" s="78"/>
      <c r="E97" s="72"/>
      <c r="F97" s="63" t="s">
        <v>13</v>
      </c>
      <c r="G97" s="52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2.75" customHeight="1">
      <c r="A98" s="42" t="s">
        <v>14</v>
      </c>
      <c r="B98" s="43" t="s">
        <v>15</v>
      </c>
      <c r="C98" s="50">
        <v>892.0</v>
      </c>
      <c r="D98" s="45">
        <v>25008.32</v>
      </c>
      <c r="E98" s="46">
        <v>26127.81</v>
      </c>
      <c r="F98" s="63" t="s">
        <v>101</v>
      </c>
      <c r="G98" s="52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75" customHeight="1">
      <c r="A99" s="48" t="s">
        <v>102</v>
      </c>
      <c r="B99" s="49"/>
      <c r="C99" s="50"/>
      <c r="D99" s="45"/>
      <c r="E99" s="46"/>
      <c r="F99" s="64" t="s">
        <v>103</v>
      </c>
      <c r="G99" s="52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0" customHeight="1">
      <c r="A100" s="53"/>
      <c r="B100" s="73"/>
      <c r="C100" s="81"/>
      <c r="D100" s="80"/>
      <c r="E100" s="75"/>
      <c r="F100" s="58" t="s">
        <v>104</v>
      </c>
      <c r="G100" s="52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8.75" customHeight="1">
      <c r="A101" s="69" t="s">
        <v>105</v>
      </c>
      <c r="B101" s="76"/>
      <c r="C101" s="59" t="s">
        <v>8</v>
      </c>
      <c r="D101" s="60" t="s">
        <v>9</v>
      </c>
      <c r="E101" s="60" t="s">
        <v>10</v>
      </c>
      <c r="F101" s="61" t="s">
        <v>11</v>
      </c>
      <c r="G101" s="52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8.0" customHeight="1">
      <c r="A102" s="36" t="s">
        <v>12</v>
      </c>
      <c r="B102" s="37"/>
      <c r="C102" s="78"/>
      <c r="D102" s="78"/>
      <c r="E102" s="72"/>
      <c r="F102" s="63" t="s">
        <v>13</v>
      </c>
      <c r="G102" s="52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.75" customHeight="1">
      <c r="A103" s="42" t="s">
        <v>14</v>
      </c>
      <c r="B103" s="43" t="s">
        <v>15</v>
      </c>
      <c r="C103" s="44">
        <v>903.0</v>
      </c>
      <c r="D103" s="45">
        <v>24992.04</v>
      </c>
      <c r="E103" s="46">
        <v>26083.77</v>
      </c>
      <c r="F103" s="63" t="s">
        <v>106</v>
      </c>
      <c r="G103" s="52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2.75" customHeight="1">
      <c r="A104" s="48" t="s">
        <v>107</v>
      </c>
      <c r="B104" s="49"/>
      <c r="C104" s="44"/>
      <c r="D104" s="45"/>
      <c r="E104" s="46"/>
      <c r="F104" s="64" t="s">
        <v>108</v>
      </c>
      <c r="G104" s="52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2.75" customHeight="1">
      <c r="A105" s="53"/>
      <c r="B105" s="73"/>
      <c r="C105" s="81"/>
      <c r="D105" s="80"/>
      <c r="E105" s="75"/>
      <c r="F105" s="58" t="s">
        <v>109</v>
      </c>
      <c r="G105" s="52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2.75" customHeight="1">
      <c r="A106" s="69" t="s">
        <v>110</v>
      </c>
      <c r="B106" s="76"/>
      <c r="C106" s="59" t="s">
        <v>8</v>
      </c>
      <c r="D106" s="60" t="s">
        <v>9</v>
      </c>
      <c r="E106" s="60" t="s">
        <v>10</v>
      </c>
      <c r="F106" s="61" t="s">
        <v>11</v>
      </c>
      <c r="G106" s="52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2.75" customHeight="1">
      <c r="A107" s="36" t="s">
        <v>12</v>
      </c>
      <c r="B107" s="37"/>
      <c r="C107" s="77"/>
      <c r="D107" s="78"/>
      <c r="E107" s="72"/>
      <c r="F107" s="63" t="s">
        <v>13</v>
      </c>
      <c r="G107" s="52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0" customHeight="1">
      <c r="A108" s="42" t="s">
        <v>14</v>
      </c>
      <c r="B108" s="43" t="s">
        <v>15</v>
      </c>
      <c r="C108" s="50">
        <v>976.0</v>
      </c>
      <c r="D108" s="45">
        <v>24512.52</v>
      </c>
      <c r="E108" s="46">
        <v>25771.83</v>
      </c>
      <c r="F108" s="63" t="s">
        <v>111</v>
      </c>
      <c r="G108" s="52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2.75" customHeight="1">
      <c r="A109" s="48" t="s">
        <v>112</v>
      </c>
      <c r="B109" s="49"/>
      <c r="C109" s="50"/>
      <c r="D109" s="45"/>
      <c r="E109" s="46"/>
      <c r="F109" s="64" t="s">
        <v>113</v>
      </c>
      <c r="G109" s="52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3.5" customHeight="1">
      <c r="A110" s="53"/>
      <c r="B110" s="73"/>
      <c r="C110" s="81"/>
      <c r="D110" s="80"/>
      <c r="E110" s="75"/>
      <c r="F110" s="58" t="s">
        <v>114</v>
      </c>
      <c r="G110" s="52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21.75" customHeight="1">
      <c r="A111" s="69" t="s">
        <v>115</v>
      </c>
      <c r="B111" s="76"/>
      <c r="C111" s="60" t="s">
        <v>8</v>
      </c>
      <c r="D111" s="60" t="s">
        <v>9</v>
      </c>
      <c r="E111" s="60" t="s">
        <v>10</v>
      </c>
      <c r="F111" s="61" t="s">
        <v>11</v>
      </c>
      <c r="G111" s="52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2.75" customHeight="1">
      <c r="A112" s="36" t="s">
        <v>12</v>
      </c>
      <c r="B112" s="37"/>
      <c r="C112" s="82"/>
      <c r="D112" s="72"/>
      <c r="E112" s="72"/>
      <c r="F112" s="63" t="s">
        <v>13</v>
      </c>
      <c r="G112" s="52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2.75" customHeight="1">
      <c r="A113" s="42" t="s">
        <v>14</v>
      </c>
      <c r="B113" s="43" t="s">
        <v>15</v>
      </c>
      <c r="C113" s="66">
        <v>896.0</v>
      </c>
      <c r="D113" s="46">
        <v>25003.87</v>
      </c>
      <c r="E113" s="46">
        <v>26294.14</v>
      </c>
      <c r="F113" s="63" t="s">
        <v>116</v>
      </c>
      <c r="G113" s="52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2.75" customHeight="1">
      <c r="A114" s="48" t="s">
        <v>117</v>
      </c>
      <c r="B114" s="49"/>
      <c r="C114" s="66"/>
      <c r="D114" s="46"/>
      <c r="E114" s="46"/>
      <c r="F114" s="64" t="s">
        <v>118</v>
      </c>
      <c r="G114" s="52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2.75" customHeight="1">
      <c r="A115" s="53"/>
      <c r="B115" s="73"/>
      <c r="C115" s="83"/>
      <c r="D115" s="75"/>
      <c r="E115" s="75"/>
      <c r="F115" s="58" t="s">
        <v>119</v>
      </c>
      <c r="G115" s="52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2.75" customHeight="1">
      <c r="A116" s="69" t="s">
        <v>120</v>
      </c>
      <c r="B116" s="76"/>
      <c r="C116" s="59" t="s">
        <v>8</v>
      </c>
      <c r="D116" s="60" t="s">
        <v>9</v>
      </c>
      <c r="E116" s="60" t="s">
        <v>10</v>
      </c>
      <c r="F116" s="61" t="s">
        <v>11</v>
      </c>
      <c r="G116" s="52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2.75" customHeight="1">
      <c r="A117" s="36" t="s">
        <v>12</v>
      </c>
      <c r="B117" s="37"/>
      <c r="C117" s="77"/>
      <c r="D117" s="78"/>
      <c r="E117" s="72"/>
      <c r="F117" s="63" t="s">
        <v>13</v>
      </c>
      <c r="G117" s="52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2.75" customHeight="1">
      <c r="A118" s="42" t="s">
        <v>14</v>
      </c>
      <c r="B118" s="43" t="s">
        <v>15</v>
      </c>
      <c r="C118" s="50">
        <v>894.0</v>
      </c>
      <c r="D118" s="45">
        <v>24994.78</v>
      </c>
      <c r="E118" s="46">
        <v>26246.6</v>
      </c>
      <c r="F118" s="63" t="s">
        <v>121</v>
      </c>
      <c r="G118" s="52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8.75" customHeight="1">
      <c r="A119" s="48" t="s">
        <v>122</v>
      </c>
      <c r="B119" s="49"/>
      <c r="C119" s="50"/>
      <c r="D119" s="45"/>
      <c r="E119" s="46"/>
      <c r="F119" s="64" t="s">
        <v>123</v>
      </c>
      <c r="G119" s="52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8.75" customHeight="1">
      <c r="A120" s="53"/>
      <c r="B120" s="73"/>
      <c r="C120" s="84"/>
      <c r="D120" s="80"/>
      <c r="E120" s="75"/>
      <c r="F120" s="58" t="s">
        <v>124</v>
      </c>
      <c r="G120" s="52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75" customHeight="1">
      <c r="A121" s="69" t="s">
        <v>125</v>
      </c>
      <c r="B121" s="76"/>
      <c r="C121" s="85" t="s">
        <v>8</v>
      </c>
      <c r="D121" s="60" t="s">
        <v>9</v>
      </c>
      <c r="E121" s="60" t="s">
        <v>10</v>
      </c>
      <c r="F121" s="61" t="s">
        <v>11</v>
      </c>
      <c r="G121" s="52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75" customHeight="1">
      <c r="A122" s="36" t="s">
        <v>12</v>
      </c>
      <c r="B122" s="37"/>
      <c r="C122" s="77"/>
      <c r="D122" s="78"/>
      <c r="E122" s="72"/>
      <c r="F122" s="63" t="s">
        <v>13</v>
      </c>
      <c r="G122" s="52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2.75" customHeight="1">
      <c r="A123" s="42" t="s">
        <v>14</v>
      </c>
      <c r="B123" s="43" t="s">
        <v>15</v>
      </c>
      <c r="C123" s="50">
        <v>901.0</v>
      </c>
      <c r="D123" s="45">
        <v>24999.25</v>
      </c>
      <c r="E123" s="46">
        <v>26268.71</v>
      </c>
      <c r="F123" s="63" t="s">
        <v>126</v>
      </c>
      <c r="G123" s="52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2.75" customHeight="1">
      <c r="A124" s="48" t="s">
        <v>127</v>
      </c>
      <c r="B124" s="49"/>
      <c r="C124" s="50"/>
      <c r="D124" s="45"/>
      <c r="E124" s="46"/>
      <c r="F124" s="64" t="s">
        <v>128</v>
      </c>
      <c r="G124" s="52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2.75" customHeight="1">
      <c r="A125" s="53"/>
      <c r="B125" s="73"/>
      <c r="C125" s="81"/>
      <c r="D125" s="80"/>
      <c r="E125" s="75"/>
      <c r="F125" s="58" t="s">
        <v>129</v>
      </c>
      <c r="G125" s="52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2.75" customHeight="1">
      <c r="A126" s="69" t="s">
        <v>130</v>
      </c>
      <c r="B126" s="76"/>
      <c r="C126" s="59" t="s">
        <v>8</v>
      </c>
      <c r="D126" s="60" t="s">
        <v>9</v>
      </c>
      <c r="E126" s="60" t="s">
        <v>10</v>
      </c>
      <c r="F126" s="61" t="s">
        <v>11</v>
      </c>
      <c r="G126" s="52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0" customHeight="1">
      <c r="A127" s="36" t="s">
        <v>12</v>
      </c>
      <c r="B127" s="37"/>
      <c r="C127" s="77"/>
      <c r="D127" s="78"/>
      <c r="E127" s="72"/>
      <c r="F127" s="63" t="s">
        <v>13</v>
      </c>
      <c r="G127" s="52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0" customHeight="1">
      <c r="A128" s="42" t="s">
        <v>14</v>
      </c>
      <c r="B128" s="43" t="s">
        <v>15</v>
      </c>
      <c r="C128" s="50">
        <v>890.0</v>
      </c>
      <c r="D128" s="45">
        <v>24996.84</v>
      </c>
      <c r="E128" s="46">
        <v>26212.72</v>
      </c>
      <c r="F128" s="63" t="s">
        <v>131</v>
      </c>
      <c r="G128" s="52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0" customHeight="1">
      <c r="A129" s="48" t="s">
        <v>132</v>
      </c>
      <c r="B129" s="49"/>
      <c r="C129" s="50"/>
      <c r="D129" s="45"/>
      <c r="E129" s="46"/>
      <c r="F129" s="64" t="s">
        <v>133</v>
      </c>
      <c r="G129" s="52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6.5" customHeight="1">
      <c r="A130" s="53"/>
      <c r="B130" s="73"/>
      <c r="C130" s="81"/>
      <c r="D130" s="80"/>
      <c r="E130" s="75"/>
      <c r="F130" s="58" t="s">
        <v>134</v>
      </c>
      <c r="G130" s="52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24.0" customHeight="1">
      <c r="A131" s="69" t="s">
        <v>135</v>
      </c>
      <c r="B131" s="76"/>
      <c r="C131" s="60" t="s">
        <v>8</v>
      </c>
      <c r="D131" s="60" t="s">
        <v>9</v>
      </c>
      <c r="E131" s="60" t="s">
        <v>10</v>
      </c>
      <c r="F131" s="61" t="s">
        <v>11</v>
      </c>
      <c r="G131" s="52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2.75" customHeight="1">
      <c r="A132" s="36" t="s">
        <v>12</v>
      </c>
      <c r="B132" s="37"/>
      <c r="C132" s="86"/>
      <c r="D132" s="78"/>
      <c r="E132" s="72"/>
      <c r="F132" s="63" t="s">
        <v>13</v>
      </c>
      <c r="G132" s="52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2.75" customHeight="1">
      <c r="A133" s="42" t="s">
        <v>136</v>
      </c>
      <c r="B133" s="43" t="s">
        <v>137</v>
      </c>
      <c r="C133" s="50">
        <v>847.0</v>
      </c>
      <c r="D133" s="45">
        <v>24997.32</v>
      </c>
      <c r="E133" s="46">
        <v>26242.47</v>
      </c>
      <c r="F133" s="63" t="s">
        <v>138</v>
      </c>
      <c r="G133" s="52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75" customHeight="1">
      <c r="A134" s="48" t="s">
        <v>139</v>
      </c>
      <c r="B134" s="49"/>
      <c r="C134" s="50"/>
      <c r="D134" s="45"/>
      <c r="E134" s="46"/>
      <c r="F134" s="64" t="s">
        <v>140</v>
      </c>
      <c r="G134" s="52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75" customHeight="1">
      <c r="A135" s="53"/>
      <c r="B135" s="73"/>
      <c r="C135" s="81"/>
      <c r="D135" s="80"/>
      <c r="E135" s="75"/>
      <c r="F135" s="58" t="s">
        <v>141</v>
      </c>
      <c r="G135" s="52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.75" customHeight="1">
      <c r="A136" s="69" t="s">
        <v>142</v>
      </c>
      <c r="B136" s="76"/>
      <c r="C136" s="59" t="s">
        <v>8</v>
      </c>
      <c r="D136" s="60" t="s">
        <v>9</v>
      </c>
      <c r="E136" s="60" t="s">
        <v>10</v>
      </c>
      <c r="F136" s="61" t="s">
        <v>11</v>
      </c>
      <c r="G136" s="52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.75" customHeight="1">
      <c r="A137" s="36" t="s">
        <v>12</v>
      </c>
      <c r="B137" s="37"/>
      <c r="C137" s="77"/>
      <c r="D137" s="78"/>
      <c r="E137" s="72"/>
      <c r="F137" s="63" t="s">
        <v>13</v>
      </c>
      <c r="G137" s="52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2.75" customHeight="1">
      <c r="A138" s="42" t="s">
        <v>14</v>
      </c>
      <c r="B138" s="43" t="s">
        <v>15</v>
      </c>
      <c r="C138" s="50">
        <v>861.0</v>
      </c>
      <c r="D138" s="45">
        <v>25015.34</v>
      </c>
      <c r="E138" s="46">
        <v>26177.19</v>
      </c>
      <c r="F138" s="63" t="s">
        <v>143</v>
      </c>
      <c r="G138" s="52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2.75" customHeight="1">
      <c r="A139" s="48" t="s">
        <v>144</v>
      </c>
      <c r="B139" s="49"/>
      <c r="C139" s="50"/>
      <c r="D139" s="45"/>
      <c r="E139" s="46"/>
      <c r="F139" s="64" t="s">
        <v>145</v>
      </c>
      <c r="G139" s="52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8.75" customHeight="1">
      <c r="A140" s="53"/>
      <c r="B140" s="73"/>
      <c r="C140" s="81"/>
      <c r="D140" s="80"/>
      <c r="E140" s="75"/>
      <c r="F140" s="58" t="s">
        <v>146</v>
      </c>
      <c r="G140" s="52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23.25" customHeight="1">
      <c r="A141" s="69" t="s">
        <v>147</v>
      </c>
      <c r="B141" s="76"/>
      <c r="C141" s="60" t="s">
        <v>8</v>
      </c>
      <c r="D141" s="60" t="s">
        <v>9</v>
      </c>
      <c r="E141" s="60" t="s">
        <v>10</v>
      </c>
      <c r="F141" s="61" t="s">
        <v>11</v>
      </c>
      <c r="G141" s="52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.75" customHeight="1">
      <c r="A142" s="36" t="s">
        <v>12</v>
      </c>
      <c r="B142" s="37"/>
      <c r="C142" s="86"/>
      <c r="D142" s="78"/>
      <c r="E142" s="72"/>
      <c r="F142" s="63" t="s">
        <v>13</v>
      </c>
      <c r="G142" s="52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.75" customHeight="1">
      <c r="A143" s="42" t="s">
        <v>14</v>
      </c>
      <c r="B143" s="43" t="s">
        <v>15</v>
      </c>
      <c r="C143" s="50">
        <v>862.0</v>
      </c>
      <c r="D143" s="45">
        <v>25014.2</v>
      </c>
      <c r="E143" s="46">
        <v>26136.9</v>
      </c>
      <c r="F143" s="63" t="s">
        <v>148</v>
      </c>
      <c r="G143" s="52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.75" customHeight="1">
      <c r="A144" s="48" t="s">
        <v>149</v>
      </c>
      <c r="B144" s="49"/>
      <c r="C144" s="50"/>
      <c r="D144" s="45"/>
      <c r="E144" s="46"/>
      <c r="F144" s="64" t="s">
        <v>150</v>
      </c>
      <c r="G144" s="52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.75" customHeight="1">
      <c r="A145" s="53"/>
      <c r="B145" s="73"/>
      <c r="C145" s="81"/>
      <c r="D145" s="80"/>
      <c r="E145" s="75"/>
      <c r="F145" s="58" t="s">
        <v>151</v>
      </c>
      <c r="G145" s="52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2.75" customHeight="1">
      <c r="A146" s="69" t="s">
        <v>152</v>
      </c>
      <c r="B146" s="76"/>
      <c r="C146" s="59" t="s">
        <v>8</v>
      </c>
      <c r="D146" s="60" t="s">
        <v>9</v>
      </c>
      <c r="E146" s="60" t="s">
        <v>10</v>
      </c>
      <c r="F146" s="61" t="s">
        <v>11</v>
      </c>
      <c r="G146" s="52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75" customHeight="1">
      <c r="A147" s="36" t="s">
        <v>12</v>
      </c>
      <c r="B147" s="37"/>
      <c r="C147" s="77"/>
      <c r="D147" s="78"/>
      <c r="E147" s="72"/>
      <c r="F147" s="63" t="s">
        <v>13</v>
      </c>
      <c r="G147" s="52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75" customHeight="1">
      <c r="A148" s="42" t="s">
        <v>14</v>
      </c>
      <c r="B148" s="43" t="s">
        <v>15</v>
      </c>
      <c r="C148" s="50">
        <v>874.0</v>
      </c>
      <c r="D148" s="45">
        <v>25010.37</v>
      </c>
      <c r="E148" s="46">
        <v>26273.27</v>
      </c>
      <c r="F148" s="63" t="s">
        <v>153</v>
      </c>
      <c r="G148" s="52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2.0" customHeight="1">
      <c r="A149" s="48" t="s">
        <v>154</v>
      </c>
      <c r="B149" s="49"/>
      <c r="C149" s="50"/>
      <c r="D149" s="45"/>
      <c r="E149" s="46"/>
      <c r="F149" s="64" t="s">
        <v>155</v>
      </c>
      <c r="G149" s="52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7.25" customHeight="1">
      <c r="A150" s="53"/>
      <c r="B150" s="73"/>
      <c r="C150" s="84"/>
      <c r="D150" s="80"/>
      <c r="E150" s="75"/>
      <c r="F150" s="58" t="s">
        <v>156</v>
      </c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.75" customHeight="1">
      <c r="A151" s="69" t="s">
        <v>157</v>
      </c>
      <c r="B151" s="76"/>
      <c r="C151" s="85" t="s">
        <v>8</v>
      </c>
      <c r="D151" s="60" t="s">
        <v>9</v>
      </c>
      <c r="E151" s="60" t="s">
        <v>10</v>
      </c>
      <c r="F151" s="61" t="s">
        <v>11</v>
      </c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.75" customHeight="1">
      <c r="A152" s="36" t="s">
        <v>12</v>
      </c>
      <c r="B152" s="37"/>
      <c r="C152" s="77"/>
      <c r="D152" s="78"/>
      <c r="E152" s="72"/>
      <c r="F152" s="63" t="s">
        <v>13</v>
      </c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.75" customHeight="1">
      <c r="A153" s="42" t="s">
        <v>14</v>
      </c>
      <c r="B153" s="43" t="s">
        <v>15</v>
      </c>
      <c r="C153" s="50">
        <v>861.0</v>
      </c>
      <c r="D153" s="45">
        <v>25037.36</v>
      </c>
      <c r="E153" s="46">
        <v>26299.21</v>
      </c>
      <c r="F153" s="63" t="s">
        <v>158</v>
      </c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.75" customHeight="1">
      <c r="A154" s="48" t="s">
        <v>159</v>
      </c>
      <c r="B154" s="49"/>
      <c r="C154" s="50"/>
      <c r="D154" s="45"/>
      <c r="E154" s="46"/>
      <c r="F154" s="64" t="s">
        <v>160</v>
      </c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.75" customHeight="1">
      <c r="A155" s="53"/>
      <c r="B155" s="73"/>
      <c r="C155" s="81"/>
      <c r="D155" s="80"/>
      <c r="E155" s="75"/>
      <c r="F155" s="58" t="s">
        <v>161</v>
      </c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.75" customHeight="1">
      <c r="A156" s="69" t="s">
        <v>162</v>
      </c>
      <c r="B156" s="76"/>
      <c r="C156" s="59" t="s">
        <v>8</v>
      </c>
      <c r="D156" s="60" t="s">
        <v>9</v>
      </c>
      <c r="E156" s="60" t="s">
        <v>10</v>
      </c>
      <c r="F156" s="61" t="s">
        <v>11</v>
      </c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0" customHeight="1">
      <c r="A157" s="36" t="s">
        <v>12</v>
      </c>
      <c r="B157" s="37"/>
      <c r="C157" s="77"/>
      <c r="D157" s="78"/>
      <c r="E157" s="72"/>
      <c r="F157" s="63" t="s">
        <v>13</v>
      </c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0" customHeight="1">
      <c r="A158" s="42" t="s">
        <v>14</v>
      </c>
      <c r="B158" s="43" t="s">
        <v>15</v>
      </c>
      <c r="C158" s="50">
        <v>899.0</v>
      </c>
      <c r="D158" s="45">
        <v>25009.06</v>
      </c>
      <c r="E158" s="46">
        <v>26119.04</v>
      </c>
      <c r="F158" s="63" t="s">
        <v>163</v>
      </c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8.75" customHeight="1">
      <c r="A159" s="48" t="s">
        <v>164</v>
      </c>
      <c r="B159" s="49"/>
      <c r="C159" s="50"/>
      <c r="D159" s="45"/>
      <c r="E159" s="46"/>
      <c r="F159" s="64" t="s">
        <v>165</v>
      </c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9.5" customHeight="1">
      <c r="A160" s="53"/>
      <c r="B160" s="73"/>
      <c r="C160" s="84"/>
      <c r="D160" s="80"/>
      <c r="E160" s="75"/>
      <c r="F160" s="58" t="s">
        <v>166</v>
      </c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.75" customHeight="1">
      <c r="A161" s="69" t="s">
        <v>167</v>
      </c>
      <c r="B161" s="76"/>
      <c r="C161" s="85" t="s">
        <v>8</v>
      </c>
      <c r="D161" s="60" t="s">
        <v>9</v>
      </c>
      <c r="E161" s="60" t="s">
        <v>10</v>
      </c>
      <c r="F161" s="61" t="s">
        <v>11</v>
      </c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75" customHeight="1">
      <c r="A162" s="36" t="s">
        <v>12</v>
      </c>
      <c r="B162" s="37"/>
      <c r="C162" s="77"/>
      <c r="D162" s="78"/>
      <c r="E162" s="72"/>
      <c r="F162" s="63" t="s">
        <v>13</v>
      </c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.75" customHeight="1">
      <c r="A163" s="42" t="s">
        <v>14</v>
      </c>
      <c r="B163" s="43" t="s">
        <v>15</v>
      </c>
      <c r="C163" s="50">
        <v>896.0</v>
      </c>
      <c r="D163" s="45">
        <v>24997.89</v>
      </c>
      <c r="E163" s="46">
        <v>26181.98</v>
      </c>
      <c r="F163" s="63" t="s">
        <v>168</v>
      </c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75" customHeight="1">
      <c r="A164" s="48" t="s">
        <v>169</v>
      </c>
      <c r="B164" s="49"/>
      <c r="C164" s="50"/>
      <c r="D164" s="45"/>
      <c r="E164" s="46"/>
      <c r="F164" s="64" t="s">
        <v>170</v>
      </c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75" customHeight="1">
      <c r="A165" s="53"/>
      <c r="B165" s="73"/>
      <c r="C165" s="81"/>
      <c r="D165" s="80"/>
      <c r="E165" s="75"/>
      <c r="F165" s="58" t="s">
        <v>171</v>
      </c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75" customHeight="1">
      <c r="A166" s="69" t="s">
        <v>172</v>
      </c>
      <c r="B166" s="76"/>
      <c r="C166" s="59" t="s">
        <v>8</v>
      </c>
      <c r="D166" s="60" t="s">
        <v>9</v>
      </c>
      <c r="E166" s="60" t="s">
        <v>10</v>
      </c>
      <c r="F166" s="61" t="s">
        <v>11</v>
      </c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0" customHeight="1">
      <c r="A167" s="36" t="s">
        <v>12</v>
      </c>
      <c r="B167" s="37"/>
      <c r="C167" s="77"/>
      <c r="D167" s="78"/>
      <c r="E167" s="72"/>
      <c r="F167" s="63" t="s">
        <v>13</v>
      </c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3.5" customHeight="1">
      <c r="A168" s="42" t="s">
        <v>14</v>
      </c>
      <c r="B168" s="43" t="s">
        <v>15</v>
      </c>
      <c r="C168" s="50">
        <v>979.0</v>
      </c>
      <c r="D168" s="45">
        <v>24500.27</v>
      </c>
      <c r="E168" s="46">
        <v>25612.21</v>
      </c>
      <c r="F168" s="63" t="s">
        <v>173</v>
      </c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75" customHeight="1">
      <c r="A169" s="48" t="s">
        <v>174</v>
      </c>
      <c r="B169" s="49"/>
      <c r="C169" s="50"/>
      <c r="D169" s="45"/>
      <c r="E169" s="46"/>
      <c r="F169" s="64" t="s">
        <v>175</v>
      </c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75" customHeight="1">
      <c r="A170" s="53"/>
      <c r="B170" s="73"/>
      <c r="C170" s="81"/>
      <c r="D170" s="80"/>
      <c r="E170" s="75"/>
      <c r="F170" s="58" t="s">
        <v>176</v>
      </c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0" customHeight="1">
      <c r="A171" s="69" t="s">
        <v>177</v>
      </c>
      <c r="B171" s="76"/>
      <c r="C171" s="59" t="s">
        <v>8</v>
      </c>
      <c r="D171" s="60" t="s">
        <v>9</v>
      </c>
      <c r="E171" s="60" t="s">
        <v>10</v>
      </c>
      <c r="F171" s="61" t="s">
        <v>11</v>
      </c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0" customHeight="1">
      <c r="A172" s="36" t="s">
        <v>12</v>
      </c>
      <c r="B172" s="37"/>
      <c r="C172" s="77"/>
      <c r="D172" s="78"/>
      <c r="E172" s="72"/>
      <c r="F172" s="63" t="s">
        <v>13</v>
      </c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8.75" customHeight="1">
      <c r="A173" s="42" t="s">
        <v>14</v>
      </c>
      <c r="B173" s="43" t="s">
        <v>15</v>
      </c>
      <c r="C173" s="50">
        <v>902.0</v>
      </c>
      <c r="D173" s="45">
        <v>25005.65</v>
      </c>
      <c r="E173" s="46">
        <v>26163.2</v>
      </c>
      <c r="F173" s="63" t="s">
        <v>178</v>
      </c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33.0" customHeight="1">
      <c r="A174" s="48" t="s">
        <v>179</v>
      </c>
      <c r="B174" s="49"/>
      <c r="C174" s="45"/>
      <c r="D174" s="45"/>
      <c r="E174" s="46"/>
      <c r="F174" s="64" t="s">
        <v>180</v>
      </c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75" customHeight="1">
      <c r="A175" s="53"/>
      <c r="B175" s="73"/>
      <c r="C175" s="79"/>
      <c r="D175" s="80"/>
      <c r="E175" s="75"/>
      <c r="F175" s="58" t="s">
        <v>181</v>
      </c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75" customHeight="1">
      <c r="A176" s="69" t="s">
        <v>182</v>
      </c>
      <c r="B176" s="76"/>
      <c r="C176" s="59" t="s">
        <v>8</v>
      </c>
      <c r="D176" s="60" t="s">
        <v>9</v>
      </c>
      <c r="E176" s="60" t="s">
        <v>10</v>
      </c>
      <c r="F176" s="61" t="s">
        <v>11</v>
      </c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75" customHeight="1">
      <c r="A177" s="36" t="s">
        <v>12</v>
      </c>
      <c r="B177" s="37"/>
      <c r="C177" s="77"/>
      <c r="D177" s="78"/>
      <c r="E177" s="72"/>
      <c r="F177" s="63" t="s">
        <v>13</v>
      </c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75" customHeight="1">
      <c r="A178" s="42" t="s">
        <v>14</v>
      </c>
      <c r="B178" s="43" t="s">
        <v>15</v>
      </c>
      <c r="C178" s="50">
        <v>894.0</v>
      </c>
      <c r="D178" s="45">
        <v>24991.79</v>
      </c>
      <c r="E178" s="46">
        <v>26132.59</v>
      </c>
      <c r="F178" s="63" t="s">
        <v>183</v>
      </c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75" customHeight="1">
      <c r="A179" s="48" t="s">
        <v>184</v>
      </c>
      <c r="B179" s="49"/>
      <c r="C179" s="50"/>
      <c r="D179" s="45"/>
      <c r="E179" s="46"/>
      <c r="F179" s="64" t="s">
        <v>185</v>
      </c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75" customHeight="1">
      <c r="A180" s="53"/>
      <c r="B180" s="73"/>
      <c r="C180" s="81"/>
      <c r="D180" s="80"/>
      <c r="E180" s="75"/>
      <c r="F180" s="58" t="s">
        <v>186</v>
      </c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0" customHeight="1">
      <c r="A181" s="69" t="s">
        <v>187</v>
      </c>
      <c r="B181" s="76"/>
      <c r="C181" s="59" t="s">
        <v>8</v>
      </c>
      <c r="D181" s="60" t="s">
        <v>9</v>
      </c>
      <c r="E181" s="60" t="s">
        <v>10</v>
      </c>
      <c r="F181" s="61" t="s">
        <v>11</v>
      </c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8.75" customHeight="1">
      <c r="A182" s="36" t="s">
        <v>12</v>
      </c>
      <c r="B182" s="37"/>
      <c r="C182" s="77"/>
      <c r="D182" s="78"/>
      <c r="E182" s="72"/>
      <c r="F182" s="63" t="s">
        <v>13</v>
      </c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33.0" customHeight="1">
      <c r="A183" s="42" t="s">
        <v>14</v>
      </c>
      <c r="B183" s="43" t="s">
        <v>15</v>
      </c>
      <c r="C183" s="45">
        <v>898.0</v>
      </c>
      <c r="D183" s="45">
        <v>25011.96</v>
      </c>
      <c r="E183" s="46">
        <v>26074.94</v>
      </c>
      <c r="F183" s="63" t="s">
        <v>188</v>
      </c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75" customHeight="1">
      <c r="A184" s="48" t="s">
        <v>189</v>
      </c>
      <c r="B184" s="49"/>
      <c r="C184" s="44"/>
      <c r="D184" s="45"/>
      <c r="E184" s="46"/>
      <c r="F184" s="64" t="s">
        <v>190</v>
      </c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75" customHeight="1">
      <c r="A185" s="53"/>
      <c r="B185" s="73"/>
      <c r="C185" s="81"/>
      <c r="D185" s="80"/>
      <c r="E185" s="75"/>
      <c r="F185" s="58" t="s">
        <v>191</v>
      </c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75" customHeight="1">
      <c r="A186" s="69" t="s">
        <v>192</v>
      </c>
      <c r="B186" s="76"/>
      <c r="C186" s="59" t="s">
        <v>8</v>
      </c>
      <c r="D186" s="60" t="s">
        <v>9</v>
      </c>
      <c r="E186" s="60" t="s">
        <v>10</v>
      </c>
      <c r="F186" s="61" t="s">
        <v>11</v>
      </c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75" customHeight="1">
      <c r="A187" s="36" t="s">
        <v>12</v>
      </c>
      <c r="B187" s="37"/>
      <c r="C187" s="77"/>
      <c r="D187" s="78"/>
      <c r="E187" s="72"/>
      <c r="F187" s="63" t="s">
        <v>13</v>
      </c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75" customHeight="1">
      <c r="A188" s="42" t="s">
        <v>14</v>
      </c>
      <c r="B188" s="43" t="s">
        <v>15</v>
      </c>
      <c r="C188" s="50">
        <v>907.0</v>
      </c>
      <c r="D188" s="45">
        <v>25004.3</v>
      </c>
      <c r="E188" s="46">
        <v>26045.72</v>
      </c>
      <c r="F188" s="63" t="s">
        <v>193</v>
      </c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75" customHeight="1">
      <c r="A189" s="48" t="s">
        <v>194</v>
      </c>
      <c r="B189" s="49"/>
      <c r="C189" s="50"/>
      <c r="D189" s="45"/>
      <c r="E189" s="46"/>
      <c r="F189" s="64" t="s">
        <v>195</v>
      </c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75" customHeight="1">
      <c r="A190" s="53"/>
      <c r="B190" s="73"/>
      <c r="C190" s="81"/>
      <c r="D190" s="80"/>
      <c r="E190" s="75"/>
      <c r="F190" s="58" t="s">
        <v>196</v>
      </c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8.75" customHeight="1">
      <c r="A191" s="69" t="s">
        <v>197</v>
      </c>
      <c r="B191" s="76"/>
      <c r="C191" s="59" t="s">
        <v>8</v>
      </c>
      <c r="D191" s="60" t="s">
        <v>9</v>
      </c>
      <c r="E191" s="60" t="s">
        <v>10</v>
      </c>
      <c r="F191" s="61" t="s">
        <v>11</v>
      </c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8.75" customHeight="1">
      <c r="A192" s="36" t="s">
        <v>12</v>
      </c>
      <c r="B192" s="37"/>
      <c r="C192" s="78"/>
      <c r="D192" s="78"/>
      <c r="E192" s="72"/>
      <c r="F192" s="63" t="s">
        <v>13</v>
      </c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75" customHeight="1">
      <c r="A193" s="42" t="s">
        <v>14</v>
      </c>
      <c r="B193" s="43" t="s">
        <v>15</v>
      </c>
      <c r="C193" s="44">
        <v>861.0</v>
      </c>
      <c r="D193" s="45">
        <v>25013.69</v>
      </c>
      <c r="E193" s="46">
        <v>26235.54</v>
      </c>
      <c r="F193" s="63" t="s">
        <v>198</v>
      </c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75" customHeight="1">
      <c r="A194" s="48" t="s">
        <v>199</v>
      </c>
      <c r="B194" s="49"/>
      <c r="C194" s="50"/>
      <c r="D194" s="45"/>
      <c r="E194" s="46"/>
      <c r="F194" s="64" t="s">
        <v>200</v>
      </c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75" customHeight="1">
      <c r="A195" s="53"/>
      <c r="B195" s="73"/>
      <c r="C195" s="81"/>
      <c r="D195" s="80"/>
      <c r="E195" s="75"/>
      <c r="F195" s="58" t="s">
        <v>201</v>
      </c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75" customHeight="1">
      <c r="A196" s="69" t="s">
        <v>202</v>
      </c>
      <c r="B196" s="76"/>
      <c r="C196" s="59" t="s">
        <v>8</v>
      </c>
      <c r="D196" s="60" t="s">
        <v>9</v>
      </c>
      <c r="E196" s="60" t="s">
        <v>10</v>
      </c>
      <c r="F196" s="61" t="s">
        <v>11</v>
      </c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75" customHeight="1">
      <c r="A197" s="36" t="s">
        <v>12</v>
      </c>
      <c r="B197" s="37"/>
      <c r="C197" s="77"/>
      <c r="D197" s="78"/>
      <c r="E197" s="72"/>
      <c r="F197" s="63" t="s">
        <v>13</v>
      </c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75" customHeight="1">
      <c r="A198" s="42" t="s">
        <v>14</v>
      </c>
      <c r="B198" s="43" t="s">
        <v>15</v>
      </c>
      <c r="C198" s="50">
        <v>898.0</v>
      </c>
      <c r="D198" s="45">
        <v>25009.0</v>
      </c>
      <c r="E198" s="46">
        <v>26054.99</v>
      </c>
      <c r="F198" s="63" t="s">
        <v>203</v>
      </c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75" customHeight="1">
      <c r="A199" s="48" t="s">
        <v>204</v>
      </c>
      <c r="B199" s="49"/>
      <c r="C199" s="50"/>
      <c r="D199" s="45"/>
      <c r="E199" s="46"/>
      <c r="F199" s="64" t="s">
        <v>205</v>
      </c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75" customHeight="1">
      <c r="A200" s="53"/>
      <c r="B200" s="73"/>
      <c r="C200" s="81"/>
      <c r="D200" s="80"/>
      <c r="E200" s="75"/>
      <c r="F200" s="58" t="s">
        <v>206</v>
      </c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75" customHeight="1">
      <c r="A201" s="69" t="s">
        <v>207</v>
      </c>
      <c r="B201" s="76"/>
      <c r="C201" s="59" t="s">
        <v>8</v>
      </c>
      <c r="D201" s="60" t="s">
        <v>9</v>
      </c>
      <c r="E201" s="60" t="s">
        <v>10</v>
      </c>
      <c r="F201" s="61" t="s">
        <v>11</v>
      </c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6.5" customHeight="1">
      <c r="A202" s="36" t="s">
        <v>12</v>
      </c>
      <c r="B202" s="37"/>
      <c r="C202" s="77"/>
      <c r="D202" s="78"/>
      <c r="E202" s="72"/>
      <c r="F202" s="63" t="s">
        <v>13</v>
      </c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0" customHeight="1">
      <c r="A203" s="42" t="s">
        <v>14</v>
      </c>
      <c r="B203" s="43" t="s">
        <v>15</v>
      </c>
      <c r="C203" s="50">
        <v>896.0</v>
      </c>
      <c r="D203" s="45">
        <v>24985.67</v>
      </c>
      <c r="E203" s="46">
        <v>26044.91</v>
      </c>
      <c r="F203" s="63" t="s">
        <v>208</v>
      </c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75" customHeight="1">
      <c r="A204" s="48" t="s">
        <v>209</v>
      </c>
      <c r="B204" s="49"/>
      <c r="C204" s="44"/>
      <c r="D204" s="45"/>
      <c r="E204" s="46"/>
      <c r="F204" s="64" t="s">
        <v>210</v>
      </c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53"/>
      <c r="B205" s="73"/>
      <c r="C205" s="81"/>
      <c r="D205" s="80"/>
      <c r="E205" s="75"/>
      <c r="F205" s="58" t="s">
        <v>211</v>
      </c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75" customHeight="1">
      <c r="A206" s="69" t="s">
        <v>212</v>
      </c>
      <c r="B206" s="76"/>
      <c r="C206" s="59" t="s">
        <v>8</v>
      </c>
      <c r="D206" s="60" t="s">
        <v>9</v>
      </c>
      <c r="E206" s="60" t="s">
        <v>10</v>
      </c>
      <c r="F206" s="61" t="s">
        <v>11</v>
      </c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75" customHeight="1">
      <c r="A207" s="36" t="s">
        <v>12</v>
      </c>
      <c r="B207" s="37"/>
      <c r="C207" s="77"/>
      <c r="D207" s="78"/>
      <c r="E207" s="72"/>
      <c r="F207" s="63" t="s">
        <v>13</v>
      </c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75" customHeight="1">
      <c r="A208" s="42" t="s">
        <v>14</v>
      </c>
      <c r="B208" s="43" t="s">
        <v>15</v>
      </c>
      <c r="C208" s="50">
        <v>863.0</v>
      </c>
      <c r="D208" s="45">
        <v>25011.42</v>
      </c>
      <c r="E208" s="46">
        <v>26194.97</v>
      </c>
      <c r="F208" s="63" t="s">
        <v>213</v>
      </c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75" customHeight="1">
      <c r="A209" s="48" t="s">
        <v>214</v>
      </c>
      <c r="B209" s="49"/>
      <c r="C209" s="50"/>
      <c r="D209" s="45"/>
      <c r="E209" s="46"/>
      <c r="F209" s="64" t="s">
        <v>215</v>
      </c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0" customHeight="1">
      <c r="A210" s="53"/>
      <c r="B210" s="73"/>
      <c r="C210" s="81"/>
      <c r="D210" s="80"/>
      <c r="E210" s="75"/>
      <c r="F210" s="58" t="s">
        <v>216</v>
      </c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8.75" customHeight="1">
      <c r="A211" s="69" t="s">
        <v>217</v>
      </c>
      <c r="B211" s="76"/>
      <c r="C211" s="59" t="s">
        <v>8</v>
      </c>
      <c r="D211" s="60" t="s">
        <v>9</v>
      </c>
      <c r="E211" s="60" t="s">
        <v>10</v>
      </c>
      <c r="F211" s="61" t="s">
        <v>11</v>
      </c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7.25" customHeight="1">
      <c r="A212" s="36" t="s">
        <v>12</v>
      </c>
      <c r="B212" s="37"/>
      <c r="C212" s="78"/>
      <c r="D212" s="78"/>
      <c r="E212" s="72"/>
      <c r="F212" s="63" t="s">
        <v>13</v>
      </c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3.5" customHeight="1">
      <c r="A213" s="42" t="s">
        <v>14</v>
      </c>
      <c r="B213" s="43" t="s">
        <v>15</v>
      </c>
      <c r="C213" s="44">
        <v>854.0</v>
      </c>
      <c r="D213" s="45">
        <v>25030.21</v>
      </c>
      <c r="E213" s="46">
        <v>26172.01</v>
      </c>
      <c r="F213" s="87" t="s">
        <v>218</v>
      </c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75" customHeight="1">
      <c r="A214" s="48" t="s">
        <v>219</v>
      </c>
      <c r="B214" s="49"/>
      <c r="C214" s="50"/>
      <c r="D214" s="45"/>
      <c r="E214" s="46"/>
      <c r="F214" s="64" t="s">
        <v>220</v>
      </c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75" customHeight="1">
      <c r="A215" s="53"/>
      <c r="B215" s="73"/>
      <c r="C215" s="81"/>
      <c r="D215" s="80"/>
      <c r="E215" s="75"/>
      <c r="F215" s="58" t="s">
        <v>221</v>
      </c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75" customHeight="1">
      <c r="A216" s="69" t="s">
        <v>222</v>
      </c>
      <c r="B216" s="76"/>
      <c r="C216" s="59" t="s">
        <v>8</v>
      </c>
      <c r="D216" s="60" t="s">
        <v>9</v>
      </c>
      <c r="E216" s="60" t="s">
        <v>10</v>
      </c>
      <c r="F216" s="61" t="s">
        <v>11</v>
      </c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75" customHeight="1">
      <c r="A217" s="36" t="s">
        <v>12</v>
      </c>
      <c r="B217" s="37"/>
      <c r="C217" s="77"/>
      <c r="D217" s="78"/>
      <c r="E217" s="72"/>
      <c r="F217" s="63" t="s">
        <v>13</v>
      </c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75" customHeight="1">
      <c r="A218" s="42" t="s">
        <v>14</v>
      </c>
      <c r="B218" s="43" t="s">
        <v>15</v>
      </c>
      <c r="C218" s="50">
        <v>894.0</v>
      </c>
      <c r="D218" s="45">
        <v>25002.06</v>
      </c>
      <c r="E218" s="46">
        <v>26062.02</v>
      </c>
      <c r="F218" s="63" t="s">
        <v>223</v>
      </c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75" customHeight="1">
      <c r="A219" s="48" t="s">
        <v>224</v>
      </c>
      <c r="B219" s="49"/>
      <c r="C219" s="50"/>
      <c r="D219" s="45"/>
      <c r="E219" s="46"/>
      <c r="F219" s="64" t="s">
        <v>225</v>
      </c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>
      <c r="A220" s="53"/>
      <c r="B220" s="73"/>
      <c r="C220" s="81"/>
      <c r="D220" s="80"/>
      <c r="E220" s="75"/>
      <c r="F220" s="58" t="s">
        <v>226</v>
      </c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21.0" customHeight="1">
      <c r="A221" s="69" t="s">
        <v>227</v>
      </c>
      <c r="B221" s="76"/>
      <c r="C221" s="60" t="s">
        <v>8</v>
      </c>
      <c r="D221" s="60" t="s">
        <v>9</v>
      </c>
      <c r="E221" s="60" t="s">
        <v>10</v>
      </c>
      <c r="F221" s="61" t="s">
        <v>11</v>
      </c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36" t="s">
        <v>12</v>
      </c>
      <c r="B222" s="37"/>
      <c r="C222" s="86"/>
      <c r="D222" s="78"/>
      <c r="E222" s="72"/>
      <c r="F222" s="63" t="s">
        <v>13</v>
      </c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2" t="s">
        <v>14</v>
      </c>
      <c r="B223" s="43" t="s">
        <v>15</v>
      </c>
      <c r="C223" s="50">
        <v>893.0</v>
      </c>
      <c r="D223" s="45">
        <v>25012.06</v>
      </c>
      <c r="E223" s="46">
        <v>26068.59</v>
      </c>
      <c r="F223" s="63" t="s">
        <v>228</v>
      </c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2.75" customHeight="1">
      <c r="A224" s="48" t="s">
        <v>229</v>
      </c>
      <c r="B224" s="49"/>
      <c r="C224" s="50"/>
      <c r="D224" s="45"/>
      <c r="E224" s="46"/>
      <c r="F224" s="64" t="s">
        <v>230</v>
      </c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2.75" customHeight="1">
      <c r="A225" s="53"/>
      <c r="B225" s="73"/>
      <c r="C225" s="81"/>
      <c r="D225" s="80"/>
      <c r="E225" s="75"/>
      <c r="F225" s="58" t="s">
        <v>231</v>
      </c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2.75" customHeight="1">
      <c r="A226" s="69" t="s">
        <v>232</v>
      </c>
      <c r="B226" s="76"/>
      <c r="C226" s="59" t="s">
        <v>8</v>
      </c>
      <c r="D226" s="60" t="s">
        <v>9</v>
      </c>
      <c r="E226" s="60" t="s">
        <v>10</v>
      </c>
      <c r="F226" s="61" t="s">
        <v>11</v>
      </c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2.75" customHeight="1">
      <c r="A227" s="36" t="s">
        <v>12</v>
      </c>
      <c r="B227" s="37"/>
      <c r="C227" s="77"/>
      <c r="D227" s="78"/>
      <c r="E227" s="72"/>
      <c r="F227" s="63" t="s">
        <v>13</v>
      </c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0" customHeight="1">
      <c r="A228" s="42" t="s">
        <v>14</v>
      </c>
      <c r="B228" s="43" t="s">
        <v>15</v>
      </c>
      <c r="C228" s="50">
        <v>890.0</v>
      </c>
      <c r="D228" s="45">
        <v>24984.93</v>
      </c>
      <c r="E228" s="46">
        <v>25994.78</v>
      </c>
      <c r="F228" s="63" t="s">
        <v>233</v>
      </c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7.25" customHeight="1">
      <c r="A229" s="48" t="s">
        <v>234</v>
      </c>
      <c r="B229" s="49"/>
      <c r="C229" s="50"/>
      <c r="D229" s="45"/>
      <c r="E229" s="46"/>
      <c r="F229" s="64" t="s">
        <v>235</v>
      </c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0" customHeight="1">
      <c r="A230" s="53"/>
      <c r="B230" s="73"/>
      <c r="C230" s="84"/>
      <c r="D230" s="80"/>
      <c r="E230" s="75"/>
      <c r="F230" s="58" t="s">
        <v>236</v>
      </c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21.75" customHeight="1">
      <c r="A231" s="69" t="s">
        <v>237</v>
      </c>
      <c r="B231" s="76"/>
      <c r="C231" s="85" t="s">
        <v>8</v>
      </c>
      <c r="D231" s="60" t="s">
        <v>9</v>
      </c>
      <c r="E231" s="60" t="s">
        <v>10</v>
      </c>
      <c r="F231" s="61" t="s">
        <v>11</v>
      </c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36" t="s">
        <v>12</v>
      </c>
      <c r="B232" s="37"/>
      <c r="C232" s="77"/>
      <c r="D232" s="78"/>
      <c r="E232" s="72"/>
      <c r="F232" s="63" t="s">
        <v>13</v>
      </c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2.75" customHeight="1">
      <c r="A233" s="42" t="s">
        <v>14</v>
      </c>
      <c r="B233" s="43" t="s">
        <v>15</v>
      </c>
      <c r="C233" s="50">
        <v>898.0</v>
      </c>
      <c r="D233" s="45">
        <v>25000.27</v>
      </c>
      <c r="E233" s="46">
        <v>26077.01</v>
      </c>
      <c r="F233" s="63" t="s">
        <v>238</v>
      </c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2.75" customHeight="1">
      <c r="A234" s="48" t="s">
        <v>239</v>
      </c>
      <c r="B234" s="49"/>
      <c r="C234" s="50"/>
      <c r="D234" s="45"/>
      <c r="E234" s="46"/>
      <c r="F234" s="64" t="s">
        <v>240</v>
      </c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2.75" customHeight="1">
      <c r="A235" s="53"/>
      <c r="B235" s="73"/>
      <c r="C235" s="81"/>
      <c r="D235" s="80"/>
      <c r="E235" s="75"/>
      <c r="F235" s="58" t="s">
        <v>241</v>
      </c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2.75" customHeight="1">
      <c r="A236" s="69" t="s">
        <v>242</v>
      </c>
      <c r="B236" s="76"/>
      <c r="C236" s="59" t="s">
        <v>8</v>
      </c>
      <c r="D236" s="60" t="s">
        <v>9</v>
      </c>
      <c r="E236" s="60" t="s">
        <v>10</v>
      </c>
      <c r="F236" s="61" t="s">
        <v>11</v>
      </c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2.75" customHeight="1">
      <c r="A237" s="36" t="s">
        <v>12</v>
      </c>
      <c r="B237" s="37"/>
      <c r="C237" s="77"/>
      <c r="D237" s="78"/>
      <c r="E237" s="72"/>
      <c r="F237" s="63" t="s">
        <v>13</v>
      </c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2" t="s">
        <v>14</v>
      </c>
      <c r="B238" s="43" t="s">
        <v>15</v>
      </c>
      <c r="C238" s="50">
        <v>900.0</v>
      </c>
      <c r="D238" s="45">
        <v>25004.7</v>
      </c>
      <c r="E238" s="46">
        <v>26050.87</v>
      </c>
      <c r="F238" s="63" t="s">
        <v>243</v>
      </c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0" customHeight="1">
      <c r="A239" s="48" t="s">
        <v>244</v>
      </c>
      <c r="B239" s="49"/>
      <c r="C239" s="45"/>
      <c r="D239" s="45"/>
      <c r="E239" s="46"/>
      <c r="F239" s="64" t="s">
        <v>245</v>
      </c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2.75" customHeight="1">
      <c r="A240" s="53"/>
      <c r="B240" s="73"/>
      <c r="C240" s="79"/>
      <c r="D240" s="80"/>
      <c r="E240" s="75"/>
      <c r="F240" s="58" t="s">
        <v>246</v>
      </c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69" t="s">
        <v>247</v>
      </c>
      <c r="B241" s="76"/>
      <c r="C241" s="59" t="s">
        <v>8</v>
      </c>
      <c r="D241" s="60" t="s">
        <v>9</v>
      </c>
      <c r="E241" s="60" t="s">
        <v>10</v>
      </c>
      <c r="F241" s="61" t="s">
        <v>11</v>
      </c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2.75" customHeight="1">
      <c r="A242" s="36" t="s">
        <v>12</v>
      </c>
      <c r="B242" s="37"/>
      <c r="C242" s="77"/>
      <c r="D242" s="78"/>
      <c r="E242" s="72"/>
      <c r="F242" s="63" t="s">
        <v>13</v>
      </c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2.75" customHeight="1">
      <c r="A243" s="42" t="s">
        <v>14</v>
      </c>
      <c r="B243" s="43" t="s">
        <v>15</v>
      </c>
      <c r="C243" s="50">
        <v>889.0</v>
      </c>
      <c r="D243" s="45">
        <v>25000.82</v>
      </c>
      <c r="E243" s="46">
        <v>26194.16</v>
      </c>
      <c r="F243" s="63" t="s">
        <v>248</v>
      </c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2.75" customHeight="1">
      <c r="A244" s="48" t="s">
        <v>249</v>
      </c>
      <c r="B244" s="49"/>
      <c r="C244" s="50"/>
      <c r="D244" s="45"/>
      <c r="E244" s="46"/>
      <c r="F244" s="64" t="s">
        <v>250</v>
      </c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2.75" customHeight="1">
      <c r="A245" s="53"/>
      <c r="B245" s="73"/>
      <c r="C245" s="81"/>
      <c r="D245" s="80"/>
      <c r="E245" s="75"/>
      <c r="F245" s="58" t="s">
        <v>251</v>
      </c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2.75" customHeight="1">
      <c r="A246" s="69" t="s">
        <v>252</v>
      </c>
      <c r="B246" s="76"/>
      <c r="C246" s="59" t="s">
        <v>8</v>
      </c>
      <c r="D246" s="60" t="s">
        <v>9</v>
      </c>
      <c r="E246" s="60" t="s">
        <v>10</v>
      </c>
      <c r="F246" s="61" t="s">
        <v>11</v>
      </c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36" t="s">
        <v>12</v>
      </c>
      <c r="B247" s="37"/>
      <c r="C247" s="77"/>
      <c r="D247" s="78"/>
      <c r="E247" s="72"/>
      <c r="F247" s="63" t="s">
        <v>13</v>
      </c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0" customHeight="1">
      <c r="A248" s="42" t="s">
        <v>14</v>
      </c>
      <c r="B248" s="43" t="s">
        <v>15</v>
      </c>
      <c r="C248" s="50">
        <v>894.0</v>
      </c>
      <c r="D248" s="45">
        <v>25010.68</v>
      </c>
      <c r="E248" s="46">
        <v>26129.93</v>
      </c>
      <c r="F248" s="63" t="s">
        <v>253</v>
      </c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0" customHeight="1">
      <c r="A249" s="48" t="s">
        <v>254</v>
      </c>
      <c r="B249" s="49"/>
      <c r="C249" s="50"/>
      <c r="D249" s="45"/>
      <c r="E249" s="46"/>
      <c r="F249" s="64" t="s">
        <v>255</v>
      </c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0" customHeight="1">
      <c r="A250" s="53"/>
      <c r="B250" s="73"/>
      <c r="C250" s="81"/>
      <c r="D250" s="80"/>
      <c r="E250" s="75"/>
      <c r="F250" s="58" t="s">
        <v>256</v>
      </c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24.75" customHeight="1">
      <c r="A251" s="69" t="s">
        <v>257</v>
      </c>
      <c r="B251" s="76"/>
      <c r="C251" s="59" t="s">
        <v>8</v>
      </c>
      <c r="D251" s="60" t="s">
        <v>9</v>
      </c>
      <c r="E251" s="60" t="s">
        <v>10</v>
      </c>
      <c r="F251" s="61" t="s">
        <v>11</v>
      </c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0" customHeight="1">
      <c r="A252" s="36" t="s">
        <v>12</v>
      </c>
      <c r="B252" s="37"/>
      <c r="C252" s="77"/>
      <c r="D252" s="78"/>
      <c r="E252" s="72"/>
      <c r="F252" s="63" t="s">
        <v>13</v>
      </c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6.5" customHeight="1">
      <c r="A253" s="42" t="s">
        <v>14</v>
      </c>
      <c r="B253" s="43" t="s">
        <v>15</v>
      </c>
      <c r="C253" s="50">
        <v>896.0</v>
      </c>
      <c r="D253" s="45">
        <v>25001.47</v>
      </c>
      <c r="E253" s="46">
        <v>26122.23</v>
      </c>
      <c r="F253" s="63" t="s">
        <v>258</v>
      </c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7.25" customHeight="1">
      <c r="A254" s="48" t="s">
        <v>259</v>
      </c>
      <c r="B254" s="49"/>
      <c r="C254" s="45"/>
      <c r="D254" s="45"/>
      <c r="E254" s="46"/>
      <c r="F254" s="64" t="s">
        <v>260</v>
      </c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53"/>
      <c r="B255" s="73"/>
      <c r="C255" s="79"/>
      <c r="D255" s="80"/>
      <c r="E255" s="75"/>
      <c r="F255" s="58" t="s">
        <v>261</v>
      </c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69" t="s">
        <v>262</v>
      </c>
      <c r="B256" s="76"/>
      <c r="C256" s="59" t="s">
        <v>8</v>
      </c>
      <c r="D256" s="60" t="s">
        <v>9</v>
      </c>
      <c r="E256" s="60" t="s">
        <v>10</v>
      </c>
      <c r="F256" s="61" t="s">
        <v>11</v>
      </c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2.75" customHeight="1">
      <c r="A257" s="36" t="s">
        <v>12</v>
      </c>
      <c r="B257" s="37"/>
      <c r="C257" s="77"/>
      <c r="D257" s="78"/>
      <c r="E257" s="72"/>
      <c r="F257" s="63" t="s">
        <v>13</v>
      </c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2.75" customHeight="1">
      <c r="A258" s="42" t="s">
        <v>136</v>
      </c>
      <c r="B258" s="43" t="s">
        <v>137</v>
      </c>
      <c r="C258" s="50">
        <v>855.0</v>
      </c>
      <c r="D258" s="45">
        <v>25015.41</v>
      </c>
      <c r="E258" s="46">
        <v>26152.16</v>
      </c>
      <c r="F258" s="63" t="s">
        <v>263</v>
      </c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2.75" customHeight="1">
      <c r="A259" s="48" t="s">
        <v>264</v>
      </c>
      <c r="B259" s="49"/>
      <c r="C259" s="50"/>
      <c r="D259" s="45"/>
      <c r="E259" s="46"/>
      <c r="F259" s="64" t="s">
        <v>265</v>
      </c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2.75" customHeight="1">
      <c r="A260" s="53"/>
      <c r="B260" s="73"/>
      <c r="C260" s="81"/>
      <c r="D260" s="80"/>
      <c r="E260" s="75"/>
      <c r="F260" s="58" t="s">
        <v>266</v>
      </c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21.0" customHeight="1">
      <c r="A261" s="69" t="s">
        <v>267</v>
      </c>
      <c r="B261" s="76"/>
      <c r="C261" s="59" t="s">
        <v>8</v>
      </c>
      <c r="D261" s="60" t="s">
        <v>9</v>
      </c>
      <c r="E261" s="60" t="s">
        <v>10</v>
      </c>
      <c r="F261" s="61" t="s">
        <v>11</v>
      </c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8.0" customHeight="1">
      <c r="A262" s="36" t="s">
        <v>12</v>
      </c>
      <c r="B262" s="37"/>
      <c r="C262" s="77"/>
      <c r="D262" s="78"/>
      <c r="E262" s="72"/>
      <c r="F262" s="63" t="s">
        <v>13</v>
      </c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6.5" customHeight="1">
      <c r="A263" s="42" t="s">
        <v>14</v>
      </c>
      <c r="B263" s="43" t="s">
        <v>15</v>
      </c>
      <c r="C263" s="45">
        <v>895.0</v>
      </c>
      <c r="D263" s="45">
        <v>25001.52</v>
      </c>
      <c r="E263" s="46">
        <v>26196.29</v>
      </c>
      <c r="F263" s="63" t="s">
        <v>268</v>
      </c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2.75" customHeight="1">
      <c r="A264" s="48" t="s">
        <v>269</v>
      </c>
      <c r="B264" s="49"/>
      <c r="C264" s="44"/>
      <c r="D264" s="45"/>
      <c r="E264" s="46"/>
      <c r="F264" s="64" t="s">
        <v>270</v>
      </c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2.75" customHeight="1">
      <c r="A265" s="53"/>
      <c r="B265" s="73"/>
      <c r="C265" s="81"/>
      <c r="D265" s="80"/>
      <c r="E265" s="75"/>
      <c r="F265" s="58" t="s">
        <v>271</v>
      </c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20.25" customHeight="1">
      <c r="A266" s="69" t="s">
        <v>272</v>
      </c>
      <c r="B266" s="76"/>
      <c r="C266" s="59" t="s">
        <v>8</v>
      </c>
      <c r="D266" s="60" t="s">
        <v>9</v>
      </c>
      <c r="E266" s="60" t="s">
        <v>10</v>
      </c>
      <c r="F266" s="61" t="s">
        <v>11</v>
      </c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2.75" customHeight="1">
      <c r="A267" s="36" t="s">
        <v>12</v>
      </c>
      <c r="B267" s="37"/>
      <c r="C267" s="77"/>
      <c r="D267" s="78"/>
      <c r="E267" s="72"/>
      <c r="F267" s="63" t="s">
        <v>13</v>
      </c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2.75" customHeight="1">
      <c r="A268" s="42" t="s">
        <v>14</v>
      </c>
      <c r="B268" s="43" t="s">
        <v>15</v>
      </c>
      <c r="C268" s="50">
        <v>898.0</v>
      </c>
      <c r="D268" s="45">
        <v>25002.26</v>
      </c>
      <c r="E268" s="46">
        <v>26187.5</v>
      </c>
      <c r="F268" s="63" t="s">
        <v>273</v>
      </c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2.75" customHeight="1">
      <c r="A269" s="48" t="s">
        <v>274</v>
      </c>
      <c r="B269" s="49"/>
      <c r="C269" s="50"/>
      <c r="D269" s="45"/>
      <c r="E269" s="46"/>
      <c r="F269" s="64" t="s">
        <v>275</v>
      </c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0" customHeight="1">
      <c r="A270" s="53"/>
      <c r="B270" s="73"/>
      <c r="C270" s="81"/>
      <c r="D270" s="80"/>
      <c r="E270" s="75"/>
      <c r="F270" s="58" t="s">
        <v>276</v>
      </c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8.0" customHeight="1">
      <c r="A271" s="69" t="s">
        <v>277</v>
      </c>
      <c r="B271" s="76"/>
      <c r="C271" s="59" t="s">
        <v>8</v>
      </c>
      <c r="D271" s="60" t="s">
        <v>9</v>
      </c>
      <c r="E271" s="60" t="s">
        <v>10</v>
      </c>
      <c r="F271" s="61" t="s">
        <v>11</v>
      </c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20.25" customHeight="1">
      <c r="A272" s="36" t="s">
        <v>12</v>
      </c>
      <c r="B272" s="37"/>
      <c r="C272" s="78"/>
      <c r="D272" s="78"/>
      <c r="E272" s="72"/>
      <c r="F272" s="63" t="s">
        <v>13</v>
      </c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2" t="s">
        <v>14</v>
      </c>
      <c r="B273" s="43" t="s">
        <v>15</v>
      </c>
      <c r="C273" s="44">
        <v>886.0</v>
      </c>
      <c r="D273" s="45">
        <v>25000.65</v>
      </c>
      <c r="E273" s="46">
        <v>26213.93</v>
      </c>
      <c r="F273" s="63" t="s">
        <v>278</v>
      </c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8" t="s">
        <v>279</v>
      </c>
      <c r="B274" s="49"/>
      <c r="C274" s="50"/>
      <c r="D274" s="45"/>
      <c r="E274" s="46"/>
      <c r="F274" s="64" t="s">
        <v>280</v>
      </c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2.75" customHeight="1">
      <c r="A275" s="53"/>
      <c r="B275" s="73"/>
      <c r="C275" s="81"/>
      <c r="D275" s="80"/>
      <c r="E275" s="75"/>
      <c r="F275" s="58" t="s">
        <v>281</v>
      </c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7.25" customHeight="1">
      <c r="A276" s="69" t="s">
        <v>282</v>
      </c>
      <c r="B276" s="76"/>
      <c r="C276" s="59" t="s">
        <v>8</v>
      </c>
      <c r="D276" s="60" t="s">
        <v>9</v>
      </c>
      <c r="E276" s="60" t="s">
        <v>10</v>
      </c>
      <c r="F276" s="61" t="s">
        <v>11</v>
      </c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4.25" customHeight="1">
      <c r="A277" s="36" t="s">
        <v>12</v>
      </c>
      <c r="B277" s="37"/>
      <c r="C277" s="77"/>
      <c r="D277" s="78"/>
      <c r="E277" s="72"/>
      <c r="F277" s="63" t="s">
        <v>13</v>
      </c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2.75" customHeight="1">
      <c r="A278" s="42" t="s">
        <v>14</v>
      </c>
      <c r="B278" s="43" t="s">
        <v>15</v>
      </c>
      <c r="C278" s="50">
        <v>893.0</v>
      </c>
      <c r="D278" s="45">
        <v>24997.96</v>
      </c>
      <c r="E278" s="46">
        <v>26209.28</v>
      </c>
      <c r="F278" s="63" t="s">
        <v>283</v>
      </c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0" customHeight="1">
      <c r="A279" s="48" t="s">
        <v>284</v>
      </c>
      <c r="B279" s="49"/>
      <c r="C279" s="50"/>
      <c r="D279" s="45"/>
      <c r="E279" s="46"/>
      <c r="F279" s="64" t="s">
        <v>285</v>
      </c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4.25" customHeight="1">
      <c r="A280" s="53"/>
      <c r="B280" s="73"/>
      <c r="C280" s="81"/>
      <c r="D280" s="80"/>
      <c r="E280" s="75"/>
      <c r="F280" s="58" t="s">
        <v>286</v>
      </c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23.25" customHeight="1">
      <c r="A281" s="69" t="s">
        <v>287</v>
      </c>
      <c r="B281" s="76"/>
      <c r="C281" s="60" t="s">
        <v>8</v>
      </c>
      <c r="D281" s="60" t="s">
        <v>9</v>
      </c>
      <c r="E281" s="60" t="s">
        <v>10</v>
      </c>
      <c r="F281" s="61" t="s">
        <v>11</v>
      </c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36" t="s">
        <v>12</v>
      </c>
      <c r="B282" s="37"/>
      <c r="C282" s="86"/>
      <c r="D282" s="78"/>
      <c r="E282" s="72"/>
      <c r="F282" s="63" t="s">
        <v>13</v>
      </c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2" t="s">
        <v>14</v>
      </c>
      <c r="B283" s="43" t="s">
        <v>15</v>
      </c>
      <c r="C283" s="50">
        <v>897.0</v>
      </c>
      <c r="D283" s="45">
        <v>24990.53</v>
      </c>
      <c r="E283" s="46">
        <v>26043.97</v>
      </c>
      <c r="F283" s="63" t="s">
        <v>288</v>
      </c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2.75" customHeight="1">
      <c r="A284" s="48" t="s">
        <v>289</v>
      </c>
      <c r="B284" s="49"/>
      <c r="C284" s="50"/>
      <c r="D284" s="45"/>
      <c r="E284" s="46"/>
      <c r="F284" s="64" t="s">
        <v>290</v>
      </c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53"/>
      <c r="B285" s="73"/>
      <c r="C285" s="81"/>
      <c r="D285" s="80"/>
      <c r="E285" s="75"/>
      <c r="F285" s="58" t="s">
        <v>291</v>
      </c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8.0" customHeight="1">
      <c r="A286" s="53"/>
      <c r="B286" s="73"/>
      <c r="C286" s="88"/>
      <c r="D286" s="56"/>
      <c r="E286" s="57"/>
      <c r="F286" s="2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8.75" customHeight="1">
      <c r="A287" s="89"/>
      <c r="B287" s="90"/>
      <c r="C287" s="91" t="s">
        <v>292</v>
      </c>
      <c r="D287" s="92" t="s">
        <v>292</v>
      </c>
      <c r="E287" s="93" t="s">
        <v>292</v>
      </c>
      <c r="F287" s="9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2.75" customHeight="1">
      <c r="A288" s="95"/>
      <c r="B288" s="96"/>
      <c r="C288" s="97">
        <f t="shared" ref="C288:E288" si="1">SUM(C12:C285)</f>
        <v>48501</v>
      </c>
      <c r="D288" s="98">
        <f t="shared" si="1"/>
        <v>1374246.6</v>
      </c>
      <c r="E288" s="99">
        <f t="shared" si="1"/>
        <v>1437768.7</v>
      </c>
      <c r="F288" s="100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2.75" customHeight="1">
      <c r="A289" s="4"/>
      <c r="B289" s="101"/>
      <c r="C289" s="4"/>
      <c r="D289" s="102"/>
      <c r="E289" s="103"/>
      <c r="F289" s="10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2.75" customHeight="1">
      <c r="A290" s="4"/>
      <c r="B290" s="101"/>
      <c r="C290" s="4"/>
      <c r="D290" s="102"/>
      <c r="E290" s="103"/>
      <c r="F290" s="10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2.75" customHeight="1">
      <c r="A291" s="4"/>
      <c r="B291" s="101"/>
      <c r="C291" s="4"/>
      <c r="D291" s="102"/>
      <c r="E291" s="103"/>
      <c r="F291" s="10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2.75" customHeight="1">
      <c r="A292" s="4"/>
      <c r="B292" s="101"/>
      <c r="C292" s="4"/>
      <c r="D292" s="102"/>
      <c r="E292" s="103"/>
      <c r="F292" s="10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2.75" customHeight="1">
      <c r="A293" s="4"/>
      <c r="B293" s="101"/>
      <c r="C293" s="4"/>
      <c r="D293" s="102"/>
      <c r="E293" s="103"/>
      <c r="F293" s="10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2.75" customHeight="1">
      <c r="A294" s="4"/>
      <c r="B294" s="101"/>
      <c r="C294" s="4"/>
      <c r="D294" s="102"/>
      <c r="E294" s="103"/>
      <c r="F294" s="10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2.75" customHeight="1">
      <c r="A295" s="4"/>
      <c r="B295" s="101"/>
      <c r="C295" s="4"/>
      <c r="D295" s="102"/>
      <c r="E295" s="103"/>
      <c r="F295" s="10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2.75" customHeight="1">
      <c r="A296" s="4"/>
      <c r="B296" s="101"/>
      <c r="C296" s="4"/>
      <c r="D296" s="102"/>
      <c r="E296" s="103"/>
      <c r="F296" s="10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2.75" customHeight="1">
      <c r="A297" s="4"/>
      <c r="B297" s="101"/>
      <c r="C297" s="4"/>
      <c r="D297" s="102"/>
      <c r="E297" s="103"/>
      <c r="F297" s="10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2.75" customHeight="1">
      <c r="A298" s="4"/>
      <c r="B298" s="101"/>
      <c r="C298" s="4"/>
      <c r="D298" s="102"/>
      <c r="E298" s="103"/>
      <c r="F298" s="10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2.75" customHeight="1">
      <c r="A299" s="4"/>
      <c r="B299" s="101"/>
      <c r="C299" s="4"/>
      <c r="D299" s="102"/>
      <c r="E299" s="103"/>
      <c r="F299" s="10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2.75" customHeight="1">
      <c r="A300" s="4"/>
      <c r="B300" s="101"/>
      <c r="C300" s="4"/>
      <c r="D300" s="102"/>
      <c r="E300" s="103"/>
      <c r="F300" s="10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2.75" customHeight="1">
      <c r="A301" s="4"/>
      <c r="B301" s="101"/>
      <c r="C301" s="4"/>
      <c r="D301" s="102"/>
      <c r="E301" s="103"/>
      <c r="F301" s="10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2.75" customHeight="1">
      <c r="A302" s="4"/>
      <c r="B302" s="101"/>
      <c r="C302" s="4"/>
      <c r="D302" s="102"/>
      <c r="E302" s="103"/>
      <c r="F302" s="10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2.75" customHeight="1">
      <c r="A303" s="4"/>
      <c r="B303" s="101"/>
      <c r="C303" s="4"/>
      <c r="D303" s="102"/>
      <c r="E303" s="103"/>
      <c r="F303" s="10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2.75" customHeight="1">
      <c r="A304" s="4"/>
      <c r="B304" s="101"/>
      <c r="C304" s="4"/>
      <c r="D304" s="102"/>
      <c r="E304" s="103"/>
      <c r="F304" s="10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2.75" customHeight="1">
      <c r="A305" s="4"/>
      <c r="B305" s="101"/>
      <c r="C305" s="4"/>
      <c r="D305" s="102"/>
      <c r="E305" s="103"/>
      <c r="F305" s="10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2.75" customHeight="1">
      <c r="A306" s="4"/>
      <c r="B306" s="101"/>
      <c r="C306" s="4"/>
      <c r="D306" s="102"/>
      <c r="E306" s="103"/>
      <c r="F306" s="10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2.75" customHeight="1">
      <c r="A307" s="4"/>
      <c r="B307" s="101"/>
      <c r="C307" s="4"/>
      <c r="D307" s="102"/>
      <c r="E307" s="103"/>
      <c r="F307" s="10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2.75" customHeight="1">
      <c r="A308" s="4"/>
      <c r="B308" s="101"/>
      <c r="C308" s="4"/>
      <c r="D308" s="102"/>
      <c r="E308" s="103"/>
      <c r="F308" s="10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2.75" customHeight="1">
      <c r="A309" s="4"/>
      <c r="B309" s="101"/>
      <c r="C309" s="4"/>
      <c r="D309" s="102"/>
      <c r="E309" s="103"/>
      <c r="F309" s="10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2.75" customHeight="1">
      <c r="A310" s="4"/>
      <c r="B310" s="101"/>
      <c r="C310" s="4"/>
      <c r="D310" s="102"/>
      <c r="E310" s="103"/>
      <c r="F310" s="10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2.75" customHeight="1">
      <c r="A311" s="4"/>
      <c r="B311" s="101"/>
      <c r="C311" s="4"/>
      <c r="D311" s="102"/>
      <c r="E311" s="103"/>
      <c r="F311" s="10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2.75" customHeight="1">
      <c r="A312" s="4"/>
      <c r="B312" s="101"/>
      <c r="C312" s="4"/>
      <c r="D312" s="102"/>
      <c r="E312" s="103"/>
      <c r="F312" s="10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2.75" customHeight="1">
      <c r="A313" s="4"/>
      <c r="B313" s="101"/>
      <c r="C313" s="4"/>
      <c r="D313" s="102"/>
      <c r="E313" s="103"/>
      <c r="F313" s="10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2.75" customHeight="1">
      <c r="A314" s="4"/>
      <c r="B314" s="101"/>
      <c r="C314" s="4"/>
      <c r="D314" s="102"/>
      <c r="E314" s="103"/>
      <c r="F314" s="10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2.75" customHeight="1">
      <c r="A315" s="4"/>
      <c r="B315" s="101"/>
      <c r="C315" s="4"/>
      <c r="D315" s="102"/>
      <c r="E315" s="103"/>
      <c r="F315" s="10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2.75" customHeight="1">
      <c r="A316" s="4"/>
      <c r="B316" s="101"/>
      <c r="C316" s="4"/>
      <c r="D316" s="102"/>
      <c r="E316" s="103"/>
      <c r="F316" s="10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2.75" customHeight="1">
      <c r="A317" s="4"/>
      <c r="B317" s="101"/>
      <c r="C317" s="4"/>
      <c r="D317" s="102"/>
      <c r="E317" s="103"/>
      <c r="F317" s="10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2.75" customHeight="1">
      <c r="A318" s="4"/>
      <c r="B318" s="101"/>
      <c r="C318" s="4"/>
      <c r="D318" s="102"/>
      <c r="E318" s="103"/>
      <c r="F318" s="10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2.75" customHeight="1">
      <c r="A319" s="4"/>
      <c r="B319" s="101"/>
      <c r="C319" s="4"/>
      <c r="D319" s="102"/>
      <c r="E319" s="103"/>
      <c r="F319" s="10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2.75" customHeight="1">
      <c r="A320" s="4"/>
      <c r="B320" s="101"/>
      <c r="C320" s="4"/>
      <c r="D320" s="102"/>
      <c r="E320" s="103"/>
      <c r="F320" s="10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2.75" customHeight="1">
      <c r="A321" s="4"/>
      <c r="B321" s="101"/>
      <c r="C321" s="4"/>
      <c r="D321" s="102"/>
      <c r="E321" s="103"/>
      <c r="F321" s="10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2.75" customHeight="1">
      <c r="A322" s="4"/>
      <c r="B322" s="101"/>
      <c r="C322" s="4"/>
      <c r="D322" s="102"/>
      <c r="E322" s="103"/>
      <c r="F322" s="10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2.75" customHeight="1">
      <c r="A323" s="4"/>
      <c r="B323" s="101"/>
      <c r="C323" s="4"/>
      <c r="D323" s="102"/>
      <c r="E323" s="103"/>
      <c r="F323" s="10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2.75" customHeight="1">
      <c r="A324" s="4"/>
      <c r="B324" s="101"/>
      <c r="C324" s="4"/>
      <c r="D324" s="102"/>
      <c r="E324" s="103"/>
      <c r="F324" s="10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2.75" customHeight="1">
      <c r="A325" s="4"/>
      <c r="B325" s="101"/>
      <c r="C325" s="4"/>
      <c r="D325" s="102"/>
      <c r="E325" s="103"/>
      <c r="F325" s="10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2.75" customHeight="1">
      <c r="A326" s="4"/>
      <c r="B326" s="101"/>
      <c r="C326" s="4"/>
      <c r="D326" s="102"/>
      <c r="E326" s="103"/>
      <c r="F326" s="10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2.75" customHeight="1">
      <c r="A327" s="4"/>
      <c r="B327" s="101"/>
      <c r="C327" s="4"/>
      <c r="D327" s="102"/>
      <c r="E327" s="103"/>
      <c r="F327" s="10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2.75" customHeight="1">
      <c r="A328" s="4"/>
      <c r="B328" s="101"/>
      <c r="C328" s="4"/>
      <c r="D328" s="102"/>
      <c r="E328" s="103"/>
      <c r="F328" s="10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2.75" customHeight="1">
      <c r="A329" s="4"/>
      <c r="B329" s="101"/>
      <c r="C329" s="4"/>
      <c r="D329" s="102"/>
      <c r="E329" s="103"/>
      <c r="F329" s="10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2.75" customHeight="1">
      <c r="A330" s="4"/>
      <c r="B330" s="101"/>
      <c r="C330" s="4"/>
      <c r="D330" s="102"/>
      <c r="E330" s="103"/>
      <c r="F330" s="10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2.75" customHeight="1">
      <c r="A331" s="4"/>
      <c r="B331" s="101"/>
      <c r="C331" s="4"/>
      <c r="D331" s="102"/>
      <c r="E331" s="103"/>
      <c r="F331" s="10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2.75" customHeight="1">
      <c r="A332" s="4"/>
      <c r="B332" s="101"/>
      <c r="C332" s="4"/>
      <c r="D332" s="102"/>
      <c r="E332" s="103"/>
      <c r="F332" s="10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2.75" customHeight="1">
      <c r="A333" s="4"/>
      <c r="B333" s="101"/>
      <c r="C333" s="4"/>
      <c r="D333" s="102"/>
      <c r="E333" s="103"/>
      <c r="F333" s="10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2.75" customHeight="1">
      <c r="A334" s="4"/>
      <c r="B334" s="101"/>
      <c r="C334" s="4"/>
      <c r="D334" s="102"/>
      <c r="E334" s="103"/>
      <c r="F334" s="10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2.75" customHeight="1">
      <c r="A335" s="4"/>
      <c r="B335" s="101"/>
      <c r="C335" s="4"/>
      <c r="D335" s="102"/>
      <c r="E335" s="103"/>
      <c r="F335" s="10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2.75" customHeight="1">
      <c r="A336" s="4"/>
      <c r="B336" s="101"/>
      <c r="C336" s="4"/>
      <c r="D336" s="102"/>
      <c r="E336" s="103"/>
      <c r="F336" s="10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2.75" customHeight="1">
      <c r="A337" s="4"/>
      <c r="B337" s="101"/>
      <c r="C337" s="4"/>
      <c r="D337" s="102"/>
      <c r="E337" s="103"/>
      <c r="F337" s="10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2.75" customHeight="1">
      <c r="A338" s="4"/>
      <c r="B338" s="101"/>
      <c r="C338" s="4"/>
      <c r="D338" s="102"/>
      <c r="E338" s="103"/>
      <c r="F338" s="10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2.75" customHeight="1">
      <c r="A339" s="4"/>
      <c r="B339" s="101"/>
      <c r="C339" s="4"/>
      <c r="D339" s="102"/>
      <c r="E339" s="103"/>
      <c r="F339" s="10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2.75" customHeight="1">
      <c r="A340" s="4"/>
      <c r="B340" s="101"/>
      <c r="C340" s="4"/>
      <c r="D340" s="102"/>
      <c r="E340" s="103"/>
      <c r="F340" s="10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2.75" customHeight="1">
      <c r="A341" s="4"/>
      <c r="B341" s="101"/>
      <c r="C341" s="4"/>
      <c r="D341" s="102"/>
      <c r="E341" s="103"/>
      <c r="F341" s="10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2.75" customHeight="1">
      <c r="A342" s="4"/>
      <c r="B342" s="101"/>
      <c r="C342" s="4"/>
      <c r="D342" s="102"/>
      <c r="E342" s="103"/>
      <c r="F342" s="10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2.75" customHeight="1">
      <c r="A343" s="4"/>
      <c r="B343" s="101"/>
      <c r="C343" s="4"/>
      <c r="D343" s="102"/>
      <c r="E343" s="103"/>
      <c r="F343" s="10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2.75" customHeight="1">
      <c r="A344" s="4"/>
      <c r="B344" s="101"/>
      <c r="C344" s="4"/>
      <c r="D344" s="102"/>
      <c r="E344" s="103"/>
      <c r="F344" s="10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2.75" customHeight="1">
      <c r="A345" s="4"/>
      <c r="B345" s="101"/>
      <c r="C345" s="4"/>
      <c r="D345" s="102"/>
      <c r="E345" s="103"/>
      <c r="F345" s="10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2.75" customHeight="1">
      <c r="A346" s="4"/>
      <c r="B346" s="101"/>
      <c r="C346" s="4"/>
      <c r="D346" s="102"/>
      <c r="E346" s="103"/>
      <c r="F346" s="10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2.75" customHeight="1">
      <c r="A347" s="4"/>
      <c r="B347" s="101"/>
      <c r="C347" s="4"/>
      <c r="D347" s="102"/>
      <c r="E347" s="103"/>
      <c r="F347" s="10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2.75" customHeight="1">
      <c r="A348" s="4"/>
      <c r="B348" s="101"/>
      <c r="C348" s="4"/>
      <c r="D348" s="102"/>
      <c r="E348" s="103"/>
      <c r="F348" s="10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2.75" customHeight="1">
      <c r="A349" s="4"/>
      <c r="B349" s="101"/>
      <c r="C349" s="4"/>
      <c r="D349" s="102"/>
      <c r="E349" s="103"/>
      <c r="F349" s="10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2.75" customHeight="1">
      <c r="A350" s="4"/>
      <c r="B350" s="101"/>
      <c r="C350" s="4"/>
      <c r="D350" s="102"/>
      <c r="E350" s="103"/>
      <c r="F350" s="10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2.75" customHeight="1">
      <c r="A351" s="4"/>
      <c r="B351" s="101"/>
      <c r="C351" s="4"/>
      <c r="D351" s="102"/>
      <c r="E351" s="103"/>
      <c r="F351" s="10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2.75" customHeight="1">
      <c r="A352" s="4"/>
      <c r="B352" s="101"/>
      <c r="C352" s="4"/>
      <c r="D352" s="102"/>
      <c r="E352" s="103"/>
      <c r="F352" s="10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2.75" customHeight="1">
      <c r="A353" s="4"/>
      <c r="B353" s="101"/>
      <c r="C353" s="4"/>
      <c r="D353" s="102"/>
      <c r="E353" s="103"/>
      <c r="F353" s="10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2.75" customHeight="1">
      <c r="A354" s="4"/>
      <c r="B354" s="101"/>
      <c r="C354" s="4"/>
      <c r="D354" s="102"/>
      <c r="E354" s="103"/>
      <c r="F354" s="10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2.75" customHeight="1">
      <c r="A355" s="4"/>
      <c r="B355" s="101"/>
      <c r="C355" s="4"/>
      <c r="D355" s="102"/>
      <c r="E355" s="103"/>
      <c r="F355" s="10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2.75" customHeight="1">
      <c r="A356" s="4"/>
      <c r="B356" s="101"/>
      <c r="C356" s="4"/>
      <c r="D356" s="102"/>
      <c r="E356" s="103"/>
      <c r="F356" s="10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2.75" customHeight="1">
      <c r="A357" s="4"/>
      <c r="B357" s="101"/>
      <c r="C357" s="4"/>
      <c r="D357" s="102"/>
      <c r="E357" s="103"/>
      <c r="F357" s="10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2.75" customHeight="1">
      <c r="A358" s="4"/>
      <c r="B358" s="101"/>
      <c r="C358" s="4"/>
      <c r="D358" s="102"/>
      <c r="E358" s="103"/>
      <c r="F358" s="10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2.75" customHeight="1">
      <c r="A359" s="4"/>
      <c r="B359" s="101"/>
      <c r="C359" s="4"/>
      <c r="D359" s="102"/>
      <c r="E359" s="103"/>
      <c r="F359" s="10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2.75" customHeight="1">
      <c r="A360" s="4"/>
      <c r="B360" s="101"/>
      <c r="C360" s="4"/>
      <c r="D360" s="102"/>
      <c r="E360" s="103"/>
      <c r="F360" s="10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2.75" customHeight="1">
      <c r="A361" s="4"/>
      <c r="B361" s="101"/>
      <c r="C361" s="4"/>
      <c r="D361" s="102"/>
      <c r="E361" s="103"/>
      <c r="F361" s="10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2.75" customHeight="1">
      <c r="A362" s="4"/>
      <c r="B362" s="101"/>
      <c r="C362" s="4"/>
      <c r="D362" s="102"/>
      <c r="E362" s="103"/>
      <c r="F362" s="10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2.75" customHeight="1">
      <c r="A363" s="4"/>
      <c r="B363" s="101"/>
      <c r="C363" s="4"/>
      <c r="D363" s="102"/>
      <c r="E363" s="103"/>
      <c r="F363" s="10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2.75" customHeight="1">
      <c r="A364" s="4"/>
      <c r="B364" s="101"/>
      <c r="C364" s="4"/>
      <c r="D364" s="102"/>
      <c r="E364" s="103"/>
      <c r="F364" s="10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2.75" customHeight="1">
      <c r="A365" s="4"/>
      <c r="B365" s="101"/>
      <c r="C365" s="4"/>
      <c r="D365" s="102"/>
      <c r="E365" s="103"/>
      <c r="F365" s="10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2.75" customHeight="1">
      <c r="A366" s="4"/>
      <c r="B366" s="101"/>
      <c r="C366" s="4"/>
      <c r="D366" s="102"/>
      <c r="E366" s="103"/>
      <c r="F366" s="10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2.75" customHeight="1">
      <c r="A367" s="4"/>
      <c r="B367" s="101"/>
      <c r="C367" s="4"/>
      <c r="D367" s="102"/>
      <c r="E367" s="103"/>
      <c r="F367" s="10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2.75" customHeight="1">
      <c r="A368" s="4"/>
      <c r="B368" s="101"/>
      <c r="C368" s="4"/>
      <c r="D368" s="102"/>
      <c r="E368" s="103"/>
      <c r="F368" s="10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2.75" customHeight="1">
      <c r="A369" s="4"/>
      <c r="B369" s="101"/>
      <c r="C369" s="4"/>
      <c r="D369" s="102"/>
      <c r="E369" s="103"/>
      <c r="F369" s="10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2.75" customHeight="1">
      <c r="A370" s="4"/>
      <c r="B370" s="101"/>
      <c r="C370" s="4"/>
      <c r="D370" s="102"/>
      <c r="E370" s="103"/>
      <c r="F370" s="10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2.75" customHeight="1">
      <c r="A371" s="4"/>
      <c r="B371" s="101"/>
      <c r="C371" s="4"/>
      <c r="D371" s="102"/>
      <c r="E371" s="103"/>
      <c r="F371" s="10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2.75" customHeight="1">
      <c r="A372" s="4"/>
      <c r="B372" s="101"/>
      <c r="C372" s="4"/>
      <c r="D372" s="102"/>
      <c r="E372" s="103"/>
      <c r="F372" s="10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2.75" customHeight="1">
      <c r="A373" s="4"/>
      <c r="B373" s="101"/>
      <c r="C373" s="4"/>
      <c r="D373" s="102"/>
      <c r="E373" s="103"/>
      <c r="F373" s="10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2.75" customHeight="1">
      <c r="A374" s="4"/>
      <c r="B374" s="101"/>
      <c r="C374" s="4"/>
      <c r="D374" s="102"/>
      <c r="E374" s="103"/>
      <c r="F374" s="10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2.75" customHeight="1">
      <c r="A375" s="4"/>
      <c r="B375" s="101"/>
      <c r="C375" s="4"/>
      <c r="D375" s="102"/>
      <c r="E375" s="103"/>
      <c r="F375" s="10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2.75" customHeight="1">
      <c r="A376" s="4"/>
      <c r="B376" s="101"/>
      <c r="C376" s="4"/>
      <c r="D376" s="102"/>
      <c r="E376" s="103"/>
      <c r="F376" s="10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2.75" customHeight="1">
      <c r="A377" s="4"/>
      <c r="B377" s="101"/>
      <c r="C377" s="4"/>
      <c r="D377" s="102"/>
      <c r="E377" s="103"/>
      <c r="F377" s="10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2.75" customHeight="1">
      <c r="A378" s="4"/>
      <c r="B378" s="101"/>
      <c r="C378" s="4"/>
      <c r="D378" s="102"/>
      <c r="E378" s="103"/>
      <c r="F378" s="10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2.75" customHeight="1">
      <c r="A379" s="4"/>
      <c r="B379" s="101"/>
      <c r="C379" s="4"/>
      <c r="D379" s="102"/>
      <c r="E379" s="103"/>
      <c r="F379" s="10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2.75" customHeight="1">
      <c r="A380" s="4"/>
      <c r="B380" s="101"/>
      <c r="C380" s="4"/>
      <c r="D380" s="102"/>
      <c r="E380" s="103"/>
      <c r="F380" s="10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2.75" customHeight="1">
      <c r="A381" s="4"/>
      <c r="B381" s="101"/>
      <c r="C381" s="4"/>
      <c r="D381" s="102"/>
      <c r="E381" s="103"/>
      <c r="F381" s="10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2.75" customHeight="1">
      <c r="A382" s="4"/>
      <c r="B382" s="101"/>
      <c r="C382" s="4"/>
      <c r="D382" s="102"/>
      <c r="E382" s="103"/>
      <c r="F382" s="10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2.75" customHeight="1">
      <c r="A383" s="4"/>
      <c r="B383" s="101"/>
      <c r="C383" s="4"/>
      <c r="D383" s="102"/>
      <c r="E383" s="103"/>
      <c r="F383" s="10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2.75" customHeight="1">
      <c r="A384" s="4"/>
      <c r="B384" s="101"/>
      <c r="C384" s="4"/>
      <c r="D384" s="102"/>
      <c r="E384" s="103"/>
      <c r="F384" s="10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2.75" customHeight="1">
      <c r="A385" s="4"/>
      <c r="B385" s="101"/>
      <c r="C385" s="4"/>
      <c r="D385" s="102"/>
      <c r="E385" s="103"/>
      <c r="F385" s="10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2.75" customHeight="1">
      <c r="A386" s="4"/>
      <c r="B386" s="101"/>
      <c r="C386" s="4"/>
      <c r="D386" s="102"/>
      <c r="E386" s="103"/>
      <c r="F386" s="10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2.75" customHeight="1">
      <c r="A387" s="4"/>
      <c r="B387" s="101"/>
      <c r="C387" s="4"/>
      <c r="D387" s="102"/>
      <c r="E387" s="103"/>
      <c r="F387" s="10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2.75" customHeight="1">
      <c r="A388" s="4"/>
      <c r="B388" s="101"/>
      <c r="C388" s="4"/>
      <c r="D388" s="102"/>
      <c r="E388" s="103"/>
      <c r="F388" s="10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2.75" customHeight="1">
      <c r="A389" s="4"/>
      <c r="B389" s="101"/>
      <c r="C389" s="4"/>
      <c r="D389" s="102"/>
      <c r="E389" s="103"/>
      <c r="F389" s="10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2.75" customHeight="1">
      <c r="A390" s="4"/>
      <c r="B390" s="101"/>
      <c r="C390" s="4"/>
      <c r="D390" s="102"/>
      <c r="E390" s="103"/>
      <c r="F390" s="10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2.75" customHeight="1">
      <c r="A391" s="4"/>
      <c r="B391" s="101"/>
      <c r="C391" s="4"/>
      <c r="D391" s="102"/>
      <c r="E391" s="103"/>
      <c r="F391" s="10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2.75" customHeight="1">
      <c r="A392" s="4"/>
      <c r="B392" s="101"/>
      <c r="C392" s="4"/>
      <c r="D392" s="102"/>
      <c r="E392" s="103"/>
      <c r="F392" s="10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2.75" customHeight="1">
      <c r="A393" s="4"/>
      <c r="B393" s="101"/>
      <c r="C393" s="4"/>
      <c r="D393" s="102"/>
      <c r="E393" s="103"/>
      <c r="F393" s="10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2.75" customHeight="1">
      <c r="A394" s="4"/>
      <c r="B394" s="101"/>
      <c r="C394" s="4"/>
      <c r="D394" s="102"/>
      <c r="E394" s="103"/>
      <c r="F394" s="10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2.75" customHeight="1">
      <c r="A395" s="4"/>
      <c r="B395" s="101"/>
      <c r="C395" s="4"/>
      <c r="D395" s="102"/>
      <c r="E395" s="103"/>
      <c r="F395" s="10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2.75" customHeight="1">
      <c r="A396" s="4"/>
      <c r="B396" s="101"/>
      <c r="C396" s="4"/>
      <c r="D396" s="102"/>
      <c r="E396" s="103"/>
      <c r="F396" s="10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2.75" customHeight="1">
      <c r="A397" s="4"/>
      <c r="B397" s="101"/>
      <c r="C397" s="4"/>
      <c r="D397" s="102"/>
      <c r="E397" s="103"/>
      <c r="F397" s="10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2.75" customHeight="1">
      <c r="A398" s="4"/>
      <c r="B398" s="101"/>
      <c r="C398" s="4"/>
      <c r="D398" s="102"/>
      <c r="E398" s="103"/>
      <c r="F398" s="10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2.75" customHeight="1">
      <c r="A399" s="4"/>
      <c r="B399" s="101"/>
      <c r="C399" s="4"/>
      <c r="D399" s="102"/>
      <c r="E399" s="103"/>
      <c r="F399" s="10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2.75" customHeight="1">
      <c r="A400" s="4"/>
      <c r="B400" s="101"/>
      <c r="C400" s="4"/>
      <c r="D400" s="102"/>
      <c r="E400" s="103"/>
      <c r="F400" s="10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2.75" customHeight="1">
      <c r="A401" s="4"/>
      <c r="B401" s="101"/>
      <c r="C401" s="4"/>
      <c r="D401" s="102"/>
      <c r="E401" s="103"/>
      <c r="F401" s="10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2.75" customHeight="1">
      <c r="A402" s="4"/>
      <c r="B402" s="101"/>
      <c r="C402" s="4"/>
      <c r="D402" s="102"/>
      <c r="E402" s="103"/>
      <c r="F402" s="10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2.75" customHeight="1">
      <c r="A403" s="4"/>
      <c r="B403" s="101"/>
      <c r="C403" s="4"/>
      <c r="D403" s="102"/>
      <c r="E403" s="103"/>
      <c r="F403" s="10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2.75" customHeight="1">
      <c r="A404" s="4"/>
      <c r="B404" s="101"/>
      <c r="C404" s="4"/>
      <c r="D404" s="102"/>
      <c r="E404" s="103"/>
      <c r="F404" s="10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2.75" customHeight="1">
      <c r="A405" s="4"/>
      <c r="B405" s="101"/>
      <c r="C405" s="4"/>
      <c r="D405" s="102"/>
      <c r="E405" s="103"/>
      <c r="F405" s="10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2.75" customHeight="1">
      <c r="A406" s="4"/>
      <c r="B406" s="101"/>
      <c r="C406" s="4"/>
      <c r="D406" s="102"/>
      <c r="E406" s="103"/>
      <c r="F406" s="10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2.75" customHeight="1">
      <c r="A407" s="4"/>
      <c r="B407" s="101"/>
      <c r="C407" s="4"/>
      <c r="D407" s="102"/>
      <c r="E407" s="103"/>
      <c r="F407" s="10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2.75" customHeight="1">
      <c r="A408" s="4"/>
      <c r="B408" s="101"/>
      <c r="C408" s="4"/>
      <c r="D408" s="102"/>
      <c r="E408" s="103"/>
      <c r="F408" s="10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2.75" customHeight="1">
      <c r="A409" s="4"/>
      <c r="B409" s="101"/>
      <c r="C409" s="4"/>
      <c r="D409" s="102"/>
      <c r="E409" s="103"/>
      <c r="F409" s="10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2.75" customHeight="1">
      <c r="A410" s="4"/>
      <c r="B410" s="101"/>
      <c r="C410" s="4"/>
      <c r="D410" s="102"/>
      <c r="E410" s="103"/>
      <c r="F410" s="10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2.75" customHeight="1">
      <c r="A411" s="4"/>
      <c r="B411" s="101"/>
      <c r="C411" s="4"/>
      <c r="D411" s="102"/>
      <c r="E411" s="103"/>
      <c r="F411" s="10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2.75" customHeight="1">
      <c r="A412" s="4"/>
      <c r="B412" s="101"/>
      <c r="C412" s="4"/>
      <c r="D412" s="102"/>
      <c r="E412" s="103"/>
      <c r="F412" s="10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2.75" customHeight="1">
      <c r="A413" s="4"/>
      <c r="B413" s="101"/>
      <c r="C413" s="4"/>
      <c r="D413" s="102"/>
      <c r="E413" s="103"/>
      <c r="F413" s="10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2.75" customHeight="1">
      <c r="A414" s="4"/>
      <c r="B414" s="101"/>
      <c r="C414" s="4"/>
      <c r="D414" s="102"/>
      <c r="E414" s="103"/>
      <c r="F414" s="10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2.75" customHeight="1">
      <c r="A415" s="4"/>
      <c r="B415" s="101"/>
      <c r="C415" s="4"/>
      <c r="D415" s="102"/>
      <c r="E415" s="103"/>
      <c r="F415" s="10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2.75" customHeight="1">
      <c r="A416" s="4"/>
      <c r="B416" s="101"/>
      <c r="C416" s="4"/>
      <c r="D416" s="102"/>
      <c r="E416" s="103"/>
      <c r="F416" s="10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2.75" customHeight="1">
      <c r="A417" s="4"/>
      <c r="B417" s="101"/>
      <c r="C417" s="4"/>
      <c r="D417" s="102"/>
      <c r="E417" s="103"/>
      <c r="F417" s="10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2.75" customHeight="1">
      <c r="A418" s="4"/>
      <c r="B418" s="101"/>
      <c r="C418" s="4"/>
      <c r="D418" s="102"/>
      <c r="E418" s="103"/>
      <c r="F418" s="10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2.75" customHeight="1">
      <c r="A419" s="4"/>
      <c r="B419" s="101"/>
      <c r="C419" s="4"/>
      <c r="D419" s="102"/>
      <c r="E419" s="103"/>
      <c r="F419" s="10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2.75" customHeight="1">
      <c r="A420" s="4"/>
      <c r="B420" s="101"/>
      <c r="C420" s="4"/>
      <c r="D420" s="102"/>
      <c r="E420" s="103"/>
      <c r="F420" s="10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2.75" customHeight="1">
      <c r="A421" s="4"/>
      <c r="B421" s="101"/>
      <c r="C421" s="4"/>
      <c r="D421" s="102"/>
      <c r="E421" s="103"/>
      <c r="F421" s="10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2.75" customHeight="1">
      <c r="A422" s="4"/>
      <c r="B422" s="101"/>
      <c r="C422" s="4"/>
      <c r="D422" s="102"/>
      <c r="E422" s="103"/>
      <c r="F422" s="10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2.75" customHeight="1">
      <c r="A423" s="4"/>
      <c r="B423" s="101"/>
      <c r="C423" s="4"/>
      <c r="D423" s="102"/>
      <c r="E423" s="103"/>
      <c r="F423" s="10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2.75" customHeight="1">
      <c r="A424" s="4"/>
      <c r="B424" s="101"/>
      <c r="C424" s="4"/>
      <c r="D424" s="102"/>
      <c r="E424" s="103"/>
      <c r="F424" s="10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2.75" customHeight="1">
      <c r="A425" s="4"/>
      <c r="B425" s="101"/>
      <c r="C425" s="4"/>
      <c r="D425" s="102"/>
      <c r="E425" s="103"/>
      <c r="F425" s="10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2.75" customHeight="1">
      <c r="A426" s="4"/>
      <c r="B426" s="101"/>
      <c r="C426" s="4"/>
      <c r="D426" s="102"/>
      <c r="E426" s="103"/>
      <c r="F426" s="10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2.75" customHeight="1">
      <c r="A427" s="4"/>
      <c r="B427" s="101"/>
      <c r="C427" s="4"/>
      <c r="D427" s="102"/>
      <c r="E427" s="103"/>
      <c r="F427" s="10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2.75" customHeight="1">
      <c r="A428" s="4"/>
      <c r="B428" s="101"/>
      <c r="C428" s="4"/>
      <c r="D428" s="102"/>
      <c r="E428" s="103"/>
      <c r="F428" s="10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2.75" customHeight="1">
      <c r="A429" s="4"/>
      <c r="B429" s="101"/>
      <c r="C429" s="4"/>
      <c r="D429" s="102"/>
      <c r="E429" s="103"/>
      <c r="F429" s="10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2.75" customHeight="1">
      <c r="A430" s="4"/>
      <c r="B430" s="101"/>
      <c r="C430" s="4"/>
      <c r="D430" s="102"/>
      <c r="E430" s="103"/>
      <c r="F430" s="10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2.75" customHeight="1">
      <c r="A431" s="4"/>
      <c r="B431" s="101"/>
      <c r="C431" s="4"/>
      <c r="D431" s="102"/>
      <c r="E431" s="103"/>
      <c r="F431" s="10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2.75" customHeight="1">
      <c r="A432" s="4"/>
      <c r="B432" s="101"/>
      <c r="C432" s="4"/>
      <c r="D432" s="102"/>
      <c r="E432" s="103"/>
      <c r="F432" s="10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2.75" customHeight="1">
      <c r="A433" s="4"/>
      <c r="B433" s="101"/>
      <c r="C433" s="4"/>
      <c r="D433" s="102"/>
      <c r="E433" s="103"/>
      <c r="F433" s="10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2.75" customHeight="1">
      <c r="A434" s="4"/>
      <c r="B434" s="101"/>
      <c r="C434" s="4"/>
      <c r="D434" s="102"/>
      <c r="E434" s="103"/>
      <c r="F434" s="10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2.75" customHeight="1">
      <c r="A435" s="4"/>
      <c r="B435" s="101"/>
      <c r="C435" s="4"/>
      <c r="D435" s="102"/>
      <c r="E435" s="103"/>
      <c r="F435" s="10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2.75" customHeight="1">
      <c r="A436" s="4"/>
      <c r="B436" s="101"/>
      <c r="C436" s="4"/>
      <c r="D436" s="102"/>
      <c r="E436" s="103"/>
      <c r="F436" s="10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2.75" customHeight="1">
      <c r="A437" s="4"/>
      <c r="B437" s="101"/>
      <c r="C437" s="4"/>
      <c r="D437" s="102"/>
      <c r="E437" s="103"/>
      <c r="F437" s="10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2.75" customHeight="1">
      <c r="A438" s="4"/>
      <c r="B438" s="101"/>
      <c r="C438" s="4"/>
      <c r="D438" s="102"/>
      <c r="E438" s="103"/>
      <c r="F438" s="10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2.75" customHeight="1">
      <c r="A439" s="4"/>
      <c r="B439" s="101"/>
      <c r="C439" s="4"/>
      <c r="D439" s="102"/>
      <c r="E439" s="103"/>
      <c r="F439" s="10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2.75" customHeight="1">
      <c r="A440" s="4"/>
      <c r="B440" s="101"/>
      <c r="C440" s="4"/>
      <c r="D440" s="102"/>
      <c r="E440" s="103"/>
      <c r="F440" s="10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2.75" customHeight="1">
      <c r="A441" s="4"/>
      <c r="B441" s="101"/>
      <c r="C441" s="4"/>
      <c r="D441" s="102"/>
      <c r="E441" s="103"/>
      <c r="F441" s="10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2.75" customHeight="1">
      <c r="A442" s="4"/>
      <c r="B442" s="101"/>
      <c r="C442" s="4"/>
      <c r="D442" s="102"/>
      <c r="E442" s="103"/>
      <c r="F442" s="10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2.75" customHeight="1">
      <c r="A443" s="4"/>
      <c r="B443" s="101"/>
      <c r="C443" s="4"/>
      <c r="D443" s="102"/>
      <c r="E443" s="103"/>
      <c r="F443" s="10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2.75" customHeight="1">
      <c r="A444" s="4"/>
      <c r="B444" s="101"/>
      <c r="C444" s="4"/>
      <c r="D444" s="102"/>
      <c r="E444" s="103"/>
      <c r="F444" s="10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2.75" customHeight="1">
      <c r="A445" s="4"/>
      <c r="B445" s="101"/>
      <c r="C445" s="4"/>
      <c r="D445" s="102"/>
      <c r="E445" s="103"/>
      <c r="F445" s="10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2.75" customHeight="1">
      <c r="A446" s="4"/>
      <c r="B446" s="101"/>
      <c r="C446" s="4"/>
      <c r="D446" s="102"/>
      <c r="E446" s="103"/>
      <c r="F446" s="10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2.75" customHeight="1">
      <c r="A447" s="4"/>
      <c r="B447" s="101"/>
      <c r="C447" s="4"/>
      <c r="D447" s="102"/>
      <c r="E447" s="103"/>
      <c r="F447" s="10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2.75" customHeight="1">
      <c r="A448" s="4"/>
      <c r="B448" s="101"/>
      <c r="C448" s="4"/>
      <c r="D448" s="102"/>
      <c r="E448" s="103"/>
      <c r="F448" s="10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2.75" customHeight="1">
      <c r="A449" s="4"/>
      <c r="B449" s="101"/>
      <c r="C449" s="4"/>
      <c r="D449" s="102"/>
      <c r="E449" s="103"/>
      <c r="F449" s="10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2.75" customHeight="1">
      <c r="A450" s="4"/>
      <c r="B450" s="101"/>
      <c r="C450" s="4"/>
      <c r="D450" s="102"/>
      <c r="E450" s="103"/>
      <c r="F450" s="10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2.75" customHeight="1">
      <c r="A451" s="4"/>
      <c r="B451" s="101"/>
      <c r="C451" s="4"/>
      <c r="D451" s="102"/>
      <c r="E451" s="103"/>
      <c r="F451" s="10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2.75" customHeight="1">
      <c r="A452" s="4"/>
      <c r="B452" s="101"/>
      <c r="C452" s="4"/>
      <c r="D452" s="102"/>
      <c r="E452" s="103"/>
      <c r="F452" s="10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2.75" customHeight="1">
      <c r="A453" s="4"/>
      <c r="B453" s="101"/>
      <c r="C453" s="4"/>
      <c r="D453" s="102"/>
      <c r="E453" s="103"/>
      <c r="F453" s="10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2.75" customHeight="1">
      <c r="A454" s="4"/>
      <c r="B454" s="101"/>
      <c r="C454" s="4"/>
      <c r="D454" s="102"/>
      <c r="E454" s="103"/>
      <c r="F454" s="10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2.75" customHeight="1">
      <c r="A455" s="4"/>
      <c r="B455" s="101"/>
      <c r="C455" s="4"/>
      <c r="D455" s="102"/>
      <c r="E455" s="103"/>
      <c r="F455" s="10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2.75" customHeight="1">
      <c r="A456" s="4"/>
      <c r="B456" s="101"/>
      <c r="C456" s="4"/>
      <c r="D456" s="102"/>
      <c r="E456" s="103"/>
      <c r="F456" s="10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2.75" customHeight="1">
      <c r="A457" s="4"/>
      <c r="B457" s="101"/>
      <c r="C457" s="4"/>
      <c r="D457" s="102"/>
      <c r="E457" s="103"/>
      <c r="F457" s="10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2.75" customHeight="1">
      <c r="A458" s="4"/>
      <c r="B458" s="101"/>
      <c r="C458" s="4"/>
      <c r="D458" s="102"/>
      <c r="E458" s="103"/>
      <c r="F458" s="10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2.75" customHeight="1">
      <c r="A459" s="4"/>
      <c r="B459" s="101"/>
      <c r="C459" s="4"/>
      <c r="D459" s="102"/>
      <c r="E459" s="103"/>
      <c r="F459" s="10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2.75" customHeight="1">
      <c r="A460" s="4"/>
      <c r="B460" s="101"/>
      <c r="C460" s="4"/>
      <c r="D460" s="102"/>
      <c r="E460" s="103"/>
      <c r="F460" s="10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2.75" customHeight="1">
      <c r="A461" s="4"/>
      <c r="B461" s="101"/>
      <c r="C461" s="4"/>
      <c r="D461" s="102"/>
      <c r="E461" s="103"/>
      <c r="F461" s="10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2.75" customHeight="1">
      <c r="A462" s="4"/>
      <c r="B462" s="101"/>
      <c r="C462" s="4"/>
      <c r="D462" s="102"/>
      <c r="E462" s="103"/>
      <c r="F462" s="10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2.75" customHeight="1">
      <c r="A463" s="4"/>
      <c r="B463" s="101"/>
      <c r="C463" s="4"/>
      <c r="D463" s="102"/>
      <c r="E463" s="103"/>
      <c r="F463" s="10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2.75" customHeight="1">
      <c r="A464" s="4"/>
      <c r="B464" s="101"/>
      <c r="C464" s="4"/>
      <c r="D464" s="102"/>
      <c r="E464" s="103"/>
      <c r="F464" s="10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2.75" customHeight="1">
      <c r="A465" s="4"/>
      <c r="B465" s="101"/>
      <c r="C465" s="4"/>
      <c r="D465" s="102"/>
      <c r="E465" s="103"/>
      <c r="F465" s="10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2.75" customHeight="1">
      <c r="A466" s="4"/>
      <c r="B466" s="101"/>
      <c r="C466" s="4"/>
      <c r="D466" s="102"/>
      <c r="E466" s="103"/>
      <c r="F466" s="10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2.75" customHeight="1">
      <c r="A467" s="4"/>
      <c r="B467" s="101"/>
      <c r="C467" s="4"/>
      <c r="D467" s="102"/>
      <c r="E467" s="103"/>
      <c r="F467" s="10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2.75" customHeight="1">
      <c r="A468" s="4"/>
      <c r="B468" s="101"/>
      <c r="C468" s="4"/>
      <c r="D468" s="102"/>
      <c r="E468" s="103"/>
      <c r="F468" s="10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2.75" customHeight="1">
      <c r="A469" s="4"/>
      <c r="B469" s="101"/>
      <c r="C469" s="4"/>
      <c r="D469" s="102"/>
      <c r="E469" s="103"/>
      <c r="F469" s="10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2.75" customHeight="1">
      <c r="A470" s="4"/>
      <c r="B470" s="101"/>
      <c r="C470" s="4"/>
      <c r="D470" s="102"/>
      <c r="E470" s="103"/>
      <c r="F470" s="10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2.75" customHeight="1">
      <c r="A471" s="4"/>
      <c r="B471" s="101"/>
      <c r="C471" s="4"/>
      <c r="D471" s="102"/>
      <c r="E471" s="103"/>
      <c r="F471" s="10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2.75" customHeight="1">
      <c r="A472" s="4"/>
      <c r="B472" s="101"/>
      <c r="C472" s="4"/>
      <c r="D472" s="102"/>
      <c r="E472" s="103"/>
      <c r="F472" s="10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2.75" customHeight="1">
      <c r="A473" s="4"/>
      <c r="B473" s="101"/>
      <c r="C473" s="4"/>
      <c r="D473" s="102"/>
      <c r="E473" s="103"/>
      <c r="F473" s="10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2.75" customHeight="1">
      <c r="A474" s="4"/>
      <c r="B474" s="101"/>
      <c r="C474" s="4"/>
      <c r="D474" s="102"/>
      <c r="E474" s="103"/>
      <c r="F474" s="10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2.75" customHeight="1">
      <c r="A475" s="4"/>
      <c r="B475" s="101"/>
      <c r="C475" s="4"/>
      <c r="D475" s="102"/>
      <c r="E475" s="103"/>
      <c r="F475" s="10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2.75" customHeight="1">
      <c r="A476" s="4"/>
      <c r="B476" s="101"/>
      <c r="C476" s="4"/>
      <c r="D476" s="102"/>
      <c r="E476" s="103"/>
      <c r="F476" s="10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2.75" customHeight="1">
      <c r="A477" s="4"/>
      <c r="B477" s="101"/>
      <c r="C477" s="4"/>
      <c r="D477" s="102"/>
      <c r="E477" s="103"/>
      <c r="F477" s="10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2.75" customHeight="1">
      <c r="A478" s="4"/>
      <c r="B478" s="101"/>
      <c r="C478" s="4"/>
      <c r="D478" s="102"/>
      <c r="E478" s="103"/>
      <c r="F478" s="10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2.75" customHeight="1">
      <c r="A479" s="4"/>
      <c r="B479" s="101"/>
      <c r="C479" s="4"/>
      <c r="D479" s="102"/>
      <c r="E479" s="103"/>
      <c r="F479" s="10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2.75" customHeight="1">
      <c r="A480" s="4"/>
      <c r="B480" s="101"/>
      <c r="C480" s="4"/>
      <c r="D480" s="102"/>
      <c r="E480" s="103"/>
      <c r="F480" s="10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2.75" customHeight="1">
      <c r="A481" s="4"/>
      <c r="B481" s="101"/>
      <c r="C481" s="4"/>
      <c r="D481" s="102"/>
      <c r="E481" s="103"/>
      <c r="F481" s="10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2.75" customHeight="1">
      <c r="A482" s="4"/>
      <c r="B482" s="101"/>
      <c r="C482" s="4"/>
      <c r="D482" s="102"/>
      <c r="E482" s="103"/>
      <c r="F482" s="10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2.75" customHeight="1">
      <c r="A483" s="4"/>
      <c r="B483" s="101"/>
      <c r="C483" s="4"/>
      <c r="D483" s="102"/>
      <c r="E483" s="103"/>
      <c r="F483" s="10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2.75" customHeight="1">
      <c r="A484" s="4"/>
      <c r="B484" s="101"/>
      <c r="C484" s="4"/>
      <c r="D484" s="102"/>
      <c r="E484" s="103"/>
      <c r="F484" s="10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2.75" customHeight="1">
      <c r="A485" s="4"/>
      <c r="B485" s="101"/>
      <c r="C485" s="4"/>
      <c r="D485" s="102"/>
      <c r="E485" s="103"/>
      <c r="F485" s="10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2.75" customHeight="1">
      <c r="A486" s="4"/>
      <c r="B486" s="101"/>
      <c r="C486" s="4"/>
      <c r="D486" s="102"/>
      <c r="E486" s="103"/>
      <c r="F486" s="10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2.75" customHeight="1">
      <c r="A487" s="4"/>
      <c r="B487" s="101"/>
      <c r="C487" s="4"/>
      <c r="D487" s="102"/>
      <c r="E487" s="103"/>
      <c r="F487" s="10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2.75" customHeight="1">
      <c r="A488" s="4"/>
      <c r="B488" s="101"/>
      <c r="C488" s="4"/>
      <c r="D488" s="102"/>
      <c r="E488" s="103"/>
      <c r="F488" s="10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4">
    <mergeCell ref="A162:B162"/>
    <mergeCell ref="A167:B167"/>
    <mergeCell ref="A172:B172"/>
    <mergeCell ref="A177:B177"/>
    <mergeCell ref="A182:B182"/>
    <mergeCell ref="A187:B187"/>
    <mergeCell ref="A192:B192"/>
    <mergeCell ref="A197:B197"/>
    <mergeCell ref="A202:B202"/>
    <mergeCell ref="A207:B207"/>
    <mergeCell ref="A212:B212"/>
    <mergeCell ref="A217:B217"/>
    <mergeCell ref="A222:B222"/>
    <mergeCell ref="A227:B227"/>
    <mergeCell ref="A267:B267"/>
    <mergeCell ref="A272:B272"/>
    <mergeCell ref="A277:B277"/>
    <mergeCell ref="A282:B282"/>
    <mergeCell ref="A232:B232"/>
    <mergeCell ref="A237:B237"/>
    <mergeCell ref="A242:B242"/>
    <mergeCell ref="A247:B247"/>
    <mergeCell ref="A252:B252"/>
    <mergeCell ref="A257:B257"/>
    <mergeCell ref="A262:B262"/>
    <mergeCell ref="A1:F1"/>
    <mergeCell ref="A2:F2"/>
    <mergeCell ref="A3:F3"/>
    <mergeCell ref="A4:F4"/>
    <mergeCell ref="D7:E7"/>
    <mergeCell ref="A9:F9"/>
    <mergeCell ref="A11:B11"/>
    <mergeCell ref="A12:B12"/>
    <mergeCell ref="A16:B16"/>
    <mergeCell ref="A17:B17"/>
    <mergeCell ref="A21:B21"/>
    <mergeCell ref="A22:B22"/>
    <mergeCell ref="A26:B26"/>
    <mergeCell ref="A27:B27"/>
    <mergeCell ref="A31:B31"/>
    <mergeCell ref="A32:B32"/>
    <mergeCell ref="A36:B36"/>
    <mergeCell ref="A37:B37"/>
    <mergeCell ref="A41:B41"/>
    <mergeCell ref="A42:B42"/>
    <mergeCell ref="A46:B46"/>
    <mergeCell ref="A47:B47"/>
    <mergeCell ref="A51:B51"/>
    <mergeCell ref="A52:B52"/>
    <mergeCell ref="A56:B56"/>
    <mergeCell ref="A57:B57"/>
    <mergeCell ref="A61:B61"/>
    <mergeCell ref="A62:B62"/>
    <mergeCell ref="A66:B66"/>
    <mergeCell ref="A67:B67"/>
    <mergeCell ref="A71:B71"/>
    <mergeCell ref="A72:B72"/>
    <mergeCell ref="A77:B77"/>
    <mergeCell ref="A82:B82"/>
    <mergeCell ref="A87:B87"/>
    <mergeCell ref="A92:B92"/>
    <mergeCell ref="A97:B97"/>
    <mergeCell ref="A102:B102"/>
    <mergeCell ref="A107:B107"/>
    <mergeCell ref="A112:B112"/>
    <mergeCell ref="A117:B117"/>
    <mergeCell ref="A122:B122"/>
    <mergeCell ref="A127:B127"/>
    <mergeCell ref="A132:B132"/>
    <mergeCell ref="A137:B137"/>
    <mergeCell ref="A142:B142"/>
    <mergeCell ref="A147:B147"/>
    <mergeCell ref="A152:B152"/>
    <mergeCell ref="A157:B157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2.63" defaultRowHeight="15.0"/>
  <cols>
    <col customWidth="1" min="1" max="1" width="72.13"/>
    <col customWidth="1" min="2" max="2" width="57.13"/>
    <col customWidth="1" min="3" max="3" width="21.88"/>
    <col customWidth="1" min="4" max="4" width="20.5"/>
    <col customWidth="1" min="5" max="5" width="22.88"/>
    <col customWidth="1" min="6" max="6" width="53.13"/>
    <col customWidth="1" min="7" max="7" width="50.13"/>
    <col customWidth="1" min="8" max="26" width="8.0"/>
  </cols>
  <sheetData>
    <row r="1" ht="12.75" customHeight="1">
      <c r="A1" s="1" t="s">
        <v>293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2.75" customHeight="1">
      <c r="A2" s="5" t="s">
        <v>294</v>
      </c>
      <c r="B2" s="6"/>
      <c r="C2" s="6"/>
      <c r="D2" s="6"/>
      <c r="E2" s="6"/>
      <c r="F2" s="7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2.75" customHeight="1">
      <c r="A3" s="5" t="s">
        <v>2</v>
      </c>
      <c r="B3" s="6"/>
      <c r="C3" s="6"/>
      <c r="D3" s="6"/>
      <c r="E3" s="6"/>
      <c r="F3" s="7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2.75" customHeight="1">
      <c r="A4" s="5" t="s">
        <v>3</v>
      </c>
      <c r="B4" s="6"/>
      <c r="C4" s="6"/>
      <c r="D4" s="6"/>
      <c r="E4" s="6"/>
      <c r="F4" s="7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2.75" customHeight="1">
      <c r="A5" s="8"/>
      <c r="B5" s="9"/>
      <c r="C5" s="10"/>
      <c r="D5" s="11"/>
      <c r="E5" s="11"/>
      <c r="F5" s="12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2.75" customHeight="1">
      <c r="A6" s="13"/>
      <c r="B6" s="9"/>
      <c r="C6" s="10"/>
      <c r="D6" s="14"/>
      <c r="E6" s="14"/>
      <c r="F6" s="15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30.0" customHeight="1">
      <c r="A7" s="16"/>
      <c r="B7" s="9"/>
      <c r="C7" s="17"/>
      <c r="D7" s="18"/>
      <c r="E7" s="19"/>
      <c r="F7" s="15" t="s">
        <v>295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0.0" customHeight="1">
      <c r="A8" s="20" t="s">
        <v>296</v>
      </c>
      <c r="B8" s="21"/>
      <c r="C8" s="22"/>
      <c r="D8" s="23"/>
      <c r="E8" s="23"/>
      <c r="F8" s="2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7.75" customHeight="1">
      <c r="A9" s="25" t="s">
        <v>297</v>
      </c>
      <c r="B9" s="26"/>
      <c r="C9" s="26"/>
      <c r="D9" s="26"/>
      <c r="E9" s="26"/>
      <c r="F9" s="27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8.5" customHeight="1">
      <c r="A10" s="105"/>
      <c r="B10" s="106"/>
      <c r="C10" s="107"/>
      <c r="D10" s="108"/>
      <c r="E10" s="108"/>
      <c r="F10" s="109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</row>
    <row r="11" ht="33.0" customHeight="1">
      <c r="A11" s="110" t="s">
        <v>298</v>
      </c>
      <c r="B11" s="111"/>
      <c r="C11" s="112" t="s">
        <v>299</v>
      </c>
      <c r="D11" s="113" t="s">
        <v>300</v>
      </c>
      <c r="E11" s="114" t="s">
        <v>301</v>
      </c>
      <c r="F11" s="115" t="s">
        <v>11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75" customHeight="1">
      <c r="A12" s="116" t="s">
        <v>302</v>
      </c>
      <c r="B12" s="117"/>
      <c r="C12" s="118"/>
      <c r="D12" s="119"/>
      <c r="E12" s="120"/>
      <c r="F12" s="121" t="s">
        <v>13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75" customHeight="1">
      <c r="A13" s="122" t="s">
        <v>303</v>
      </c>
      <c r="B13" s="123" t="s">
        <v>304</v>
      </c>
      <c r="C13" s="124"/>
      <c r="D13" s="125"/>
      <c r="E13" s="126"/>
      <c r="F13" s="127" t="s">
        <v>305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2.75" customHeight="1">
      <c r="A14" s="128" t="s">
        <v>306</v>
      </c>
      <c r="B14" s="129" t="s">
        <v>15</v>
      </c>
      <c r="C14" s="130">
        <v>390.0</v>
      </c>
      <c r="D14" s="131">
        <v>10820.17</v>
      </c>
      <c r="E14" s="132">
        <v>11323.754</v>
      </c>
      <c r="F14" s="133" t="s">
        <v>307</v>
      </c>
      <c r="G14" s="52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2.75" customHeight="1">
      <c r="A15" s="128" t="s">
        <v>308</v>
      </c>
      <c r="B15" s="129" t="s">
        <v>309</v>
      </c>
      <c r="C15" s="130">
        <v>650.0</v>
      </c>
      <c r="D15" s="131">
        <v>17237.93</v>
      </c>
      <c r="E15" s="132">
        <v>18040.25</v>
      </c>
      <c r="F15" s="133" t="s">
        <v>310</v>
      </c>
      <c r="G15" s="52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2.75" customHeight="1">
      <c r="A16" s="128"/>
      <c r="B16" s="134"/>
      <c r="C16" s="130"/>
      <c r="D16" s="131"/>
      <c r="E16" s="132"/>
      <c r="F16" s="51" t="s">
        <v>311</v>
      </c>
      <c r="G16" s="52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2.75" customHeight="1">
      <c r="A17" s="135" t="s">
        <v>312</v>
      </c>
      <c r="B17" s="136" t="s">
        <v>313</v>
      </c>
      <c r="C17" s="130"/>
      <c r="D17" s="131"/>
      <c r="E17" s="132"/>
      <c r="F17" s="127" t="s">
        <v>314</v>
      </c>
      <c r="G17" s="52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2.75" customHeight="1">
      <c r="A18" s="128"/>
      <c r="B18" s="134"/>
      <c r="C18" s="130"/>
      <c r="D18" s="131"/>
      <c r="E18" s="132"/>
      <c r="F18" s="127" t="s">
        <v>315</v>
      </c>
      <c r="G18" s="52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8.75" customHeight="1">
      <c r="A19" s="137" t="s">
        <v>316</v>
      </c>
      <c r="B19" s="134"/>
      <c r="C19" s="138"/>
      <c r="D19" s="139"/>
      <c r="E19" s="140"/>
      <c r="F19" s="141" t="s">
        <v>317</v>
      </c>
      <c r="G19" s="52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8.75" customHeight="1">
      <c r="A20" s="142"/>
      <c r="B20" s="143"/>
      <c r="C20" s="144">
        <f t="shared" ref="C20:E20" si="1">SUM(C12:C18)</f>
        <v>1040</v>
      </c>
      <c r="D20" s="145">
        <f t="shared" si="1"/>
        <v>28058.1</v>
      </c>
      <c r="E20" s="146">
        <f t="shared" si="1"/>
        <v>29364.004</v>
      </c>
      <c r="F20" s="147"/>
      <c r="G20" s="52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33.0" customHeight="1">
      <c r="A21" s="148" t="s">
        <v>318</v>
      </c>
      <c r="B21" s="149"/>
      <c r="C21" s="112" t="s">
        <v>299</v>
      </c>
      <c r="D21" s="113" t="s">
        <v>300</v>
      </c>
      <c r="E21" s="114" t="s">
        <v>301</v>
      </c>
      <c r="F21" s="150" t="s">
        <v>11</v>
      </c>
      <c r="G21" s="52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36" t="s">
        <v>319</v>
      </c>
      <c r="B22" s="151"/>
      <c r="C22" s="152"/>
      <c r="D22" s="119"/>
      <c r="E22" s="120"/>
      <c r="F22" s="121" t="s">
        <v>13</v>
      </c>
      <c r="G22" s="52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153" t="s">
        <v>303</v>
      </c>
      <c r="B23" s="49" t="s">
        <v>304</v>
      </c>
      <c r="C23" s="154"/>
      <c r="D23" s="125"/>
      <c r="E23" s="126"/>
      <c r="F23" s="127" t="s">
        <v>320</v>
      </c>
      <c r="G23" s="52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2.75" customHeight="1">
      <c r="A24" s="42" t="s">
        <v>306</v>
      </c>
      <c r="B24" s="155" t="s">
        <v>15</v>
      </c>
      <c r="C24" s="156">
        <v>4213.0</v>
      </c>
      <c r="D24" s="131">
        <v>106692.653</v>
      </c>
      <c r="E24" s="132">
        <v>112148.693</v>
      </c>
      <c r="F24" s="133" t="s">
        <v>321</v>
      </c>
      <c r="G24" s="52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2.75" customHeight="1">
      <c r="A25" s="42" t="s">
        <v>308</v>
      </c>
      <c r="B25" s="155" t="s">
        <v>309</v>
      </c>
      <c r="C25" s="156">
        <v>408.0</v>
      </c>
      <c r="D25" s="131">
        <v>10971.992</v>
      </c>
      <c r="E25" s="132">
        <v>11521.902</v>
      </c>
      <c r="F25" s="133" t="s">
        <v>322</v>
      </c>
      <c r="G25" s="52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2.75" customHeight="1">
      <c r="A26" s="42"/>
      <c r="B26" s="157"/>
      <c r="C26" s="156"/>
      <c r="D26" s="131"/>
      <c r="E26" s="132"/>
      <c r="F26" s="51" t="s">
        <v>323</v>
      </c>
      <c r="G26" s="52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2.75" customHeight="1">
      <c r="A27" s="42" t="s">
        <v>324</v>
      </c>
      <c r="B27" s="158" t="s">
        <v>325</v>
      </c>
      <c r="C27" s="156"/>
      <c r="D27" s="131"/>
      <c r="E27" s="132"/>
      <c r="F27" s="127" t="s">
        <v>326</v>
      </c>
      <c r="G27" s="52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2.75" customHeight="1">
      <c r="A28" s="42" t="s">
        <v>327</v>
      </c>
      <c r="B28" s="159" t="s">
        <v>328</v>
      </c>
      <c r="C28" s="156"/>
      <c r="D28" s="131"/>
      <c r="E28" s="132"/>
      <c r="F28" s="127" t="s">
        <v>329</v>
      </c>
      <c r="G28" s="52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2.75" customHeight="1">
      <c r="A29" s="160" t="s">
        <v>330</v>
      </c>
      <c r="B29" s="161" t="s">
        <v>331</v>
      </c>
      <c r="C29" s="156"/>
      <c r="D29" s="131"/>
      <c r="E29" s="132"/>
      <c r="F29" s="141" t="s">
        <v>332</v>
      </c>
      <c r="G29" s="52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2.75" customHeight="1">
      <c r="A30" s="162" t="s">
        <v>333</v>
      </c>
      <c r="B30" s="157"/>
      <c r="C30" s="156"/>
      <c r="D30" s="131"/>
      <c r="E30" s="132"/>
      <c r="F30" s="127"/>
      <c r="G30" s="52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6.5" customHeight="1">
      <c r="A31" s="42" t="s">
        <v>316</v>
      </c>
      <c r="B31" s="82"/>
      <c r="C31" s="163"/>
      <c r="D31" s="139"/>
      <c r="E31" s="140"/>
      <c r="F31" s="141"/>
      <c r="G31" s="52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8.0" customHeight="1">
      <c r="A32" s="164"/>
      <c r="B32" s="165"/>
      <c r="C32" s="166">
        <f t="shared" ref="C32:D32" si="2">SUM(C22:C28)</f>
        <v>4621</v>
      </c>
      <c r="D32" s="145">
        <f t="shared" si="2"/>
        <v>117664.645</v>
      </c>
      <c r="E32" s="146">
        <f>SUM(E22:E31)</f>
        <v>123670.595</v>
      </c>
      <c r="F32" s="147"/>
      <c r="G32" s="52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33.0" customHeight="1">
      <c r="A33" s="167" t="s">
        <v>334</v>
      </c>
      <c r="B33" s="168"/>
      <c r="C33" s="112" t="s">
        <v>299</v>
      </c>
      <c r="D33" s="113" t="s">
        <v>300</v>
      </c>
      <c r="E33" s="114" t="s">
        <v>301</v>
      </c>
      <c r="F33" s="150" t="s">
        <v>11</v>
      </c>
      <c r="G33" s="52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116" t="s">
        <v>319</v>
      </c>
      <c r="B34" s="117"/>
      <c r="C34" s="152"/>
      <c r="D34" s="119"/>
      <c r="E34" s="120"/>
      <c r="F34" s="121" t="s">
        <v>13</v>
      </c>
      <c r="G34" s="52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122" t="s">
        <v>303</v>
      </c>
      <c r="B35" s="123" t="s">
        <v>304</v>
      </c>
      <c r="C35" s="154"/>
      <c r="D35" s="125"/>
      <c r="E35" s="126"/>
      <c r="F35" s="127" t="s">
        <v>335</v>
      </c>
      <c r="G35" s="52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2.75" customHeight="1">
      <c r="A36" s="128" t="s">
        <v>336</v>
      </c>
      <c r="B36" s="129" t="s">
        <v>337</v>
      </c>
      <c r="C36" s="156">
        <v>1407.0</v>
      </c>
      <c r="D36" s="131">
        <v>35528.55</v>
      </c>
      <c r="E36" s="132">
        <v>37773.96</v>
      </c>
      <c r="F36" s="133" t="s">
        <v>338</v>
      </c>
      <c r="G36" s="52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2.75" customHeight="1">
      <c r="A37" s="169"/>
      <c r="B37" s="170"/>
      <c r="C37" s="156"/>
      <c r="D37" s="131"/>
      <c r="E37" s="132"/>
      <c r="F37" s="133" t="s">
        <v>339</v>
      </c>
      <c r="G37" s="52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2.75" customHeight="1">
      <c r="A38" s="171" t="s">
        <v>340</v>
      </c>
      <c r="B38" s="134" t="s">
        <v>341</v>
      </c>
      <c r="C38" s="156"/>
      <c r="D38" s="131"/>
      <c r="E38" s="132"/>
      <c r="F38" s="51" t="s">
        <v>342</v>
      </c>
      <c r="G38" s="52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2.75" customHeight="1">
      <c r="A39" s="137"/>
      <c r="B39" s="134"/>
      <c r="C39" s="156"/>
      <c r="D39" s="131"/>
      <c r="E39" s="132"/>
      <c r="F39" s="127" t="s">
        <v>343</v>
      </c>
      <c r="G39" s="52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2.75" customHeight="1">
      <c r="A40" s="137" t="s">
        <v>316</v>
      </c>
      <c r="B40" s="134"/>
      <c r="C40" s="156"/>
      <c r="D40" s="131"/>
      <c r="E40" s="132"/>
      <c r="F40" s="127" t="s">
        <v>344</v>
      </c>
      <c r="G40" s="52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8.75" customHeight="1">
      <c r="A41" s="142"/>
      <c r="B41" s="143"/>
      <c r="C41" s="172">
        <f t="shared" ref="C41:E41" si="3">SUM(C34:C40)</f>
        <v>1407</v>
      </c>
      <c r="D41" s="145">
        <f t="shared" si="3"/>
        <v>35528.55</v>
      </c>
      <c r="E41" s="146">
        <f t="shared" si="3"/>
        <v>37773.96</v>
      </c>
      <c r="F41" s="147" t="s">
        <v>345</v>
      </c>
      <c r="G41" s="52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33.0" customHeight="1">
      <c r="A42" s="148" t="s">
        <v>346</v>
      </c>
      <c r="B42" s="149"/>
      <c r="C42" s="112" t="s">
        <v>299</v>
      </c>
      <c r="D42" s="113" t="s">
        <v>300</v>
      </c>
      <c r="E42" s="114" t="s">
        <v>301</v>
      </c>
      <c r="F42" s="150" t="s">
        <v>11</v>
      </c>
      <c r="G42" s="52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36" t="s">
        <v>319</v>
      </c>
      <c r="B43" s="151"/>
      <c r="C43" s="152"/>
      <c r="D43" s="119"/>
      <c r="E43" s="120"/>
      <c r="F43" s="121" t="s">
        <v>13</v>
      </c>
      <c r="G43" s="52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153" t="s">
        <v>303</v>
      </c>
      <c r="B44" s="49" t="s">
        <v>304</v>
      </c>
      <c r="C44" s="154"/>
      <c r="D44" s="125"/>
      <c r="E44" s="126"/>
      <c r="F44" s="127" t="s">
        <v>347</v>
      </c>
      <c r="G44" s="52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2.75" customHeight="1">
      <c r="A45" s="173" t="s">
        <v>348</v>
      </c>
      <c r="B45" s="174" t="s">
        <v>349</v>
      </c>
      <c r="C45" s="156">
        <v>651.0</v>
      </c>
      <c r="D45" s="131">
        <v>18860.89</v>
      </c>
      <c r="E45" s="132">
        <v>19254.33</v>
      </c>
      <c r="F45" s="133" t="s">
        <v>350</v>
      </c>
      <c r="G45" s="52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2.75" customHeight="1">
      <c r="A46" s="48"/>
      <c r="B46" s="175"/>
      <c r="C46" s="156"/>
      <c r="D46" s="131"/>
      <c r="E46" s="132"/>
      <c r="F46" s="133" t="s">
        <v>351</v>
      </c>
      <c r="G46" s="52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2.75" customHeight="1">
      <c r="A47" s="160" t="s">
        <v>352</v>
      </c>
      <c r="B47" s="158" t="s">
        <v>353</v>
      </c>
      <c r="C47" s="156"/>
      <c r="D47" s="131"/>
      <c r="E47" s="132"/>
      <c r="F47" s="51" t="s">
        <v>354</v>
      </c>
      <c r="G47" s="52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2.75" customHeight="1">
      <c r="A48" s="160"/>
      <c r="B48" s="159"/>
      <c r="C48" s="156"/>
      <c r="D48" s="131"/>
      <c r="E48" s="132"/>
      <c r="F48" s="127" t="s">
        <v>355</v>
      </c>
      <c r="G48" s="52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0" customHeight="1">
      <c r="A49" s="160" t="s">
        <v>316</v>
      </c>
      <c r="B49" s="176"/>
      <c r="C49" s="156"/>
      <c r="D49" s="131"/>
      <c r="E49" s="132"/>
      <c r="F49" s="127" t="s">
        <v>356</v>
      </c>
      <c r="G49" s="52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8.75" customHeight="1">
      <c r="A50" s="177"/>
      <c r="B50" s="178"/>
      <c r="C50" s="172">
        <f t="shared" ref="C50:D50" si="4">SUM(C45:C49)</f>
        <v>651</v>
      </c>
      <c r="D50" s="145">
        <f t="shared" si="4"/>
        <v>18860.89</v>
      </c>
      <c r="E50" s="146">
        <f>SUM(E43:E49)</f>
        <v>19254.33</v>
      </c>
      <c r="F50" s="147" t="s">
        <v>357</v>
      </c>
      <c r="G50" s="52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33.0" customHeight="1">
      <c r="A51" s="179" t="s">
        <v>358</v>
      </c>
      <c r="B51" s="149"/>
      <c r="C51" s="112" t="s">
        <v>299</v>
      </c>
      <c r="D51" s="113" t="s">
        <v>300</v>
      </c>
      <c r="E51" s="114" t="s">
        <v>301</v>
      </c>
      <c r="F51" s="180" t="s">
        <v>11</v>
      </c>
      <c r="G51" s="52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75" customHeight="1">
      <c r="A52" s="36" t="s">
        <v>319</v>
      </c>
      <c r="B52" s="151"/>
      <c r="C52" s="181"/>
      <c r="D52" s="182"/>
      <c r="E52" s="183"/>
      <c r="F52" s="121" t="s">
        <v>13</v>
      </c>
      <c r="G52" s="52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2.75" customHeight="1">
      <c r="A53" s="153" t="s">
        <v>303</v>
      </c>
      <c r="B53" s="49" t="s">
        <v>304</v>
      </c>
      <c r="C53" s="184"/>
      <c r="D53" s="185"/>
      <c r="E53" s="186"/>
      <c r="F53" s="127" t="s">
        <v>359</v>
      </c>
      <c r="G53" s="52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2.75" customHeight="1">
      <c r="A54" s="173" t="s">
        <v>360</v>
      </c>
      <c r="B54" s="174" t="s">
        <v>361</v>
      </c>
      <c r="C54" s="156">
        <v>3218.0</v>
      </c>
      <c r="D54" s="131">
        <v>83562.26</v>
      </c>
      <c r="E54" s="132">
        <v>87910.06</v>
      </c>
      <c r="F54" s="133" t="s">
        <v>362</v>
      </c>
      <c r="G54" s="52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2.75" customHeight="1">
      <c r="A55" s="42"/>
      <c r="B55" s="49"/>
      <c r="C55" s="156"/>
      <c r="D55" s="131"/>
      <c r="E55" s="132"/>
      <c r="F55" s="133" t="s">
        <v>363</v>
      </c>
      <c r="G55" s="52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2.75" customHeight="1">
      <c r="A56" s="160" t="s">
        <v>364</v>
      </c>
      <c r="B56" s="158" t="s">
        <v>365</v>
      </c>
      <c r="C56" s="156"/>
      <c r="D56" s="131"/>
      <c r="E56" s="132"/>
      <c r="F56" s="51" t="s">
        <v>366</v>
      </c>
      <c r="G56" s="52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2.75" customHeight="1">
      <c r="A57" s="160" t="s">
        <v>367</v>
      </c>
      <c r="B57" s="157"/>
      <c r="C57" s="156"/>
      <c r="D57" s="131"/>
      <c r="E57" s="132"/>
      <c r="F57" s="127" t="s">
        <v>368</v>
      </c>
      <c r="G57" s="52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2.75" customHeight="1">
      <c r="A58" s="160"/>
      <c r="B58" s="176"/>
      <c r="C58" s="156"/>
      <c r="D58" s="131"/>
      <c r="E58" s="132"/>
      <c r="F58" s="127" t="s">
        <v>369</v>
      </c>
      <c r="G58" s="52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2.75" customHeight="1">
      <c r="A59" s="160" t="s">
        <v>316</v>
      </c>
      <c r="B59" s="176"/>
      <c r="C59" s="156"/>
      <c r="D59" s="131"/>
      <c r="E59" s="132"/>
      <c r="F59" s="141" t="s">
        <v>370</v>
      </c>
      <c r="G59" s="52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8.75" customHeight="1">
      <c r="A60" s="164"/>
      <c r="B60" s="165"/>
      <c r="C60" s="166">
        <f t="shared" ref="C60:E60" si="5">SUM(C52:C59)</f>
        <v>3218</v>
      </c>
      <c r="D60" s="145">
        <f t="shared" si="5"/>
        <v>83562.26</v>
      </c>
      <c r="E60" s="146">
        <f t="shared" si="5"/>
        <v>87910.06</v>
      </c>
      <c r="F60" s="147"/>
      <c r="G60" s="52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33.0" customHeight="1">
      <c r="A61" s="179" t="s">
        <v>371</v>
      </c>
      <c r="B61" s="149"/>
      <c r="C61" s="112" t="s">
        <v>299</v>
      </c>
      <c r="D61" s="113" t="s">
        <v>300</v>
      </c>
      <c r="E61" s="114" t="s">
        <v>301</v>
      </c>
      <c r="F61" s="150" t="s">
        <v>11</v>
      </c>
      <c r="G61" s="52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2.75" customHeight="1">
      <c r="A62" s="187" t="s">
        <v>319</v>
      </c>
      <c r="B62" s="188"/>
      <c r="C62" s="189"/>
      <c r="D62" s="182"/>
      <c r="E62" s="183"/>
      <c r="F62" s="121" t="s">
        <v>13</v>
      </c>
      <c r="G62" s="52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2.75" customHeight="1">
      <c r="A63" s="190" t="s">
        <v>303</v>
      </c>
      <c r="B63" s="161" t="s">
        <v>304</v>
      </c>
      <c r="C63" s="191"/>
      <c r="D63" s="185"/>
      <c r="E63" s="186"/>
      <c r="F63" s="127" t="s">
        <v>372</v>
      </c>
      <c r="G63" s="52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2.75" customHeight="1">
      <c r="A64" s="173" t="s">
        <v>373</v>
      </c>
      <c r="B64" s="174" t="s">
        <v>361</v>
      </c>
      <c r="C64" s="192">
        <v>3196.0</v>
      </c>
      <c r="D64" s="131">
        <v>83509.68</v>
      </c>
      <c r="E64" s="132">
        <v>87647.88</v>
      </c>
      <c r="F64" s="133" t="s">
        <v>374</v>
      </c>
      <c r="G64" s="52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2.75" customHeight="1">
      <c r="A65" s="173"/>
      <c r="B65" s="161"/>
      <c r="C65" s="192"/>
      <c r="D65" s="131"/>
      <c r="E65" s="186"/>
      <c r="F65" s="133" t="s">
        <v>375</v>
      </c>
      <c r="G65" s="52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2.75" customHeight="1">
      <c r="A66" s="162" t="s">
        <v>376</v>
      </c>
      <c r="B66" s="158" t="s">
        <v>377</v>
      </c>
      <c r="C66" s="192"/>
      <c r="D66" s="131"/>
      <c r="E66" s="186"/>
      <c r="F66" s="51" t="s">
        <v>378</v>
      </c>
      <c r="G66" s="52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2.75" customHeight="1">
      <c r="A67" s="162" t="s">
        <v>379</v>
      </c>
      <c r="B67" s="158"/>
      <c r="C67" s="192"/>
      <c r="D67" s="131"/>
      <c r="E67" s="132"/>
      <c r="F67" s="127" t="s">
        <v>380</v>
      </c>
      <c r="G67" s="52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2.75" customHeight="1">
      <c r="A68" s="42"/>
      <c r="B68" s="157"/>
      <c r="C68" s="156"/>
      <c r="D68" s="131"/>
      <c r="E68" s="132"/>
      <c r="F68" s="127" t="s">
        <v>381</v>
      </c>
      <c r="G68" s="52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8.75" customHeight="1">
      <c r="A69" s="42" t="s">
        <v>382</v>
      </c>
      <c r="B69" s="157"/>
      <c r="C69" s="193"/>
      <c r="D69" s="139"/>
      <c r="E69" s="140"/>
      <c r="F69" s="141" t="s">
        <v>383</v>
      </c>
      <c r="G69" s="52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8.75" customHeight="1">
      <c r="A70" s="164"/>
      <c r="B70" s="178"/>
      <c r="C70" s="172">
        <f t="shared" ref="C70:D70" si="6">SUM(C62:C68)</f>
        <v>3196</v>
      </c>
      <c r="D70" s="145">
        <f t="shared" si="6"/>
        <v>83509.68</v>
      </c>
      <c r="E70" s="146">
        <f>SUM(E62:E69)</f>
        <v>87647.88</v>
      </c>
      <c r="F70" s="147"/>
      <c r="G70" s="52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33.0" customHeight="1">
      <c r="A71" s="179" t="s">
        <v>384</v>
      </c>
      <c r="B71" s="149"/>
      <c r="C71" s="112" t="s">
        <v>299</v>
      </c>
      <c r="D71" s="113" t="s">
        <v>300</v>
      </c>
      <c r="E71" s="114" t="s">
        <v>301</v>
      </c>
      <c r="F71" s="150" t="s">
        <v>11</v>
      </c>
      <c r="G71" s="52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75" customHeight="1">
      <c r="A72" s="194" t="s">
        <v>385</v>
      </c>
      <c r="B72" s="195"/>
      <c r="C72" s="196"/>
      <c r="D72" s="182"/>
      <c r="E72" s="183"/>
      <c r="F72" s="121" t="s">
        <v>13</v>
      </c>
      <c r="G72" s="52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.75" customHeight="1">
      <c r="A73" s="197" t="s">
        <v>303</v>
      </c>
      <c r="B73" s="198" t="s">
        <v>304</v>
      </c>
      <c r="C73" s="199"/>
      <c r="D73" s="185"/>
      <c r="E73" s="186"/>
      <c r="F73" s="127" t="s">
        <v>386</v>
      </c>
      <c r="G73" s="52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2.75" customHeight="1">
      <c r="A74" s="200" t="s">
        <v>306</v>
      </c>
      <c r="B74" s="201" t="s">
        <v>15</v>
      </c>
      <c r="C74" s="130">
        <v>3276.0</v>
      </c>
      <c r="D74" s="131">
        <v>91877.68</v>
      </c>
      <c r="E74" s="132">
        <v>96261.23</v>
      </c>
      <c r="F74" s="133" t="s">
        <v>387</v>
      </c>
      <c r="G74" s="52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75" customHeight="1">
      <c r="A75" s="200" t="s">
        <v>308</v>
      </c>
      <c r="B75" s="201" t="s">
        <v>309</v>
      </c>
      <c r="C75" s="130">
        <v>1722.0</v>
      </c>
      <c r="D75" s="131">
        <v>43836.55</v>
      </c>
      <c r="E75" s="132">
        <v>46284.2</v>
      </c>
      <c r="F75" s="133" t="s">
        <v>388</v>
      </c>
      <c r="G75" s="52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2.75" customHeight="1">
      <c r="A76" s="171"/>
      <c r="B76" s="202"/>
      <c r="C76" s="130"/>
      <c r="D76" s="131"/>
      <c r="E76" s="132"/>
      <c r="F76" s="51" t="s">
        <v>389</v>
      </c>
      <c r="G76" s="52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75" customHeight="1">
      <c r="A77" s="171" t="s">
        <v>390</v>
      </c>
      <c r="B77" s="202" t="s">
        <v>391</v>
      </c>
      <c r="C77" s="130"/>
      <c r="D77" s="131"/>
      <c r="E77" s="132"/>
      <c r="F77" s="127" t="s">
        <v>392</v>
      </c>
      <c r="G77" s="52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2.75" customHeight="1">
      <c r="A78" s="171" t="s">
        <v>393</v>
      </c>
      <c r="B78" s="202" t="s">
        <v>394</v>
      </c>
      <c r="C78" s="130"/>
      <c r="D78" s="131"/>
      <c r="E78" s="132"/>
      <c r="F78" s="127" t="s">
        <v>395</v>
      </c>
      <c r="G78" s="52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customHeight="1">
      <c r="A79" s="171" t="s">
        <v>396</v>
      </c>
      <c r="B79" s="202" t="s">
        <v>397</v>
      </c>
      <c r="C79" s="138"/>
      <c r="D79" s="139"/>
      <c r="E79" s="140"/>
      <c r="F79" s="141" t="s">
        <v>398</v>
      </c>
      <c r="G79" s="52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0" customHeight="1">
      <c r="A80" s="171" t="s">
        <v>399</v>
      </c>
      <c r="B80" s="202" t="s">
        <v>400</v>
      </c>
      <c r="C80" s="138"/>
      <c r="D80" s="139"/>
      <c r="E80" s="140"/>
      <c r="F80" s="141"/>
      <c r="G80" s="52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0" customHeight="1">
      <c r="A81" s="128"/>
      <c r="B81" s="134"/>
      <c r="C81" s="138"/>
      <c r="D81" s="139"/>
      <c r="E81" s="140"/>
      <c r="F81" s="141"/>
      <c r="G81" s="52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8.75" customHeight="1">
      <c r="A82" s="128" t="s">
        <v>316</v>
      </c>
      <c r="B82" s="134"/>
      <c r="C82" s="138"/>
      <c r="D82" s="139"/>
      <c r="E82" s="140"/>
      <c r="F82" s="141"/>
      <c r="G82" s="52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8.75" customHeight="1">
      <c r="A83" s="203"/>
      <c r="B83" s="143"/>
      <c r="C83" s="144">
        <f t="shared" ref="C83:D83" si="7">SUM(C72:C78)</f>
        <v>4998</v>
      </c>
      <c r="D83" s="145">
        <f t="shared" si="7"/>
        <v>135714.23</v>
      </c>
      <c r="E83" s="146">
        <f>SUM(E72:E82)</f>
        <v>142545.43</v>
      </c>
      <c r="F83" s="147"/>
      <c r="G83" s="52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33.0" customHeight="1">
      <c r="A84" s="179" t="s">
        <v>401</v>
      </c>
      <c r="B84" s="149"/>
      <c r="C84" s="112" t="s">
        <v>299</v>
      </c>
      <c r="D84" s="113" t="s">
        <v>300</v>
      </c>
      <c r="E84" s="114" t="s">
        <v>301</v>
      </c>
      <c r="F84" s="150" t="s">
        <v>11</v>
      </c>
      <c r="G84" s="52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2.75" customHeight="1">
      <c r="A85" s="116" t="s">
        <v>385</v>
      </c>
      <c r="B85" s="117"/>
      <c r="C85" s="181"/>
      <c r="D85" s="182"/>
      <c r="E85" s="183"/>
      <c r="F85" s="121" t="s">
        <v>13</v>
      </c>
      <c r="G85" s="52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2.75" customHeight="1">
      <c r="A86" s="122" t="s">
        <v>303</v>
      </c>
      <c r="B86" s="123" t="s">
        <v>304</v>
      </c>
      <c r="C86" s="184"/>
      <c r="D86" s="185"/>
      <c r="E86" s="186"/>
      <c r="F86" s="127" t="s">
        <v>402</v>
      </c>
      <c r="G86" s="52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2.75" customHeight="1">
      <c r="A87" s="128" t="s">
        <v>336</v>
      </c>
      <c r="B87" s="129" t="s">
        <v>337</v>
      </c>
      <c r="C87" s="156">
        <v>1050.0</v>
      </c>
      <c r="D87" s="131">
        <v>25314.33</v>
      </c>
      <c r="E87" s="132">
        <v>26784.48</v>
      </c>
      <c r="F87" s="133" t="s">
        <v>403</v>
      </c>
      <c r="G87" s="52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2.75" customHeight="1">
      <c r="A88" s="128"/>
      <c r="B88" s="134"/>
      <c r="C88" s="156"/>
      <c r="D88" s="131"/>
      <c r="E88" s="132"/>
      <c r="F88" s="133" t="s">
        <v>404</v>
      </c>
      <c r="G88" s="52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2.75" customHeight="1">
      <c r="A89" s="171" t="s">
        <v>405</v>
      </c>
      <c r="B89" s="134"/>
      <c r="C89" s="156"/>
      <c r="D89" s="131"/>
      <c r="E89" s="132"/>
      <c r="F89" s="51" t="s">
        <v>406</v>
      </c>
      <c r="G89" s="52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2.75" customHeight="1">
      <c r="A90" s="137"/>
      <c r="B90" s="134"/>
      <c r="C90" s="156"/>
      <c r="D90" s="131"/>
      <c r="E90" s="132"/>
      <c r="F90" s="127" t="s">
        <v>407</v>
      </c>
      <c r="G90" s="52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2.75" customHeight="1">
      <c r="A91" s="137" t="s">
        <v>316</v>
      </c>
      <c r="B91" s="134"/>
      <c r="C91" s="156"/>
      <c r="D91" s="131"/>
      <c r="E91" s="132"/>
      <c r="F91" s="127" t="s">
        <v>408</v>
      </c>
      <c r="G91" s="52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8.75" customHeight="1">
      <c r="A92" s="203"/>
      <c r="B92" s="143"/>
      <c r="C92" s="172">
        <f t="shared" ref="C92:E92" si="8">SUM(C85:C91)</f>
        <v>1050</v>
      </c>
      <c r="D92" s="145">
        <f t="shared" si="8"/>
        <v>25314.33</v>
      </c>
      <c r="E92" s="146">
        <f t="shared" si="8"/>
        <v>26784.48</v>
      </c>
      <c r="F92" s="147" t="s">
        <v>409</v>
      </c>
      <c r="G92" s="52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33.0" customHeight="1">
      <c r="A93" s="179" t="s">
        <v>410</v>
      </c>
      <c r="B93" s="149"/>
      <c r="C93" s="112" t="s">
        <v>299</v>
      </c>
      <c r="D93" s="113" t="s">
        <v>300</v>
      </c>
      <c r="E93" s="114" t="s">
        <v>301</v>
      </c>
      <c r="F93" s="150" t="s">
        <v>11</v>
      </c>
      <c r="G93" s="52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116" t="s">
        <v>385</v>
      </c>
      <c r="B94" s="117"/>
      <c r="C94" s="118"/>
      <c r="D94" s="119"/>
      <c r="E94" s="120"/>
      <c r="F94" s="121" t="s">
        <v>13</v>
      </c>
      <c r="G94" s="52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122" t="s">
        <v>303</v>
      </c>
      <c r="B95" s="123" t="s">
        <v>304</v>
      </c>
      <c r="C95" s="204"/>
      <c r="D95" s="125"/>
      <c r="E95" s="126"/>
      <c r="F95" s="127" t="s">
        <v>411</v>
      </c>
      <c r="G95" s="52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2.75" customHeight="1">
      <c r="A96" s="200" t="s">
        <v>348</v>
      </c>
      <c r="B96" s="201" t="s">
        <v>349</v>
      </c>
      <c r="C96" s="130">
        <v>147.0</v>
      </c>
      <c r="D96" s="131">
        <v>3969.95</v>
      </c>
      <c r="E96" s="132">
        <v>4194.89</v>
      </c>
      <c r="F96" s="133" t="s">
        <v>412</v>
      </c>
      <c r="G96" s="52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2.75" customHeight="1">
      <c r="A97" s="137"/>
      <c r="B97" s="134"/>
      <c r="C97" s="130"/>
      <c r="D97" s="131"/>
      <c r="E97" s="132"/>
      <c r="F97" s="133" t="s">
        <v>413</v>
      </c>
      <c r="G97" s="52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2.75" customHeight="1">
      <c r="A98" s="136" t="s">
        <v>414</v>
      </c>
      <c r="B98" s="135"/>
      <c r="C98" s="130"/>
      <c r="D98" s="131"/>
      <c r="E98" s="132"/>
      <c r="F98" s="51" t="s">
        <v>415</v>
      </c>
      <c r="G98" s="52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75" customHeight="1">
      <c r="A99" s="135"/>
      <c r="B99" s="135"/>
      <c r="C99" s="130"/>
      <c r="D99" s="131"/>
      <c r="E99" s="132"/>
      <c r="F99" s="127" t="s">
        <v>416</v>
      </c>
      <c r="G99" s="52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0" customHeight="1">
      <c r="A100" s="135" t="s">
        <v>316</v>
      </c>
      <c r="B100" s="135"/>
      <c r="C100" s="130"/>
      <c r="D100" s="131"/>
      <c r="E100" s="132"/>
      <c r="F100" s="127" t="s">
        <v>417</v>
      </c>
      <c r="G100" s="52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8.75" customHeight="1">
      <c r="A101" s="142"/>
      <c r="B101" s="143"/>
      <c r="C101" s="144">
        <f>SUM(C96:C100)</f>
        <v>147</v>
      </c>
      <c r="D101" s="145">
        <f t="shared" ref="D101:E101" si="9">SUM(D94:D100)</f>
        <v>3969.95</v>
      </c>
      <c r="E101" s="146">
        <f t="shared" si="9"/>
        <v>4194.89</v>
      </c>
      <c r="F101" s="147" t="s">
        <v>418</v>
      </c>
      <c r="G101" s="52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33.0" customHeight="1">
      <c r="A102" s="179" t="s">
        <v>419</v>
      </c>
      <c r="B102" s="149"/>
      <c r="C102" s="112" t="s">
        <v>299</v>
      </c>
      <c r="D102" s="113" t="s">
        <v>300</v>
      </c>
      <c r="E102" s="114" t="s">
        <v>301</v>
      </c>
      <c r="F102" s="150" t="s">
        <v>11</v>
      </c>
      <c r="G102" s="52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.75" customHeight="1">
      <c r="A103" s="116" t="s">
        <v>385</v>
      </c>
      <c r="B103" s="117"/>
      <c r="C103" s="181"/>
      <c r="D103" s="182"/>
      <c r="E103" s="183"/>
      <c r="F103" s="121" t="s">
        <v>13</v>
      </c>
      <c r="G103" s="52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2.75" customHeight="1">
      <c r="A104" s="122" t="s">
        <v>303</v>
      </c>
      <c r="B104" s="123" t="s">
        <v>304</v>
      </c>
      <c r="C104" s="205"/>
      <c r="D104" s="185"/>
      <c r="E104" s="186"/>
      <c r="F104" s="127" t="s">
        <v>420</v>
      </c>
      <c r="G104" s="52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2.75" customHeight="1">
      <c r="A105" s="200" t="s">
        <v>360</v>
      </c>
      <c r="B105" s="201" t="s">
        <v>361</v>
      </c>
      <c r="C105" s="130">
        <v>2033.0</v>
      </c>
      <c r="D105" s="131">
        <v>55748.93</v>
      </c>
      <c r="E105" s="132">
        <v>58571.23</v>
      </c>
      <c r="F105" s="133" t="s">
        <v>421</v>
      </c>
      <c r="G105" s="52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2.75" customHeight="1">
      <c r="A106" s="137"/>
      <c r="B106" s="134"/>
      <c r="C106" s="130"/>
      <c r="D106" s="131"/>
      <c r="E106" s="132"/>
      <c r="F106" s="133" t="s">
        <v>422</v>
      </c>
      <c r="G106" s="52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2.75" customHeight="1">
      <c r="A107" s="137" t="s">
        <v>423</v>
      </c>
      <c r="B107" s="134" t="s">
        <v>424</v>
      </c>
      <c r="C107" s="130"/>
      <c r="D107" s="131"/>
      <c r="E107" s="132"/>
      <c r="F107" s="51" t="s">
        <v>425</v>
      </c>
      <c r="G107" s="52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0" customHeight="1">
      <c r="A108" s="137"/>
      <c r="B108" s="134"/>
      <c r="C108" s="130"/>
      <c r="D108" s="131"/>
      <c r="E108" s="132"/>
      <c r="F108" s="127" t="s">
        <v>426</v>
      </c>
      <c r="G108" s="52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2.75" customHeight="1">
      <c r="A109" s="137" t="s">
        <v>316</v>
      </c>
      <c r="B109" s="134"/>
      <c r="C109" s="130"/>
      <c r="D109" s="131"/>
      <c r="E109" s="132"/>
      <c r="F109" s="127" t="s">
        <v>427</v>
      </c>
      <c r="G109" s="52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8.75" customHeight="1">
      <c r="A110" s="142"/>
      <c r="B110" s="143"/>
      <c r="C110" s="144">
        <f t="shared" ref="C110:E110" si="10">SUM(C103:C109)</f>
        <v>2033</v>
      </c>
      <c r="D110" s="145">
        <f t="shared" si="10"/>
        <v>55748.93</v>
      </c>
      <c r="E110" s="146">
        <f t="shared" si="10"/>
        <v>58571.23</v>
      </c>
      <c r="F110" s="147" t="s">
        <v>428</v>
      </c>
      <c r="G110" s="52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33.0" customHeight="1">
      <c r="A111" s="179" t="s">
        <v>429</v>
      </c>
      <c r="B111" s="149"/>
      <c r="C111" s="112" t="s">
        <v>299</v>
      </c>
      <c r="D111" s="113" t="s">
        <v>300</v>
      </c>
      <c r="E111" s="114" t="s">
        <v>301</v>
      </c>
      <c r="F111" s="150" t="s">
        <v>11</v>
      </c>
      <c r="G111" s="52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2.75" customHeight="1">
      <c r="A112" s="116" t="s">
        <v>385</v>
      </c>
      <c r="B112" s="117"/>
      <c r="C112" s="196"/>
      <c r="D112" s="182"/>
      <c r="E112" s="183"/>
      <c r="F112" s="121" t="s">
        <v>13</v>
      </c>
      <c r="G112" s="52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2.75" customHeight="1">
      <c r="A113" s="122" t="s">
        <v>303</v>
      </c>
      <c r="B113" s="123" t="s">
        <v>304</v>
      </c>
      <c r="C113" s="199"/>
      <c r="D113" s="185"/>
      <c r="E113" s="186"/>
      <c r="F113" s="127" t="s">
        <v>430</v>
      </c>
      <c r="G113" s="52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2.75" customHeight="1">
      <c r="A114" s="200" t="s">
        <v>373</v>
      </c>
      <c r="B114" s="201" t="s">
        <v>361</v>
      </c>
      <c r="C114" s="130">
        <v>2081.0</v>
      </c>
      <c r="D114" s="131">
        <v>55094.53</v>
      </c>
      <c r="E114" s="132">
        <v>58001.33</v>
      </c>
      <c r="F114" s="133" t="s">
        <v>431</v>
      </c>
      <c r="G114" s="52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2.75" customHeight="1">
      <c r="A115" s="128"/>
      <c r="B115" s="134"/>
      <c r="C115" s="130"/>
      <c r="D115" s="131"/>
      <c r="E115" s="132"/>
      <c r="F115" s="133" t="s">
        <v>432</v>
      </c>
      <c r="G115" s="52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2.75" customHeight="1">
      <c r="A116" s="128" t="s">
        <v>433</v>
      </c>
      <c r="B116" s="134" t="s">
        <v>434</v>
      </c>
      <c r="C116" s="130"/>
      <c r="D116" s="131"/>
      <c r="E116" s="132"/>
      <c r="F116" s="51" t="s">
        <v>435</v>
      </c>
      <c r="G116" s="52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2.75" customHeight="1">
      <c r="A117" s="128"/>
      <c r="B117" s="134"/>
      <c r="C117" s="130"/>
      <c r="D117" s="131"/>
      <c r="E117" s="132"/>
      <c r="F117" s="127" t="s">
        <v>436</v>
      </c>
      <c r="G117" s="52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2.75" customHeight="1">
      <c r="A118" s="128" t="s">
        <v>316</v>
      </c>
      <c r="B118" s="134"/>
      <c r="C118" s="130"/>
      <c r="D118" s="131"/>
      <c r="E118" s="132"/>
      <c r="F118" s="127" t="s">
        <v>437</v>
      </c>
      <c r="G118" s="52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8.75" customHeight="1">
      <c r="A119" s="142"/>
      <c r="B119" s="143"/>
      <c r="C119" s="172">
        <f t="shared" ref="C119:E119" si="11">SUM(C112:C118)</f>
        <v>2081</v>
      </c>
      <c r="D119" s="145">
        <f t="shared" si="11"/>
        <v>55094.53</v>
      </c>
      <c r="E119" s="146">
        <f t="shared" si="11"/>
        <v>58001.33</v>
      </c>
      <c r="F119" s="147" t="s">
        <v>438</v>
      </c>
      <c r="G119" s="52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33.0" customHeight="1">
      <c r="A120" s="179" t="s">
        <v>439</v>
      </c>
      <c r="B120" s="149"/>
      <c r="C120" s="112" t="s">
        <v>299</v>
      </c>
      <c r="D120" s="113" t="s">
        <v>300</v>
      </c>
      <c r="E120" s="114" t="s">
        <v>301</v>
      </c>
      <c r="F120" s="150" t="s">
        <v>11</v>
      </c>
      <c r="G120" s="52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75" customHeight="1">
      <c r="A121" s="194" t="s">
        <v>440</v>
      </c>
      <c r="B121" s="195"/>
      <c r="C121" s="181"/>
      <c r="D121" s="182"/>
      <c r="E121" s="183"/>
      <c r="F121" s="121" t="s">
        <v>13</v>
      </c>
      <c r="G121" s="52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75" customHeight="1">
      <c r="A122" s="197" t="s">
        <v>303</v>
      </c>
      <c r="B122" s="198" t="s">
        <v>304</v>
      </c>
      <c r="C122" s="184"/>
      <c r="D122" s="185"/>
      <c r="E122" s="186"/>
      <c r="F122" s="127" t="s">
        <v>441</v>
      </c>
      <c r="G122" s="52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2.75" customHeight="1">
      <c r="A123" s="200" t="s">
        <v>306</v>
      </c>
      <c r="B123" s="201" t="s">
        <v>15</v>
      </c>
      <c r="C123" s="156">
        <v>883.0</v>
      </c>
      <c r="D123" s="131">
        <v>24468.392</v>
      </c>
      <c r="E123" s="132">
        <v>25587.655</v>
      </c>
      <c r="F123" s="133" t="s">
        <v>442</v>
      </c>
      <c r="G123" s="52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2.75" customHeight="1">
      <c r="A124" s="200" t="s">
        <v>308</v>
      </c>
      <c r="B124" s="201" t="s">
        <v>309</v>
      </c>
      <c r="C124" s="156">
        <v>857.0</v>
      </c>
      <c r="D124" s="131">
        <v>22342.21</v>
      </c>
      <c r="E124" s="132">
        <v>23402.947</v>
      </c>
      <c r="F124" s="133" t="s">
        <v>443</v>
      </c>
      <c r="G124" s="52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2.75" customHeight="1">
      <c r="A125" s="200"/>
      <c r="B125" s="202"/>
      <c r="C125" s="156"/>
      <c r="D125" s="131"/>
      <c r="E125" s="132"/>
      <c r="F125" s="51" t="s">
        <v>444</v>
      </c>
      <c r="G125" s="52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2.75" customHeight="1">
      <c r="A126" s="200" t="s">
        <v>445</v>
      </c>
      <c r="B126" s="198" t="s">
        <v>446</v>
      </c>
      <c r="C126" s="156"/>
      <c r="D126" s="131"/>
      <c r="E126" s="132"/>
      <c r="F126" s="127" t="s">
        <v>447</v>
      </c>
      <c r="G126" s="52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0" customHeight="1">
      <c r="A127" s="200" t="s">
        <v>448</v>
      </c>
      <c r="B127" s="198" t="s">
        <v>449</v>
      </c>
      <c r="C127" s="156"/>
      <c r="D127" s="131"/>
      <c r="E127" s="132"/>
      <c r="F127" s="127" t="s">
        <v>450</v>
      </c>
      <c r="G127" s="52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0" customHeight="1">
      <c r="A128" s="128"/>
      <c r="B128" s="123"/>
      <c r="C128" s="156"/>
      <c r="D128" s="131"/>
      <c r="E128" s="132"/>
      <c r="F128" s="141" t="s">
        <v>451</v>
      </c>
      <c r="G128" s="52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0" customHeight="1">
      <c r="A129" s="128" t="s">
        <v>316</v>
      </c>
      <c r="B129" s="123"/>
      <c r="C129" s="156"/>
      <c r="D129" s="131"/>
      <c r="E129" s="132"/>
      <c r="F129" s="141"/>
      <c r="G129" s="52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8.75" customHeight="1">
      <c r="A130" s="142"/>
      <c r="B130" s="143"/>
      <c r="C130" s="172">
        <f t="shared" ref="C130:E130" si="12">SUM(C121:C129)</f>
        <v>1740</v>
      </c>
      <c r="D130" s="145">
        <f t="shared" si="12"/>
        <v>46810.602</v>
      </c>
      <c r="E130" s="146">
        <f t="shared" si="12"/>
        <v>48990.602</v>
      </c>
      <c r="F130" s="147"/>
      <c r="G130" s="52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33.0" customHeight="1">
      <c r="A131" s="179" t="s">
        <v>452</v>
      </c>
      <c r="B131" s="149"/>
      <c r="C131" s="112" t="s">
        <v>299</v>
      </c>
      <c r="D131" s="113" t="s">
        <v>300</v>
      </c>
      <c r="E131" s="114" t="s">
        <v>301</v>
      </c>
      <c r="F131" s="150" t="s">
        <v>11</v>
      </c>
      <c r="G131" s="52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2.75" customHeight="1">
      <c r="A132" s="116" t="s">
        <v>440</v>
      </c>
      <c r="B132" s="117"/>
      <c r="C132" s="181"/>
      <c r="D132" s="182"/>
      <c r="E132" s="183"/>
      <c r="F132" s="121" t="s">
        <v>13</v>
      </c>
      <c r="G132" s="52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2.75" customHeight="1">
      <c r="A133" s="122" t="s">
        <v>303</v>
      </c>
      <c r="B133" s="123" t="s">
        <v>304</v>
      </c>
      <c r="C133" s="184"/>
      <c r="D133" s="185"/>
      <c r="E133" s="186"/>
      <c r="F133" s="127" t="s">
        <v>453</v>
      </c>
      <c r="G133" s="52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75" customHeight="1">
      <c r="A134" s="200" t="s">
        <v>454</v>
      </c>
      <c r="B134" s="129" t="s">
        <v>337</v>
      </c>
      <c r="C134" s="156">
        <v>2610.0</v>
      </c>
      <c r="D134" s="131">
        <v>56158.08</v>
      </c>
      <c r="E134" s="132">
        <v>59415.58</v>
      </c>
      <c r="F134" s="133" t="s">
        <v>455</v>
      </c>
      <c r="G134" s="52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75" customHeight="1">
      <c r="A135" s="200"/>
      <c r="B135" s="134"/>
      <c r="C135" s="156"/>
      <c r="D135" s="131"/>
      <c r="E135" s="132"/>
      <c r="F135" s="133" t="s">
        <v>456</v>
      </c>
      <c r="G135" s="52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.75" customHeight="1">
      <c r="A136" s="200" t="s">
        <v>457</v>
      </c>
      <c r="B136" s="198" t="s">
        <v>458</v>
      </c>
      <c r="C136" s="156"/>
      <c r="D136" s="131"/>
      <c r="E136" s="132"/>
      <c r="F136" s="51" t="s">
        <v>459</v>
      </c>
      <c r="G136" s="52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.75" customHeight="1">
      <c r="A137" s="200" t="s">
        <v>460</v>
      </c>
      <c r="B137" s="123"/>
      <c r="C137" s="156"/>
      <c r="D137" s="131"/>
      <c r="E137" s="132"/>
      <c r="F137" s="127" t="s">
        <v>461</v>
      </c>
      <c r="G137" s="52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2.75" customHeight="1">
      <c r="A138" s="128"/>
      <c r="B138" s="123"/>
      <c r="C138" s="156"/>
      <c r="D138" s="131"/>
      <c r="E138" s="132"/>
      <c r="F138" s="127" t="s">
        <v>462</v>
      </c>
      <c r="G138" s="52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2.75" customHeight="1">
      <c r="A139" s="128" t="s">
        <v>316</v>
      </c>
      <c r="B139" s="123"/>
      <c r="C139" s="156"/>
      <c r="D139" s="131"/>
      <c r="E139" s="132"/>
      <c r="F139" s="141" t="s">
        <v>463</v>
      </c>
      <c r="G139" s="52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8.75" customHeight="1">
      <c r="A140" s="142"/>
      <c r="B140" s="143"/>
      <c r="C140" s="172">
        <f t="shared" ref="C140:E140" si="13">SUM(C132:C139)</f>
        <v>2610</v>
      </c>
      <c r="D140" s="145">
        <f t="shared" si="13"/>
        <v>56158.08</v>
      </c>
      <c r="E140" s="146">
        <f t="shared" si="13"/>
        <v>59415.58</v>
      </c>
      <c r="F140" s="147"/>
      <c r="G140" s="52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33.0" customHeight="1">
      <c r="A141" s="179" t="s">
        <v>464</v>
      </c>
      <c r="B141" s="149"/>
      <c r="C141" s="112" t="s">
        <v>299</v>
      </c>
      <c r="D141" s="113" t="s">
        <v>300</v>
      </c>
      <c r="E141" s="114" t="s">
        <v>301</v>
      </c>
      <c r="F141" s="150" t="s">
        <v>11</v>
      </c>
      <c r="G141" s="52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.75" customHeight="1">
      <c r="A142" s="116" t="s">
        <v>440</v>
      </c>
      <c r="B142" s="117"/>
      <c r="C142" s="181"/>
      <c r="D142" s="182"/>
      <c r="E142" s="183"/>
      <c r="F142" s="121" t="s">
        <v>13</v>
      </c>
      <c r="G142" s="52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.75" customHeight="1">
      <c r="A143" s="122" t="s">
        <v>303</v>
      </c>
      <c r="B143" s="123" t="s">
        <v>304</v>
      </c>
      <c r="C143" s="184"/>
      <c r="D143" s="185"/>
      <c r="E143" s="186"/>
      <c r="F143" s="127" t="s">
        <v>465</v>
      </c>
      <c r="G143" s="52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.75" customHeight="1">
      <c r="A144" s="200" t="s">
        <v>348</v>
      </c>
      <c r="B144" s="201" t="s">
        <v>349</v>
      </c>
      <c r="C144" s="156">
        <v>265.0</v>
      </c>
      <c r="D144" s="131">
        <v>7401.135</v>
      </c>
      <c r="E144" s="132">
        <v>7724.885</v>
      </c>
      <c r="F144" s="133" t="s">
        <v>466</v>
      </c>
      <c r="G144" s="52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.75" customHeight="1">
      <c r="A145" s="200"/>
      <c r="B145" s="134"/>
      <c r="C145" s="156"/>
      <c r="D145" s="131"/>
      <c r="E145" s="132"/>
      <c r="F145" s="133" t="s">
        <v>467</v>
      </c>
      <c r="G145" s="52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2.75" customHeight="1">
      <c r="A146" s="200" t="s">
        <v>468</v>
      </c>
      <c r="B146" s="198" t="s">
        <v>469</v>
      </c>
      <c r="C146" s="156"/>
      <c r="D146" s="131"/>
      <c r="E146" s="132"/>
      <c r="F146" s="51" t="s">
        <v>470</v>
      </c>
      <c r="G146" s="52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75" customHeight="1">
      <c r="A147" s="200"/>
      <c r="B147" s="123"/>
      <c r="C147" s="156"/>
      <c r="D147" s="131"/>
      <c r="E147" s="132"/>
      <c r="F147" s="127" t="s">
        <v>471</v>
      </c>
      <c r="G147" s="52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75" customHeight="1">
      <c r="A148" s="200" t="s">
        <v>316</v>
      </c>
      <c r="B148" s="123"/>
      <c r="C148" s="156"/>
      <c r="D148" s="131"/>
      <c r="E148" s="132"/>
      <c r="F148" s="127" t="s">
        <v>472</v>
      </c>
      <c r="G148" s="52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8.75" customHeight="1">
      <c r="A149" s="142"/>
      <c r="B149" s="143"/>
      <c r="C149" s="172">
        <f t="shared" ref="C149:E149" si="14">SUM(C142:C148)</f>
        <v>265</v>
      </c>
      <c r="D149" s="145">
        <f t="shared" si="14"/>
        <v>7401.135</v>
      </c>
      <c r="E149" s="146">
        <f t="shared" si="14"/>
        <v>7724.885</v>
      </c>
      <c r="F149" s="147" t="s">
        <v>473</v>
      </c>
      <c r="G149" s="52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33.0" customHeight="1">
      <c r="A150" s="179" t="s">
        <v>474</v>
      </c>
      <c r="B150" s="149"/>
      <c r="C150" s="112" t="s">
        <v>299</v>
      </c>
      <c r="D150" s="113" t="s">
        <v>300</v>
      </c>
      <c r="E150" s="114" t="s">
        <v>301</v>
      </c>
      <c r="F150" s="150" t="s">
        <v>11</v>
      </c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.75" customHeight="1">
      <c r="A151" s="116" t="s">
        <v>440</v>
      </c>
      <c r="B151" s="117"/>
      <c r="C151" s="206"/>
      <c r="D151" s="207"/>
      <c r="E151" s="183"/>
      <c r="F151" s="121" t="s">
        <v>13</v>
      </c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.75" customHeight="1">
      <c r="A152" s="122" t="s">
        <v>303</v>
      </c>
      <c r="B152" s="123" t="s">
        <v>304</v>
      </c>
      <c r="C152" s="208"/>
      <c r="D152" s="209"/>
      <c r="E152" s="186"/>
      <c r="F152" s="127" t="s">
        <v>475</v>
      </c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.75" customHeight="1">
      <c r="A153" s="200" t="s">
        <v>360</v>
      </c>
      <c r="B153" s="201" t="s">
        <v>361</v>
      </c>
      <c r="C153" s="210">
        <v>3126.0</v>
      </c>
      <c r="D153" s="211">
        <v>84405.74</v>
      </c>
      <c r="E153" s="45">
        <v>88350.24</v>
      </c>
      <c r="F153" s="133" t="s">
        <v>476</v>
      </c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.75" customHeight="1">
      <c r="A154" s="200"/>
      <c r="B154" s="202"/>
      <c r="C154" s="212"/>
      <c r="D154" s="213"/>
      <c r="E154" s="132"/>
      <c r="F154" s="133" t="s">
        <v>477</v>
      </c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.75" customHeight="1">
      <c r="A155" s="200" t="s">
        <v>478</v>
      </c>
      <c r="B155" s="198" t="s">
        <v>479</v>
      </c>
      <c r="C155" s="212"/>
      <c r="D155" s="213"/>
      <c r="E155" s="132"/>
      <c r="F155" s="51" t="s">
        <v>480</v>
      </c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.75" customHeight="1">
      <c r="A156" s="200" t="s">
        <v>481</v>
      </c>
      <c r="B156" s="198"/>
      <c r="C156" s="212"/>
      <c r="D156" s="213"/>
      <c r="E156" s="132"/>
      <c r="F156" s="127" t="s">
        <v>482</v>
      </c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0" customHeight="1">
      <c r="A157" s="128"/>
      <c r="B157" s="123"/>
      <c r="C157" s="212"/>
      <c r="D157" s="213"/>
      <c r="E157" s="132"/>
      <c r="F157" s="127" t="s">
        <v>483</v>
      </c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0" customHeight="1">
      <c r="A158" s="128" t="s">
        <v>316</v>
      </c>
      <c r="B158" s="123"/>
      <c r="C158" s="212"/>
      <c r="D158" s="213"/>
      <c r="E158" s="132"/>
      <c r="F158" s="141" t="s">
        <v>484</v>
      </c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8.75" customHeight="1">
      <c r="A159" s="142"/>
      <c r="B159" s="143"/>
      <c r="C159" s="214">
        <f t="shared" ref="C159:E159" si="15">SUM(C151:C158)</f>
        <v>3126</v>
      </c>
      <c r="D159" s="215">
        <f t="shared" si="15"/>
        <v>84405.74</v>
      </c>
      <c r="E159" s="146">
        <f t="shared" si="15"/>
        <v>88350.24</v>
      </c>
      <c r="F159" s="216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33.0" customHeight="1">
      <c r="A160" s="179" t="s">
        <v>485</v>
      </c>
      <c r="B160" s="149"/>
      <c r="C160" s="112" t="s">
        <v>299</v>
      </c>
      <c r="D160" s="113" t="s">
        <v>300</v>
      </c>
      <c r="E160" s="114" t="s">
        <v>301</v>
      </c>
      <c r="F160" s="150" t="s">
        <v>11</v>
      </c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.75" customHeight="1">
      <c r="A161" s="116" t="s">
        <v>486</v>
      </c>
      <c r="B161" s="117"/>
      <c r="C161" s="181"/>
      <c r="D161" s="182"/>
      <c r="E161" s="183"/>
      <c r="F161" s="121" t="s">
        <v>13</v>
      </c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75" customHeight="1">
      <c r="A162" s="122" t="s">
        <v>303</v>
      </c>
      <c r="B162" s="123" t="s">
        <v>304</v>
      </c>
      <c r="C162" s="184"/>
      <c r="D162" s="185"/>
      <c r="E162" s="186"/>
      <c r="F162" s="127" t="s">
        <v>487</v>
      </c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.75" customHeight="1">
      <c r="A163" s="128" t="s">
        <v>306</v>
      </c>
      <c r="B163" s="129" t="s">
        <v>15</v>
      </c>
      <c r="C163" s="156">
        <v>5104.0</v>
      </c>
      <c r="D163" s="131">
        <v>140160.15</v>
      </c>
      <c r="E163" s="132">
        <v>146544.915</v>
      </c>
      <c r="F163" s="133" t="s">
        <v>488</v>
      </c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75" customHeight="1">
      <c r="A164" s="128" t="s">
        <v>308</v>
      </c>
      <c r="B164" s="129" t="s">
        <v>309</v>
      </c>
      <c r="C164" s="156">
        <v>825.0</v>
      </c>
      <c r="D164" s="131">
        <v>21493.05</v>
      </c>
      <c r="E164" s="132">
        <v>22546.285</v>
      </c>
      <c r="F164" s="133" t="s">
        <v>489</v>
      </c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75" customHeight="1">
      <c r="A165" s="128"/>
      <c r="B165" s="123"/>
      <c r="C165" s="156"/>
      <c r="D165" s="131"/>
      <c r="E165" s="132"/>
      <c r="F165" s="51" t="s">
        <v>490</v>
      </c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75" customHeight="1">
      <c r="A166" s="137" t="s">
        <v>491</v>
      </c>
      <c r="B166" s="134" t="s">
        <v>492</v>
      </c>
      <c r="C166" s="156"/>
      <c r="D166" s="131"/>
      <c r="E166" s="132"/>
      <c r="F166" s="127" t="s">
        <v>493</v>
      </c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0" customHeight="1">
      <c r="A167" s="137" t="s">
        <v>494</v>
      </c>
      <c r="B167" s="134" t="s">
        <v>495</v>
      </c>
      <c r="C167" s="156"/>
      <c r="D167" s="131"/>
      <c r="E167" s="132"/>
      <c r="F167" s="127" t="s">
        <v>496</v>
      </c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3.5" customHeight="1">
      <c r="A168" s="137" t="s">
        <v>497</v>
      </c>
      <c r="B168" s="202" t="s">
        <v>498</v>
      </c>
      <c r="C168" s="156"/>
      <c r="D168" s="131"/>
      <c r="E168" s="132"/>
      <c r="F168" s="141" t="s">
        <v>499</v>
      </c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75" customHeight="1">
      <c r="A169" s="171" t="s">
        <v>500</v>
      </c>
      <c r="B169" s="202" t="s">
        <v>501</v>
      </c>
      <c r="C169" s="156"/>
      <c r="D169" s="131"/>
      <c r="E169" s="132"/>
      <c r="F169" s="127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75" customHeight="1">
      <c r="A170" s="171" t="s">
        <v>502</v>
      </c>
      <c r="B170" s="134"/>
      <c r="C170" s="156"/>
      <c r="D170" s="131"/>
      <c r="E170" s="132"/>
      <c r="F170" s="127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0" customHeight="1">
      <c r="A171" s="137"/>
      <c r="B171" s="134"/>
      <c r="C171" s="156"/>
      <c r="D171" s="131"/>
      <c r="E171" s="132"/>
      <c r="F171" s="141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0" customHeight="1">
      <c r="A172" s="137" t="s">
        <v>316</v>
      </c>
      <c r="B172" s="134"/>
      <c r="C172" s="156"/>
      <c r="D172" s="131"/>
      <c r="E172" s="132"/>
      <c r="F172" s="141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8.75" customHeight="1">
      <c r="A173" s="142"/>
      <c r="B173" s="143"/>
      <c r="C173" s="172">
        <f t="shared" ref="C173:E173" si="16">SUM(C161:C172)</f>
        <v>5929</v>
      </c>
      <c r="D173" s="145">
        <f t="shared" si="16"/>
        <v>161653.2</v>
      </c>
      <c r="E173" s="146">
        <f t="shared" si="16"/>
        <v>169091.2</v>
      </c>
      <c r="F173" s="216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33.0" customHeight="1">
      <c r="A174" s="179" t="s">
        <v>503</v>
      </c>
      <c r="B174" s="149"/>
      <c r="C174" s="112" t="s">
        <v>299</v>
      </c>
      <c r="D174" s="113" t="s">
        <v>300</v>
      </c>
      <c r="E174" s="114" t="s">
        <v>301</v>
      </c>
      <c r="F174" s="150" t="s">
        <v>11</v>
      </c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75" customHeight="1">
      <c r="A175" s="116" t="s">
        <v>486</v>
      </c>
      <c r="B175" s="117"/>
      <c r="C175" s="206"/>
      <c r="D175" s="217"/>
      <c r="E175" s="218"/>
      <c r="F175" s="121" t="s">
        <v>13</v>
      </c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75" customHeight="1">
      <c r="A176" s="122" t="s">
        <v>303</v>
      </c>
      <c r="B176" s="123" t="s">
        <v>304</v>
      </c>
      <c r="C176" s="208"/>
      <c r="D176" s="219"/>
      <c r="E176" s="220"/>
      <c r="F176" s="127" t="s">
        <v>504</v>
      </c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75" customHeight="1">
      <c r="A177" s="200" t="s">
        <v>348</v>
      </c>
      <c r="B177" s="201" t="s">
        <v>349</v>
      </c>
      <c r="C177" s="210">
        <v>221.0</v>
      </c>
      <c r="D177" s="221">
        <v>6344.82</v>
      </c>
      <c r="E177" s="211">
        <v>6621.62</v>
      </c>
      <c r="F177" s="133" t="s">
        <v>505</v>
      </c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75" customHeight="1">
      <c r="A178" s="128"/>
      <c r="B178" s="134"/>
      <c r="C178" s="212"/>
      <c r="D178" s="222"/>
      <c r="E178" s="211"/>
      <c r="F178" s="133" t="s">
        <v>506</v>
      </c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75" customHeight="1">
      <c r="A179" s="137" t="s">
        <v>507</v>
      </c>
      <c r="B179" s="202" t="s">
        <v>508</v>
      </c>
      <c r="C179" s="212"/>
      <c r="D179" s="222"/>
      <c r="E179" s="211"/>
      <c r="F179" s="51" t="s">
        <v>509</v>
      </c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75" customHeight="1">
      <c r="A180" s="137"/>
      <c r="B180" s="134"/>
      <c r="C180" s="212"/>
      <c r="D180" s="222"/>
      <c r="E180" s="211"/>
      <c r="F180" s="127" t="s">
        <v>510</v>
      </c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0" customHeight="1">
      <c r="A181" s="137" t="s">
        <v>316</v>
      </c>
      <c r="B181" s="134"/>
      <c r="C181" s="212"/>
      <c r="D181" s="222"/>
      <c r="E181" s="211"/>
      <c r="F181" s="127" t="s">
        <v>511</v>
      </c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8.75" customHeight="1">
      <c r="A182" s="142"/>
      <c r="B182" s="143"/>
      <c r="C182" s="214">
        <f t="shared" ref="C182:E182" si="17">SUM(C175:C181)</f>
        <v>221</v>
      </c>
      <c r="D182" s="223">
        <f t="shared" si="17"/>
        <v>6344.82</v>
      </c>
      <c r="E182" s="224">
        <f t="shared" si="17"/>
        <v>6621.62</v>
      </c>
      <c r="F182" s="147" t="s">
        <v>512</v>
      </c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33.0" customHeight="1">
      <c r="A183" s="179" t="s">
        <v>513</v>
      </c>
      <c r="B183" s="149"/>
      <c r="C183" s="112" t="s">
        <v>299</v>
      </c>
      <c r="D183" s="113" t="s">
        <v>300</v>
      </c>
      <c r="E183" s="114" t="s">
        <v>301</v>
      </c>
      <c r="F183" s="150" t="s">
        <v>11</v>
      </c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75" customHeight="1">
      <c r="A184" s="116" t="s">
        <v>486</v>
      </c>
      <c r="B184" s="117"/>
      <c r="C184" s="181"/>
      <c r="D184" s="182"/>
      <c r="E184" s="183"/>
      <c r="F184" s="121" t="s">
        <v>13</v>
      </c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75" customHeight="1">
      <c r="A185" s="122" t="s">
        <v>303</v>
      </c>
      <c r="B185" s="123" t="s">
        <v>304</v>
      </c>
      <c r="C185" s="184"/>
      <c r="D185" s="185"/>
      <c r="E185" s="186"/>
      <c r="F185" s="127" t="s">
        <v>514</v>
      </c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75" customHeight="1">
      <c r="A186" s="200" t="s">
        <v>360</v>
      </c>
      <c r="B186" s="201" t="s">
        <v>361</v>
      </c>
      <c r="C186" s="156">
        <v>2119.0</v>
      </c>
      <c r="D186" s="131">
        <v>54777.78</v>
      </c>
      <c r="E186" s="132">
        <v>57439.83</v>
      </c>
      <c r="F186" s="133" t="s">
        <v>515</v>
      </c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75" customHeight="1">
      <c r="A187" s="128"/>
      <c r="B187" s="134"/>
      <c r="C187" s="156"/>
      <c r="D187" s="131"/>
      <c r="E187" s="132"/>
      <c r="F187" s="133" t="s">
        <v>516</v>
      </c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75" customHeight="1">
      <c r="A188" s="137" t="s">
        <v>517</v>
      </c>
      <c r="B188" s="134" t="s">
        <v>518</v>
      </c>
      <c r="C188" s="156"/>
      <c r="D188" s="131"/>
      <c r="E188" s="132"/>
      <c r="F188" s="51" t="s">
        <v>519</v>
      </c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75" customHeight="1">
      <c r="A189" s="137"/>
      <c r="B189" s="225"/>
      <c r="C189" s="156"/>
      <c r="D189" s="131"/>
      <c r="E189" s="132"/>
      <c r="F189" s="127" t="s">
        <v>436</v>
      </c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75" customHeight="1">
      <c r="A190" s="137" t="s">
        <v>316</v>
      </c>
      <c r="B190" s="225"/>
      <c r="C190" s="156"/>
      <c r="D190" s="131"/>
      <c r="E190" s="132"/>
      <c r="F190" s="127" t="s">
        <v>520</v>
      </c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8.75" customHeight="1">
      <c r="A191" s="142"/>
      <c r="B191" s="143"/>
      <c r="C191" s="172">
        <f t="shared" ref="C191:E191" si="18">SUM(C184:C190)</f>
        <v>2119</v>
      </c>
      <c r="D191" s="145">
        <f t="shared" si="18"/>
        <v>54777.78</v>
      </c>
      <c r="E191" s="146">
        <f t="shared" si="18"/>
        <v>57439.83</v>
      </c>
      <c r="F191" s="147" t="s">
        <v>521</v>
      </c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33.0" customHeight="1">
      <c r="A192" s="179" t="s">
        <v>522</v>
      </c>
      <c r="B192" s="149"/>
      <c r="C192" s="112" t="s">
        <v>299</v>
      </c>
      <c r="D192" s="113" t="s">
        <v>300</v>
      </c>
      <c r="E192" s="114" t="s">
        <v>301</v>
      </c>
      <c r="F192" s="150" t="s">
        <v>11</v>
      </c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75" customHeight="1">
      <c r="A193" s="226" t="s">
        <v>523</v>
      </c>
      <c r="B193" s="227"/>
      <c r="C193" s="181"/>
      <c r="D193" s="182"/>
      <c r="E193" s="183"/>
      <c r="F193" s="121" t="s">
        <v>13</v>
      </c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75" customHeight="1">
      <c r="A194" s="228" t="s">
        <v>303</v>
      </c>
      <c r="B194" s="229" t="s">
        <v>304</v>
      </c>
      <c r="C194" s="184"/>
      <c r="D194" s="185"/>
      <c r="E194" s="186"/>
      <c r="F194" s="127" t="s">
        <v>524</v>
      </c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75" customHeight="1">
      <c r="A195" s="230" t="s">
        <v>306</v>
      </c>
      <c r="B195" s="231" t="s">
        <v>15</v>
      </c>
      <c r="C195" s="156">
        <v>1657.0</v>
      </c>
      <c r="D195" s="131">
        <v>46831.94</v>
      </c>
      <c r="E195" s="132">
        <v>48920.835</v>
      </c>
      <c r="F195" s="133" t="s">
        <v>525</v>
      </c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75" customHeight="1">
      <c r="A196" s="230" t="s">
        <v>308</v>
      </c>
      <c r="B196" s="231" t="s">
        <v>309</v>
      </c>
      <c r="C196" s="156">
        <v>1013.0</v>
      </c>
      <c r="D196" s="131">
        <v>26451.89</v>
      </c>
      <c r="E196" s="132">
        <v>27690.495</v>
      </c>
      <c r="F196" s="133" t="s">
        <v>526</v>
      </c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75" customHeight="1">
      <c r="A197" s="232"/>
      <c r="B197" s="233"/>
      <c r="C197" s="156"/>
      <c r="D197" s="131"/>
      <c r="E197" s="132"/>
      <c r="F197" s="51" t="s">
        <v>527</v>
      </c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75" customHeight="1">
      <c r="A198" s="232" t="s">
        <v>528</v>
      </c>
      <c r="B198" s="233" t="s">
        <v>529</v>
      </c>
      <c r="C198" s="156"/>
      <c r="D198" s="131"/>
      <c r="E198" s="132"/>
      <c r="F198" s="127" t="s">
        <v>530</v>
      </c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75" customHeight="1">
      <c r="A199" s="232" t="s">
        <v>531</v>
      </c>
      <c r="B199" s="233" t="s">
        <v>532</v>
      </c>
      <c r="C199" s="156"/>
      <c r="D199" s="131"/>
      <c r="E199" s="132"/>
      <c r="F199" s="127" t="s">
        <v>533</v>
      </c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75" customHeight="1">
      <c r="A200" s="232"/>
      <c r="B200" s="233"/>
      <c r="C200" s="156"/>
      <c r="D200" s="131"/>
      <c r="E200" s="132"/>
      <c r="F200" s="141" t="s">
        <v>534</v>
      </c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75" customHeight="1">
      <c r="A201" s="232" t="s">
        <v>316</v>
      </c>
      <c r="B201" s="233"/>
      <c r="C201" s="156"/>
      <c r="D201" s="131"/>
      <c r="E201" s="132"/>
      <c r="F201" s="141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8.75" customHeight="1">
      <c r="A202" s="234"/>
      <c r="B202" s="235"/>
      <c r="C202" s="172">
        <f t="shared" ref="C202:E202" si="19">SUM(C193:C201)</f>
        <v>2670</v>
      </c>
      <c r="D202" s="145">
        <f t="shared" si="19"/>
        <v>73283.83</v>
      </c>
      <c r="E202" s="146">
        <f t="shared" si="19"/>
        <v>76611.33</v>
      </c>
      <c r="F202" s="147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33.0" customHeight="1">
      <c r="A203" s="179" t="s">
        <v>535</v>
      </c>
      <c r="B203" s="149"/>
      <c r="C203" s="112" t="s">
        <v>299</v>
      </c>
      <c r="D203" s="113" t="s">
        <v>300</v>
      </c>
      <c r="E203" s="114" t="s">
        <v>301</v>
      </c>
      <c r="F203" s="150" t="s">
        <v>11</v>
      </c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75" customHeight="1">
      <c r="A204" s="116" t="s">
        <v>523</v>
      </c>
      <c r="B204" s="117"/>
      <c r="C204" s="181"/>
      <c r="D204" s="182"/>
      <c r="E204" s="183"/>
      <c r="F204" s="121" t="s">
        <v>13</v>
      </c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122" t="s">
        <v>303</v>
      </c>
      <c r="B205" s="123" t="s">
        <v>304</v>
      </c>
      <c r="C205" s="154"/>
      <c r="D205" s="125"/>
      <c r="E205" s="126"/>
      <c r="F205" s="127" t="s">
        <v>536</v>
      </c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75" customHeight="1">
      <c r="A206" s="128" t="s">
        <v>336</v>
      </c>
      <c r="B206" s="129" t="s">
        <v>337</v>
      </c>
      <c r="C206" s="156">
        <v>2200.0</v>
      </c>
      <c r="D206" s="131">
        <v>49084.61</v>
      </c>
      <c r="E206" s="132">
        <v>51834.61</v>
      </c>
      <c r="F206" s="133" t="s">
        <v>537</v>
      </c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75" customHeight="1">
      <c r="A207" s="128"/>
      <c r="B207" s="134"/>
      <c r="C207" s="156"/>
      <c r="D207" s="131"/>
      <c r="E207" s="132"/>
      <c r="F207" s="133" t="s">
        <v>538</v>
      </c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75" customHeight="1">
      <c r="A208" s="137" t="s">
        <v>539</v>
      </c>
      <c r="B208" s="134" t="s">
        <v>540</v>
      </c>
      <c r="C208" s="156"/>
      <c r="D208" s="131"/>
      <c r="E208" s="132"/>
      <c r="F208" s="51" t="s">
        <v>541</v>
      </c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75" customHeight="1">
      <c r="A209" s="137"/>
      <c r="B209" s="134"/>
      <c r="C209" s="156"/>
      <c r="D209" s="131"/>
      <c r="E209" s="132"/>
      <c r="F209" s="127" t="s">
        <v>542</v>
      </c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0" customHeight="1">
      <c r="A210" s="137" t="s">
        <v>316</v>
      </c>
      <c r="B210" s="225"/>
      <c r="C210" s="156"/>
      <c r="D210" s="131"/>
      <c r="E210" s="132"/>
      <c r="F210" s="127" t="s">
        <v>543</v>
      </c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8.75" customHeight="1">
      <c r="A211" s="142"/>
      <c r="B211" s="143"/>
      <c r="C211" s="172">
        <f t="shared" ref="C211:E211" si="20">SUM(C204:C210)</f>
        <v>2200</v>
      </c>
      <c r="D211" s="145">
        <f t="shared" si="20"/>
        <v>49084.61</v>
      </c>
      <c r="E211" s="146">
        <f t="shared" si="20"/>
        <v>51834.61</v>
      </c>
      <c r="F211" s="147" t="s">
        <v>544</v>
      </c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33.0" customHeight="1">
      <c r="A212" s="179" t="s">
        <v>545</v>
      </c>
      <c r="B212" s="149"/>
      <c r="C212" s="112" t="s">
        <v>299</v>
      </c>
      <c r="D212" s="113" t="s">
        <v>300</v>
      </c>
      <c r="E212" s="114" t="s">
        <v>301</v>
      </c>
      <c r="F212" s="150" t="s">
        <v>11</v>
      </c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3.5" customHeight="1">
      <c r="A213" s="116" t="s">
        <v>523</v>
      </c>
      <c r="B213" s="117"/>
      <c r="C213" s="181"/>
      <c r="D213" s="182"/>
      <c r="E213" s="183"/>
      <c r="F213" s="121" t="s">
        <v>13</v>
      </c>
      <c r="G213" s="236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75" customHeight="1">
      <c r="A214" s="122" t="s">
        <v>303</v>
      </c>
      <c r="B214" s="123" t="s">
        <v>304</v>
      </c>
      <c r="C214" s="184"/>
      <c r="D214" s="185"/>
      <c r="E214" s="186"/>
      <c r="F214" s="127" t="s">
        <v>546</v>
      </c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75" customHeight="1">
      <c r="A215" s="200" t="s">
        <v>348</v>
      </c>
      <c r="B215" s="201" t="s">
        <v>349</v>
      </c>
      <c r="C215" s="156">
        <v>36.0</v>
      </c>
      <c r="D215" s="131">
        <v>1008.04</v>
      </c>
      <c r="E215" s="132">
        <v>1060.04</v>
      </c>
      <c r="F215" s="133" t="s">
        <v>547</v>
      </c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75" customHeight="1">
      <c r="A216" s="128"/>
      <c r="B216" s="134"/>
      <c r="C216" s="156"/>
      <c r="D216" s="131"/>
      <c r="E216" s="132"/>
      <c r="F216" s="133" t="s">
        <v>548</v>
      </c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75" customHeight="1">
      <c r="A217" s="137" t="s">
        <v>549</v>
      </c>
      <c r="B217" s="134"/>
      <c r="C217" s="156"/>
      <c r="D217" s="131"/>
      <c r="E217" s="132"/>
      <c r="F217" s="51" t="s">
        <v>550</v>
      </c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75" customHeight="1">
      <c r="A218" s="137"/>
      <c r="B218" s="225"/>
      <c r="C218" s="156"/>
      <c r="D218" s="131"/>
      <c r="E218" s="132"/>
      <c r="F218" s="127" t="s">
        <v>551</v>
      </c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75" customHeight="1">
      <c r="A219" s="137"/>
      <c r="B219" s="225"/>
      <c r="C219" s="156"/>
      <c r="D219" s="131"/>
      <c r="E219" s="132"/>
      <c r="F219" s="127" t="s">
        <v>552</v>
      </c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8.75" customHeight="1">
      <c r="A220" s="142"/>
      <c r="B220" s="143"/>
      <c r="C220" s="172">
        <f t="shared" ref="C220:E220" si="21">SUM(C213:C219)</f>
        <v>36</v>
      </c>
      <c r="D220" s="145">
        <f t="shared" si="21"/>
        <v>1008.04</v>
      </c>
      <c r="E220" s="146">
        <f t="shared" si="21"/>
        <v>1060.04</v>
      </c>
      <c r="F220" s="237" t="s">
        <v>553</v>
      </c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33.0" customHeight="1">
      <c r="A221" s="179" t="s">
        <v>554</v>
      </c>
      <c r="B221" s="149"/>
      <c r="C221" s="112" t="s">
        <v>299</v>
      </c>
      <c r="D221" s="113" t="s">
        <v>300</v>
      </c>
      <c r="E221" s="114" t="s">
        <v>301</v>
      </c>
      <c r="F221" s="115" t="s">
        <v>11</v>
      </c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116" t="s">
        <v>523</v>
      </c>
      <c r="B222" s="117"/>
      <c r="C222" s="152"/>
      <c r="D222" s="119"/>
      <c r="E222" s="120"/>
      <c r="F222" s="121" t="s">
        <v>13</v>
      </c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122" t="s">
        <v>303</v>
      </c>
      <c r="B223" s="123" t="s">
        <v>304</v>
      </c>
      <c r="C223" s="154"/>
      <c r="D223" s="125"/>
      <c r="E223" s="126"/>
      <c r="F223" s="127" t="s">
        <v>555</v>
      </c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2.75" customHeight="1">
      <c r="A224" s="200" t="s">
        <v>360</v>
      </c>
      <c r="B224" s="201" t="s">
        <v>361</v>
      </c>
      <c r="C224" s="156">
        <v>372.0</v>
      </c>
      <c r="D224" s="131">
        <v>9760.14</v>
      </c>
      <c r="E224" s="132">
        <v>10214.14</v>
      </c>
      <c r="F224" s="133" t="s">
        <v>556</v>
      </c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2.75" customHeight="1">
      <c r="A225" s="128"/>
      <c r="B225" s="123"/>
      <c r="C225" s="156"/>
      <c r="D225" s="131"/>
      <c r="E225" s="132"/>
      <c r="F225" s="133" t="s">
        <v>557</v>
      </c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2.75" customHeight="1">
      <c r="A226" s="171" t="s">
        <v>558</v>
      </c>
      <c r="B226" s="134"/>
      <c r="C226" s="156"/>
      <c r="D226" s="131"/>
      <c r="E226" s="132"/>
      <c r="F226" s="51" t="s">
        <v>559</v>
      </c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2.75" customHeight="1">
      <c r="A227" s="137"/>
      <c r="B227" s="134"/>
      <c r="C227" s="156"/>
      <c r="D227" s="131"/>
      <c r="E227" s="132"/>
      <c r="F227" s="127" t="s">
        <v>560</v>
      </c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0" customHeight="1">
      <c r="A228" s="137" t="s">
        <v>316</v>
      </c>
      <c r="B228" s="134"/>
      <c r="C228" s="156"/>
      <c r="D228" s="131"/>
      <c r="E228" s="132"/>
      <c r="F228" s="127" t="s">
        <v>561</v>
      </c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8.75" customHeight="1">
      <c r="A229" s="142"/>
      <c r="B229" s="143"/>
      <c r="C229" s="172">
        <f>SUM(C224:C228)</f>
        <v>372</v>
      </c>
      <c r="D229" s="145">
        <f t="shared" ref="D229:E229" si="22">SUM(D222:D228)</f>
        <v>9760.14</v>
      </c>
      <c r="E229" s="146">
        <f t="shared" si="22"/>
        <v>10214.14</v>
      </c>
      <c r="F229" s="237" t="s">
        <v>562</v>
      </c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33.0" customHeight="1">
      <c r="A230" s="179" t="s">
        <v>563</v>
      </c>
      <c r="B230" s="149"/>
      <c r="C230" s="112" t="s">
        <v>299</v>
      </c>
      <c r="D230" s="113" t="s">
        <v>300</v>
      </c>
      <c r="E230" s="114" t="s">
        <v>301</v>
      </c>
      <c r="F230" s="150" t="s">
        <v>11</v>
      </c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116" t="s">
        <v>523</v>
      </c>
      <c r="B231" s="117"/>
      <c r="C231" s="152"/>
      <c r="D231" s="119"/>
      <c r="E231" s="120"/>
      <c r="F231" s="121" t="s">
        <v>13</v>
      </c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122" t="s">
        <v>303</v>
      </c>
      <c r="B232" s="123" t="s">
        <v>304</v>
      </c>
      <c r="C232" s="154"/>
      <c r="D232" s="125"/>
      <c r="E232" s="126"/>
      <c r="F232" s="127" t="s">
        <v>564</v>
      </c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2.75" customHeight="1">
      <c r="A233" s="200" t="s">
        <v>373</v>
      </c>
      <c r="B233" s="201" t="s">
        <v>361</v>
      </c>
      <c r="C233" s="156">
        <v>1079.0</v>
      </c>
      <c r="D233" s="131">
        <v>27957.37</v>
      </c>
      <c r="E233" s="132">
        <v>29291.62</v>
      </c>
      <c r="F233" s="133" t="s">
        <v>565</v>
      </c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2.75" customHeight="1">
      <c r="A234" s="128"/>
      <c r="B234" s="134"/>
      <c r="C234" s="156"/>
      <c r="D234" s="131"/>
      <c r="E234" s="132"/>
      <c r="F234" s="133" t="s">
        <v>566</v>
      </c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2.75" customHeight="1">
      <c r="A235" s="137" t="s">
        <v>567</v>
      </c>
      <c r="B235" s="134"/>
      <c r="C235" s="156"/>
      <c r="D235" s="131"/>
      <c r="E235" s="132"/>
      <c r="F235" s="51" t="s">
        <v>568</v>
      </c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2.75" customHeight="1">
      <c r="A236" s="137"/>
      <c r="B236" s="134"/>
      <c r="C236" s="156"/>
      <c r="D236" s="131"/>
      <c r="E236" s="132"/>
      <c r="F236" s="127" t="s">
        <v>407</v>
      </c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2.75" customHeight="1">
      <c r="A237" s="137" t="s">
        <v>316</v>
      </c>
      <c r="B237" s="134"/>
      <c r="C237" s="156"/>
      <c r="D237" s="131"/>
      <c r="E237" s="132"/>
      <c r="F237" s="127" t="s">
        <v>569</v>
      </c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8.75" customHeight="1">
      <c r="A238" s="142"/>
      <c r="B238" s="143"/>
      <c r="C238" s="172">
        <f t="shared" ref="C238:E238" si="23">SUM(C231:C237)</f>
        <v>1079</v>
      </c>
      <c r="D238" s="145">
        <f t="shared" si="23"/>
        <v>27957.37</v>
      </c>
      <c r="E238" s="146">
        <f t="shared" si="23"/>
        <v>29291.62</v>
      </c>
      <c r="F238" s="237" t="s">
        <v>570</v>
      </c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33.0" customHeight="1">
      <c r="A239" s="179" t="s">
        <v>571</v>
      </c>
      <c r="B239" s="149"/>
      <c r="C239" s="112" t="s">
        <v>299</v>
      </c>
      <c r="D239" s="113" t="s">
        <v>300</v>
      </c>
      <c r="E239" s="114" t="s">
        <v>301</v>
      </c>
      <c r="F239" s="238" t="s">
        <v>11</v>
      </c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2.75" customHeight="1">
      <c r="A240" s="116" t="s">
        <v>572</v>
      </c>
      <c r="B240" s="117"/>
      <c r="C240" s="181"/>
      <c r="D240" s="239"/>
      <c r="E240" s="240"/>
      <c r="F240" s="241" t="s">
        <v>13</v>
      </c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122" t="s">
        <v>303</v>
      </c>
      <c r="B241" s="123" t="s">
        <v>304</v>
      </c>
      <c r="C241" s="204"/>
      <c r="D241" s="242"/>
      <c r="E241" s="243"/>
      <c r="F241" s="244" t="s">
        <v>573</v>
      </c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8.0" customHeight="1">
      <c r="A242" s="128" t="s">
        <v>306</v>
      </c>
      <c r="B242" s="129" t="s">
        <v>15</v>
      </c>
      <c r="C242" s="130">
        <v>6651.0</v>
      </c>
      <c r="D242" s="245">
        <v>181525.78</v>
      </c>
      <c r="E242" s="246">
        <v>190192.642</v>
      </c>
      <c r="F242" s="51" t="s">
        <v>574</v>
      </c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2.75" customHeight="1">
      <c r="A243" s="128" t="s">
        <v>308</v>
      </c>
      <c r="B243" s="129" t="s">
        <v>309</v>
      </c>
      <c r="C243" s="130">
        <v>1109.0</v>
      </c>
      <c r="D243" s="245">
        <v>28643.02</v>
      </c>
      <c r="E243" s="246">
        <v>30059.157</v>
      </c>
      <c r="F243" s="51" t="s">
        <v>575</v>
      </c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2.75" customHeight="1">
      <c r="A244" s="128"/>
      <c r="B244" s="134"/>
      <c r="C244" s="156"/>
      <c r="D244" s="245"/>
      <c r="E244" s="246"/>
      <c r="F244" s="51" t="s">
        <v>576</v>
      </c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2.75" customHeight="1">
      <c r="A245" s="137" t="s">
        <v>577</v>
      </c>
      <c r="B245" s="134" t="s">
        <v>578</v>
      </c>
      <c r="C245" s="156"/>
      <c r="D245" s="245"/>
      <c r="E245" s="246"/>
      <c r="F245" s="244" t="s">
        <v>579</v>
      </c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2.75" customHeight="1">
      <c r="A246" s="137" t="s">
        <v>580</v>
      </c>
      <c r="B246" s="202" t="s">
        <v>581</v>
      </c>
      <c r="C246" s="156"/>
      <c r="D246" s="245"/>
      <c r="E246" s="246"/>
      <c r="F246" s="244" t="s">
        <v>582</v>
      </c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2.75" customHeight="1">
      <c r="A247" s="171" t="s">
        <v>583</v>
      </c>
      <c r="B247" s="247" t="s">
        <v>584</v>
      </c>
      <c r="C247" s="156"/>
      <c r="D247" s="245"/>
      <c r="E247" s="246"/>
      <c r="F247" s="248" t="s">
        <v>585</v>
      </c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0" customHeight="1">
      <c r="A248" s="171" t="s">
        <v>586</v>
      </c>
      <c r="B248" s="247" t="s">
        <v>587</v>
      </c>
      <c r="C248" s="156"/>
      <c r="D248" s="245"/>
      <c r="E248" s="246"/>
      <c r="F248" s="24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0" customHeight="1">
      <c r="A249" s="171" t="s">
        <v>588</v>
      </c>
      <c r="B249" s="247" t="s">
        <v>589</v>
      </c>
      <c r="C249" s="156"/>
      <c r="D249" s="245"/>
      <c r="E249" s="246"/>
      <c r="F249" s="24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0" customHeight="1">
      <c r="A250" s="171" t="s">
        <v>590</v>
      </c>
      <c r="B250" s="134"/>
      <c r="C250" s="156"/>
      <c r="D250" s="245"/>
      <c r="E250" s="246"/>
      <c r="F250" s="24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0" customHeight="1">
      <c r="A251" s="137"/>
      <c r="B251" s="134"/>
      <c r="C251" s="156"/>
      <c r="D251" s="245"/>
      <c r="E251" s="246"/>
      <c r="F251" s="24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0" customHeight="1">
      <c r="A252" s="137" t="s">
        <v>316</v>
      </c>
      <c r="B252" s="134"/>
      <c r="C252" s="156"/>
      <c r="D252" s="245"/>
      <c r="E252" s="246"/>
      <c r="F252" s="24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8.75" customHeight="1">
      <c r="A253" s="142"/>
      <c r="B253" s="143"/>
      <c r="C253" s="172">
        <f t="shared" ref="C253:E253" si="24">SUM(C240:C252)</f>
        <v>7760</v>
      </c>
      <c r="D253" s="249">
        <f t="shared" si="24"/>
        <v>210168.8</v>
      </c>
      <c r="E253" s="250">
        <f t="shared" si="24"/>
        <v>220251.799</v>
      </c>
      <c r="F253" s="251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33.0" customHeight="1">
      <c r="A254" s="179" t="s">
        <v>591</v>
      </c>
      <c r="B254" s="149"/>
      <c r="C254" s="112" t="s">
        <v>299</v>
      </c>
      <c r="D254" s="113" t="s">
        <v>300</v>
      </c>
      <c r="E254" s="114" t="s">
        <v>301</v>
      </c>
      <c r="F254" s="150" t="s">
        <v>11</v>
      </c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116" t="s">
        <v>572</v>
      </c>
      <c r="B255" s="117"/>
      <c r="C255" s="118"/>
      <c r="D255" s="119"/>
      <c r="E255" s="120"/>
      <c r="F255" s="121" t="s">
        <v>13</v>
      </c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122" t="s">
        <v>303</v>
      </c>
      <c r="B256" s="123" t="s">
        <v>304</v>
      </c>
      <c r="C256" s="204"/>
      <c r="D256" s="125"/>
      <c r="E256" s="126"/>
      <c r="F256" s="127" t="s">
        <v>592</v>
      </c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2.75" customHeight="1">
      <c r="A257" s="128" t="s">
        <v>336</v>
      </c>
      <c r="B257" s="129" t="s">
        <v>337</v>
      </c>
      <c r="C257" s="130">
        <v>1155.0</v>
      </c>
      <c r="D257" s="131">
        <v>24244.06</v>
      </c>
      <c r="E257" s="132">
        <v>25745.06</v>
      </c>
      <c r="F257" s="133" t="s">
        <v>593</v>
      </c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2.75" customHeight="1">
      <c r="A258" s="128"/>
      <c r="B258" s="123"/>
      <c r="C258" s="130"/>
      <c r="D258" s="131"/>
      <c r="E258" s="132"/>
      <c r="F258" s="133" t="s">
        <v>594</v>
      </c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2.75" customHeight="1">
      <c r="A259" s="137" t="s">
        <v>595</v>
      </c>
      <c r="B259" s="134"/>
      <c r="C259" s="130"/>
      <c r="D259" s="131"/>
      <c r="E259" s="132"/>
      <c r="F259" s="51" t="s">
        <v>596</v>
      </c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2.75" customHeight="1">
      <c r="A260" s="137"/>
      <c r="B260" s="134"/>
      <c r="C260" s="130"/>
      <c r="D260" s="131"/>
      <c r="E260" s="132"/>
      <c r="F260" s="127" t="s">
        <v>597</v>
      </c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4.25" customHeight="1">
      <c r="A261" s="137" t="s">
        <v>316</v>
      </c>
      <c r="B261" s="134"/>
      <c r="C261" s="130"/>
      <c r="D261" s="131"/>
      <c r="E261" s="132"/>
      <c r="F261" s="127" t="s">
        <v>598</v>
      </c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28.5" customHeight="1">
      <c r="A262" s="137"/>
      <c r="B262" s="134"/>
      <c r="C262" s="193">
        <f t="shared" ref="C262:E262" si="25">SUM(C255:C261)</f>
        <v>1155</v>
      </c>
      <c r="D262" s="252">
        <f t="shared" si="25"/>
        <v>24244.06</v>
      </c>
      <c r="E262" s="253">
        <f t="shared" si="25"/>
        <v>25745.06</v>
      </c>
      <c r="F262" s="237" t="s">
        <v>599</v>
      </c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33.0" customHeight="1">
      <c r="A263" s="254" t="s">
        <v>600</v>
      </c>
      <c r="B263" s="255"/>
      <c r="C263" s="256" t="s">
        <v>299</v>
      </c>
      <c r="D263" s="257" t="s">
        <v>300</v>
      </c>
      <c r="E263" s="258" t="s">
        <v>301</v>
      </c>
      <c r="F263" s="259" t="s">
        <v>11</v>
      </c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2.75" customHeight="1">
      <c r="A264" s="122" t="s">
        <v>572</v>
      </c>
      <c r="B264" s="123"/>
      <c r="C264" s="260"/>
      <c r="D264" s="185"/>
      <c r="E264" s="261"/>
      <c r="F264" s="121" t="s">
        <v>13</v>
      </c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2.75" customHeight="1">
      <c r="A265" s="122" t="s">
        <v>303</v>
      </c>
      <c r="B265" s="123" t="s">
        <v>304</v>
      </c>
      <c r="C265" s="199"/>
      <c r="D265" s="185"/>
      <c r="E265" s="261"/>
      <c r="F265" s="127" t="s">
        <v>601</v>
      </c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2.75" customHeight="1">
      <c r="A266" s="200" t="s">
        <v>348</v>
      </c>
      <c r="B266" s="201" t="s">
        <v>349</v>
      </c>
      <c r="C266" s="130">
        <v>107.0</v>
      </c>
      <c r="D266" s="131">
        <v>2896.15</v>
      </c>
      <c r="E266" s="246">
        <v>3069.2</v>
      </c>
      <c r="F266" s="133" t="s">
        <v>602</v>
      </c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2.75" customHeight="1">
      <c r="A267" s="128"/>
      <c r="B267" s="123"/>
      <c r="C267" s="130"/>
      <c r="D267" s="131"/>
      <c r="E267" s="246"/>
      <c r="F267" s="133" t="s">
        <v>603</v>
      </c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2.75" customHeight="1">
      <c r="A268" s="200" t="s">
        <v>604</v>
      </c>
      <c r="B268" s="134"/>
      <c r="C268" s="130"/>
      <c r="D268" s="131"/>
      <c r="E268" s="246"/>
      <c r="F268" s="51" t="s">
        <v>605</v>
      </c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2.75" customHeight="1">
      <c r="A269" s="128"/>
      <c r="B269" s="134"/>
      <c r="C269" s="130"/>
      <c r="D269" s="131"/>
      <c r="E269" s="246"/>
      <c r="F269" s="127" t="s">
        <v>606</v>
      </c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0" customHeight="1">
      <c r="A270" s="128" t="s">
        <v>316</v>
      </c>
      <c r="B270" s="134"/>
      <c r="C270" s="130"/>
      <c r="D270" s="131"/>
      <c r="E270" s="246"/>
      <c r="F270" s="127" t="s">
        <v>607</v>
      </c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8.75" customHeight="1">
      <c r="A271" s="203"/>
      <c r="B271" s="143"/>
      <c r="C271" s="144">
        <f t="shared" ref="C271:E271" si="26">SUM(C264:C270)</f>
        <v>107</v>
      </c>
      <c r="D271" s="145">
        <f t="shared" si="26"/>
        <v>2896.15</v>
      </c>
      <c r="E271" s="250">
        <f t="shared" si="26"/>
        <v>3069.2</v>
      </c>
      <c r="F271" s="237" t="s">
        <v>608</v>
      </c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33.0" customHeight="1">
      <c r="A272" s="179" t="s">
        <v>609</v>
      </c>
      <c r="B272" s="149"/>
      <c r="C272" s="112" t="s">
        <v>299</v>
      </c>
      <c r="D272" s="113" t="s">
        <v>300</v>
      </c>
      <c r="E272" s="114" t="s">
        <v>301</v>
      </c>
      <c r="F272" s="150" t="s">
        <v>11</v>
      </c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116" t="s">
        <v>572</v>
      </c>
      <c r="B273" s="117"/>
      <c r="C273" s="118"/>
      <c r="D273" s="119"/>
      <c r="E273" s="262"/>
      <c r="F273" s="121" t="s">
        <v>13</v>
      </c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122" t="s">
        <v>303</v>
      </c>
      <c r="B274" s="123" t="s">
        <v>304</v>
      </c>
      <c r="C274" s="204"/>
      <c r="D274" s="125"/>
      <c r="E274" s="263"/>
      <c r="F274" s="127" t="s">
        <v>610</v>
      </c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2.75" customHeight="1">
      <c r="A275" s="200" t="s">
        <v>360</v>
      </c>
      <c r="B275" s="201" t="s">
        <v>361</v>
      </c>
      <c r="C275" s="130">
        <v>431.0</v>
      </c>
      <c r="D275" s="131">
        <v>11086.65</v>
      </c>
      <c r="E275" s="264">
        <v>11637.25</v>
      </c>
      <c r="F275" s="133" t="s">
        <v>611</v>
      </c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2.75" customHeight="1">
      <c r="A276" s="128"/>
      <c r="B276" s="134"/>
      <c r="C276" s="130"/>
      <c r="D276" s="131"/>
      <c r="E276" s="264"/>
      <c r="F276" s="133" t="s">
        <v>612</v>
      </c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2.75" customHeight="1">
      <c r="A277" s="136" t="s">
        <v>613</v>
      </c>
      <c r="B277" s="135"/>
      <c r="C277" s="130"/>
      <c r="D277" s="131"/>
      <c r="E277" s="264" t="s">
        <v>614</v>
      </c>
      <c r="F277" s="51" t="s">
        <v>615</v>
      </c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2.75" customHeight="1">
      <c r="A278" s="135"/>
      <c r="B278" s="135"/>
      <c r="C278" s="130"/>
      <c r="D278" s="131"/>
      <c r="E278" s="264"/>
      <c r="F278" s="127" t="s">
        <v>616</v>
      </c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0" customHeight="1">
      <c r="A279" s="135" t="s">
        <v>316</v>
      </c>
      <c r="B279" s="135"/>
      <c r="C279" s="130"/>
      <c r="D279" s="131"/>
      <c r="E279" s="264"/>
      <c r="F279" s="127" t="s">
        <v>617</v>
      </c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8.75" customHeight="1">
      <c r="A280" s="142"/>
      <c r="B280" s="143"/>
      <c r="C280" s="144">
        <f t="shared" ref="C280:E280" si="27">SUM(C273:C279)</f>
        <v>431</v>
      </c>
      <c r="D280" s="145">
        <f t="shared" si="27"/>
        <v>11086.65</v>
      </c>
      <c r="E280" s="265">
        <f t="shared" si="27"/>
        <v>11637.25</v>
      </c>
      <c r="F280" s="237" t="s">
        <v>618</v>
      </c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33.0" customHeight="1">
      <c r="A281" s="179" t="s">
        <v>619</v>
      </c>
      <c r="B281" s="149"/>
      <c r="C281" s="112" t="s">
        <v>299</v>
      </c>
      <c r="D281" s="113" t="s">
        <v>300</v>
      </c>
      <c r="E281" s="114" t="s">
        <v>301</v>
      </c>
      <c r="F281" s="115" t="s">
        <v>11</v>
      </c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116" t="s">
        <v>572</v>
      </c>
      <c r="B282" s="117"/>
      <c r="C282" s="118"/>
      <c r="D282" s="119"/>
      <c r="E282" s="120"/>
      <c r="F282" s="241" t="s">
        <v>13</v>
      </c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122" t="s">
        <v>303</v>
      </c>
      <c r="B283" s="123" t="s">
        <v>304</v>
      </c>
      <c r="C283" s="204"/>
      <c r="D283" s="125"/>
      <c r="E283" s="126"/>
      <c r="F283" s="244" t="s">
        <v>620</v>
      </c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2.75" customHeight="1">
      <c r="A284" s="200" t="s">
        <v>373</v>
      </c>
      <c r="B284" s="201" t="s">
        <v>361</v>
      </c>
      <c r="C284" s="130">
        <v>5373.0</v>
      </c>
      <c r="D284" s="131">
        <v>137965.04</v>
      </c>
      <c r="E284" s="132">
        <v>144938.44</v>
      </c>
      <c r="F284" s="51" t="s">
        <v>621</v>
      </c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2.75" customHeight="1">
      <c r="A285" s="128"/>
      <c r="B285" s="123"/>
      <c r="C285" s="130"/>
      <c r="D285" s="131"/>
      <c r="E285" s="132"/>
      <c r="F285" s="51" t="s">
        <v>622</v>
      </c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2.75" customHeight="1">
      <c r="A286" s="137" t="s">
        <v>623</v>
      </c>
      <c r="B286" s="134" t="s">
        <v>624</v>
      </c>
      <c r="C286" s="130"/>
      <c r="D286" s="131"/>
      <c r="E286" s="132"/>
      <c r="F286" s="51" t="s">
        <v>625</v>
      </c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2.75" customHeight="1">
      <c r="A287" s="137" t="s">
        <v>626</v>
      </c>
      <c r="B287" s="134" t="s">
        <v>627</v>
      </c>
      <c r="C287" s="130"/>
      <c r="D287" s="131"/>
      <c r="E287" s="132"/>
      <c r="F287" s="244" t="s">
        <v>628</v>
      </c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0" customHeight="1">
      <c r="A288" s="137" t="s">
        <v>629</v>
      </c>
      <c r="B288" s="134"/>
      <c r="C288" s="130"/>
      <c r="D288" s="131"/>
      <c r="E288" s="132"/>
      <c r="F288" s="244" t="s">
        <v>630</v>
      </c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2.75" customHeight="1">
      <c r="A289" s="137"/>
      <c r="B289" s="134"/>
      <c r="C289" s="130"/>
      <c r="D289" s="131"/>
      <c r="E289" s="132"/>
      <c r="F289" s="248" t="s">
        <v>631</v>
      </c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0" customHeight="1">
      <c r="A290" s="137" t="s">
        <v>316</v>
      </c>
      <c r="B290" s="134"/>
      <c r="C290" s="130"/>
      <c r="D290" s="131"/>
      <c r="E290" s="132"/>
      <c r="F290" s="141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8.75" customHeight="1">
      <c r="A291" s="142"/>
      <c r="B291" s="143"/>
      <c r="C291" s="144">
        <f>SUM(C284:C290)</f>
        <v>5373</v>
      </c>
      <c r="D291" s="145">
        <f t="shared" ref="D291:E291" si="28">SUM(D282:D290)</f>
        <v>137965.04</v>
      </c>
      <c r="E291" s="146">
        <f t="shared" si="28"/>
        <v>144938.44</v>
      </c>
      <c r="F291" s="147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8.75" customHeight="1">
      <c r="A292" s="203"/>
      <c r="B292" s="143"/>
      <c r="C292" s="144"/>
      <c r="D292" s="145"/>
      <c r="E292" s="146"/>
      <c r="F292" s="147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8.0" customHeight="1">
      <c r="A293" s="266"/>
      <c r="B293" s="267"/>
      <c r="C293" s="268" t="s">
        <v>292</v>
      </c>
      <c r="D293" s="269" t="s">
        <v>292</v>
      </c>
      <c r="E293" s="270" t="s">
        <v>292</v>
      </c>
      <c r="F293" s="271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8.75" customHeight="1">
      <c r="A294" s="272"/>
      <c r="B294" s="273"/>
      <c r="C294" s="274">
        <f t="shared" ref="C294:E294" si="29">SUM(C20+C32+C41+C50+C60+C70+C83+C92+C101+C110+C119+C130+C140+C149+C159+C173+C182+C191+C202+C211+C220+C229+C238+C253+C262+C271+C280+C291)</f>
        <v>61635</v>
      </c>
      <c r="D294" s="275">
        <f t="shared" si="29"/>
        <v>1608032.142</v>
      </c>
      <c r="E294" s="276">
        <f t="shared" si="29"/>
        <v>1688005.635</v>
      </c>
      <c r="F294" s="277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2.75" customHeight="1">
      <c r="A295" s="4"/>
      <c r="B295" s="101"/>
      <c r="C295" s="4"/>
      <c r="D295" s="102"/>
      <c r="E295" s="103"/>
      <c r="F295" s="10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2.75" customHeight="1">
      <c r="A296" s="4"/>
      <c r="B296" s="101"/>
      <c r="C296" s="4"/>
      <c r="D296" s="102"/>
      <c r="E296" s="103"/>
      <c r="F296" s="10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2.75" customHeight="1">
      <c r="A297" s="4"/>
      <c r="B297" s="101"/>
      <c r="C297" s="4"/>
      <c r="D297" s="102"/>
      <c r="E297" s="103"/>
      <c r="F297" s="10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2.75" customHeight="1">
      <c r="A298" s="4"/>
      <c r="B298" s="101"/>
      <c r="C298" s="4"/>
      <c r="D298" s="102"/>
      <c r="E298" s="103"/>
      <c r="F298" s="10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2.75" customHeight="1">
      <c r="A299" s="4"/>
      <c r="B299" s="101"/>
      <c r="C299" s="4"/>
      <c r="D299" s="102"/>
      <c r="E299" s="103"/>
      <c r="F299" s="10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2.75" customHeight="1">
      <c r="A300" s="4"/>
      <c r="B300" s="101"/>
      <c r="C300" s="4"/>
      <c r="D300" s="102"/>
      <c r="E300" s="103"/>
      <c r="F300" s="10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2.75" customHeight="1">
      <c r="A301" s="4"/>
      <c r="B301" s="101"/>
      <c r="C301" s="4"/>
      <c r="D301" s="102"/>
      <c r="E301" s="103"/>
      <c r="F301" s="10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2.75" customHeight="1">
      <c r="A302" s="4"/>
      <c r="B302" s="101"/>
      <c r="C302" s="4"/>
      <c r="D302" s="102"/>
      <c r="E302" s="103"/>
      <c r="F302" s="10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2.75" customHeight="1">
      <c r="A303" s="4"/>
      <c r="B303" s="101"/>
      <c r="C303" s="4"/>
      <c r="D303" s="102"/>
      <c r="E303" s="103"/>
      <c r="F303" s="10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2.75" customHeight="1">
      <c r="A304" s="4"/>
      <c r="B304" s="101"/>
      <c r="C304" s="4"/>
      <c r="D304" s="102"/>
      <c r="E304" s="103"/>
      <c r="F304" s="10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2.75" customHeight="1">
      <c r="A305" s="4"/>
      <c r="B305" s="101"/>
      <c r="C305" s="4"/>
      <c r="D305" s="102"/>
      <c r="E305" s="103"/>
      <c r="F305" s="10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2.75" customHeight="1">
      <c r="A306" s="4"/>
      <c r="B306" s="101"/>
      <c r="C306" s="4"/>
      <c r="D306" s="102"/>
      <c r="E306" s="103"/>
      <c r="F306" s="10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2.75" customHeight="1">
      <c r="A307" s="4"/>
      <c r="B307" s="101"/>
      <c r="C307" s="4"/>
      <c r="D307" s="102"/>
      <c r="E307" s="103"/>
      <c r="F307" s="10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2.75" customHeight="1">
      <c r="A308" s="4"/>
      <c r="B308" s="101"/>
      <c r="C308" s="4"/>
      <c r="D308" s="102"/>
      <c r="E308" s="103"/>
      <c r="F308" s="10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2.75" customHeight="1">
      <c r="A309" s="4"/>
      <c r="B309" s="101"/>
      <c r="C309" s="4"/>
      <c r="D309" s="102"/>
      <c r="E309" s="103"/>
      <c r="F309" s="10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2.75" customHeight="1">
      <c r="A310" s="4"/>
      <c r="B310" s="101"/>
      <c r="C310" s="4"/>
      <c r="D310" s="102"/>
      <c r="E310" s="103"/>
      <c r="F310" s="10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2.75" customHeight="1">
      <c r="A311" s="4"/>
      <c r="B311" s="101"/>
      <c r="C311" s="4"/>
      <c r="D311" s="102"/>
      <c r="E311" s="103"/>
      <c r="F311" s="10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2.75" customHeight="1">
      <c r="A312" s="4"/>
      <c r="B312" s="101"/>
      <c r="C312" s="4"/>
      <c r="D312" s="102"/>
      <c r="E312" s="103"/>
      <c r="F312" s="10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2.75" customHeight="1">
      <c r="A313" s="4"/>
      <c r="B313" s="101"/>
      <c r="C313" s="4"/>
      <c r="D313" s="102"/>
      <c r="E313" s="103"/>
      <c r="F313" s="10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2.75" customHeight="1">
      <c r="A314" s="4"/>
      <c r="B314" s="101"/>
      <c r="C314" s="4"/>
      <c r="D314" s="102"/>
      <c r="E314" s="103"/>
      <c r="F314" s="10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2.75" customHeight="1">
      <c r="A315" s="4"/>
      <c r="B315" s="101"/>
      <c r="C315" s="4"/>
      <c r="D315" s="102"/>
      <c r="E315" s="103"/>
      <c r="F315" s="10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2.75" customHeight="1">
      <c r="A316" s="4"/>
      <c r="B316" s="101"/>
      <c r="C316" s="4"/>
      <c r="D316" s="102"/>
      <c r="E316" s="103"/>
      <c r="F316" s="10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2.75" customHeight="1">
      <c r="A317" s="4"/>
      <c r="B317" s="101"/>
      <c r="C317" s="4"/>
      <c r="D317" s="102"/>
      <c r="E317" s="103"/>
      <c r="F317" s="10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2.75" customHeight="1">
      <c r="A318" s="4"/>
      <c r="B318" s="101"/>
      <c r="C318" s="4"/>
      <c r="D318" s="102"/>
      <c r="E318" s="103"/>
      <c r="F318" s="10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2.75" customHeight="1">
      <c r="A319" s="4"/>
      <c r="B319" s="101"/>
      <c r="C319" s="4"/>
      <c r="D319" s="102"/>
      <c r="E319" s="103"/>
      <c r="F319" s="10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2.75" customHeight="1">
      <c r="A320" s="4"/>
      <c r="B320" s="101"/>
      <c r="C320" s="4"/>
      <c r="D320" s="102"/>
      <c r="E320" s="103"/>
      <c r="F320" s="10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2.75" customHeight="1">
      <c r="A321" s="4"/>
      <c r="B321" s="101"/>
      <c r="C321" s="4"/>
      <c r="D321" s="102"/>
      <c r="E321" s="103"/>
      <c r="F321" s="10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2.75" customHeight="1">
      <c r="A322" s="4"/>
      <c r="B322" s="101"/>
      <c r="C322" s="4"/>
      <c r="D322" s="102"/>
      <c r="E322" s="103"/>
      <c r="F322" s="10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2.75" customHeight="1">
      <c r="A323" s="4"/>
      <c r="B323" s="101"/>
      <c r="C323" s="4"/>
      <c r="D323" s="102"/>
      <c r="E323" s="103"/>
      <c r="F323" s="10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2.75" customHeight="1">
      <c r="A324" s="4"/>
      <c r="B324" s="101"/>
      <c r="C324" s="4"/>
      <c r="D324" s="102"/>
      <c r="E324" s="103"/>
      <c r="F324" s="10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2.75" customHeight="1">
      <c r="A325" s="4"/>
      <c r="B325" s="101"/>
      <c r="C325" s="4"/>
      <c r="D325" s="102"/>
      <c r="E325" s="103"/>
      <c r="F325" s="10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2.75" customHeight="1">
      <c r="A326" s="4"/>
      <c r="B326" s="101"/>
      <c r="C326" s="4"/>
      <c r="D326" s="102"/>
      <c r="E326" s="103"/>
      <c r="F326" s="10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2.75" customHeight="1">
      <c r="A327" s="4"/>
      <c r="B327" s="101"/>
      <c r="C327" s="4"/>
      <c r="D327" s="102"/>
      <c r="E327" s="103"/>
      <c r="F327" s="10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2.75" customHeight="1">
      <c r="A328" s="4"/>
      <c r="B328" s="101"/>
      <c r="C328" s="4"/>
      <c r="D328" s="102"/>
      <c r="E328" s="103"/>
      <c r="F328" s="10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2.75" customHeight="1">
      <c r="A329" s="4"/>
      <c r="B329" s="101"/>
      <c r="C329" s="4"/>
      <c r="D329" s="102"/>
      <c r="E329" s="103"/>
      <c r="F329" s="10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2.75" customHeight="1">
      <c r="A330" s="4"/>
      <c r="B330" s="101"/>
      <c r="C330" s="4"/>
      <c r="D330" s="102"/>
      <c r="E330" s="103"/>
      <c r="F330" s="10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2.75" customHeight="1">
      <c r="A331" s="4"/>
      <c r="B331" s="101"/>
      <c r="C331" s="4"/>
      <c r="D331" s="102"/>
      <c r="E331" s="103"/>
      <c r="F331" s="10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2.75" customHeight="1">
      <c r="A332" s="4"/>
      <c r="B332" s="101"/>
      <c r="C332" s="4"/>
      <c r="D332" s="102"/>
      <c r="E332" s="103"/>
      <c r="F332" s="10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2.75" customHeight="1">
      <c r="A333" s="4"/>
      <c r="B333" s="101"/>
      <c r="C333" s="4"/>
      <c r="D333" s="102"/>
      <c r="E333" s="103"/>
      <c r="F333" s="10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2.75" customHeight="1">
      <c r="A334" s="4"/>
      <c r="B334" s="101"/>
      <c r="C334" s="4"/>
      <c r="D334" s="102"/>
      <c r="E334" s="103"/>
      <c r="F334" s="10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2.75" customHeight="1">
      <c r="A335" s="4"/>
      <c r="B335" s="101"/>
      <c r="C335" s="4"/>
      <c r="D335" s="102"/>
      <c r="E335" s="103"/>
      <c r="F335" s="10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2.75" customHeight="1">
      <c r="A336" s="4"/>
      <c r="B336" s="101"/>
      <c r="C336" s="4"/>
      <c r="D336" s="102"/>
      <c r="E336" s="103"/>
      <c r="F336" s="10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2.75" customHeight="1">
      <c r="A337" s="4"/>
      <c r="B337" s="101"/>
      <c r="C337" s="4"/>
      <c r="D337" s="102"/>
      <c r="E337" s="103"/>
      <c r="F337" s="10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2.75" customHeight="1">
      <c r="A338" s="4"/>
      <c r="B338" s="101"/>
      <c r="C338" s="4"/>
      <c r="D338" s="102"/>
      <c r="E338" s="103"/>
      <c r="F338" s="10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2.75" customHeight="1">
      <c r="A339" s="4"/>
      <c r="B339" s="101"/>
      <c r="C339" s="4"/>
      <c r="D339" s="102"/>
      <c r="E339" s="103"/>
      <c r="F339" s="10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2.75" customHeight="1">
      <c r="A340" s="4"/>
      <c r="B340" s="101"/>
      <c r="C340" s="4"/>
      <c r="D340" s="102"/>
      <c r="E340" s="103"/>
      <c r="F340" s="10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2.75" customHeight="1">
      <c r="A341" s="4"/>
      <c r="B341" s="101"/>
      <c r="C341" s="4"/>
      <c r="D341" s="102"/>
      <c r="E341" s="103"/>
      <c r="F341" s="10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2.75" customHeight="1">
      <c r="A342" s="4"/>
      <c r="B342" s="101"/>
      <c r="C342" s="4"/>
      <c r="D342" s="102"/>
      <c r="E342" s="103"/>
      <c r="F342" s="10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2.75" customHeight="1">
      <c r="A343" s="4"/>
      <c r="B343" s="101"/>
      <c r="C343" s="4"/>
      <c r="D343" s="102"/>
      <c r="E343" s="103"/>
      <c r="F343" s="10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2.75" customHeight="1">
      <c r="A344" s="4"/>
      <c r="B344" s="101"/>
      <c r="C344" s="4"/>
      <c r="D344" s="102"/>
      <c r="E344" s="103"/>
      <c r="F344" s="10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2.75" customHeight="1">
      <c r="A345" s="4"/>
      <c r="B345" s="101"/>
      <c r="C345" s="4"/>
      <c r="D345" s="102"/>
      <c r="E345" s="103"/>
      <c r="F345" s="10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2.75" customHeight="1">
      <c r="A346" s="4"/>
      <c r="B346" s="101"/>
      <c r="C346" s="4"/>
      <c r="D346" s="102"/>
      <c r="E346" s="103"/>
      <c r="F346" s="10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2.75" customHeight="1">
      <c r="A347" s="4"/>
      <c r="B347" s="101"/>
      <c r="C347" s="4"/>
      <c r="D347" s="102"/>
      <c r="E347" s="103"/>
      <c r="F347" s="10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2.75" customHeight="1">
      <c r="A348" s="4"/>
      <c r="B348" s="101"/>
      <c r="C348" s="4"/>
      <c r="D348" s="102"/>
      <c r="E348" s="103"/>
      <c r="F348" s="10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2.75" customHeight="1">
      <c r="A349" s="4"/>
      <c r="B349" s="101"/>
      <c r="C349" s="4"/>
      <c r="D349" s="102"/>
      <c r="E349" s="103"/>
      <c r="F349" s="10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2.75" customHeight="1">
      <c r="A350" s="4"/>
      <c r="B350" s="101"/>
      <c r="C350" s="4"/>
      <c r="D350" s="102"/>
      <c r="E350" s="103"/>
      <c r="F350" s="10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2.75" customHeight="1">
      <c r="A351" s="4"/>
      <c r="B351" s="101"/>
      <c r="C351" s="4"/>
      <c r="D351" s="102"/>
      <c r="E351" s="103"/>
      <c r="F351" s="10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2.75" customHeight="1">
      <c r="A352" s="4"/>
      <c r="B352" s="101"/>
      <c r="C352" s="4"/>
      <c r="D352" s="102"/>
      <c r="E352" s="103"/>
      <c r="F352" s="10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2.75" customHeight="1">
      <c r="A353" s="4"/>
      <c r="B353" s="101"/>
      <c r="C353" s="4"/>
      <c r="D353" s="102"/>
      <c r="E353" s="103"/>
      <c r="F353" s="10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2.75" customHeight="1">
      <c r="A354" s="4"/>
      <c r="B354" s="101"/>
      <c r="C354" s="4"/>
      <c r="D354" s="102"/>
      <c r="E354" s="103"/>
      <c r="F354" s="10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2.75" customHeight="1">
      <c r="A355" s="4"/>
      <c r="B355" s="101"/>
      <c r="C355" s="4"/>
      <c r="D355" s="102"/>
      <c r="E355" s="103"/>
      <c r="F355" s="10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2.75" customHeight="1">
      <c r="A356" s="4"/>
      <c r="B356" s="101"/>
      <c r="C356" s="4"/>
      <c r="D356" s="102"/>
      <c r="E356" s="103"/>
      <c r="F356" s="10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2.75" customHeight="1">
      <c r="A357" s="4"/>
      <c r="B357" s="101"/>
      <c r="C357" s="4"/>
      <c r="D357" s="102"/>
      <c r="E357" s="103"/>
      <c r="F357" s="10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2.75" customHeight="1">
      <c r="A358" s="4"/>
      <c r="B358" s="101"/>
      <c r="C358" s="4"/>
      <c r="D358" s="102"/>
      <c r="E358" s="103"/>
      <c r="F358" s="10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2.75" customHeight="1">
      <c r="A359" s="4"/>
      <c r="B359" s="101"/>
      <c r="C359" s="4"/>
      <c r="D359" s="102"/>
      <c r="E359" s="103"/>
      <c r="F359" s="10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2.75" customHeight="1">
      <c r="A360" s="4"/>
      <c r="B360" s="101"/>
      <c r="C360" s="4"/>
      <c r="D360" s="102"/>
      <c r="E360" s="103"/>
      <c r="F360" s="10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2.75" customHeight="1">
      <c r="A361" s="4"/>
      <c r="B361" s="101"/>
      <c r="C361" s="4"/>
      <c r="D361" s="102"/>
      <c r="E361" s="103"/>
      <c r="F361" s="10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2.75" customHeight="1">
      <c r="A362" s="4"/>
      <c r="B362" s="101"/>
      <c r="C362" s="4"/>
      <c r="D362" s="102"/>
      <c r="E362" s="103"/>
      <c r="F362" s="10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2.75" customHeight="1">
      <c r="A363" s="4"/>
      <c r="B363" s="101"/>
      <c r="C363" s="4"/>
      <c r="D363" s="102"/>
      <c r="E363" s="103"/>
      <c r="F363" s="10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2.75" customHeight="1">
      <c r="A364" s="4"/>
      <c r="B364" s="101"/>
      <c r="C364" s="4"/>
      <c r="D364" s="102"/>
      <c r="E364" s="103"/>
      <c r="F364" s="10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2.75" customHeight="1">
      <c r="A365" s="4"/>
      <c r="B365" s="101"/>
      <c r="C365" s="4"/>
      <c r="D365" s="102"/>
      <c r="E365" s="103"/>
      <c r="F365" s="10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2.75" customHeight="1">
      <c r="A366" s="4"/>
      <c r="B366" s="101"/>
      <c r="C366" s="4"/>
      <c r="D366" s="102"/>
      <c r="E366" s="103"/>
      <c r="F366" s="10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2.75" customHeight="1">
      <c r="A367" s="4"/>
      <c r="B367" s="101"/>
      <c r="C367" s="4"/>
      <c r="D367" s="102"/>
      <c r="E367" s="103"/>
      <c r="F367" s="10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2.75" customHeight="1">
      <c r="A368" s="4"/>
      <c r="B368" s="101"/>
      <c r="C368" s="4"/>
      <c r="D368" s="102"/>
      <c r="E368" s="103"/>
      <c r="F368" s="10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2.75" customHeight="1">
      <c r="A369" s="4"/>
      <c r="B369" s="101"/>
      <c r="C369" s="4"/>
      <c r="D369" s="102"/>
      <c r="E369" s="103"/>
      <c r="F369" s="10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2.75" customHeight="1">
      <c r="A370" s="4"/>
      <c r="B370" s="101"/>
      <c r="C370" s="4"/>
      <c r="D370" s="102"/>
      <c r="E370" s="103"/>
      <c r="F370" s="10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2.75" customHeight="1">
      <c r="A371" s="4"/>
      <c r="B371" s="101"/>
      <c r="C371" s="4"/>
      <c r="D371" s="102"/>
      <c r="E371" s="103"/>
      <c r="F371" s="10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2.75" customHeight="1">
      <c r="A372" s="4"/>
      <c r="B372" s="101"/>
      <c r="C372" s="4"/>
      <c r="D372" s="102"/>
      <c r="E372" s="103"/>
      <c r="F372" s="10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2.75" customHeight="1">
      <c r="A373" s="4"/>
      <c r="B373" s="101"/>
      <c r="C373" s="4"/>
      <c r="D373" s="102"/>
      <c r="E373" s="103"/>
      <c r="F373" s="10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2.75" customHeight="1">
      <c r="A374" s="4"/>
      <c r="B374" s="101"/>
      <c r="C374" s="4"/>
      <c r="D374" s="102"/>
      <c r="E374" s="103"/>
      <c r="F374" s="10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2.75" customHeight="1">
      <c r="A375" s="4"/>
      <c r="B375" s="101"/>
      <c r="C375" s="4"/>
      <c r="D375" s="102"/>
      <c r="E375" s="103"/>
      <c r="F375" s="10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2.75" customHeight="1">
      <c r="A376" s="4"/>
      <c r="B376" s="101"/>
      <c r="C376" s="4"/>
      <c r="D376" s="102"/>
      <c r="E376" s="103"/>
      <c r="F376" s="10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2.75" customHeight="1">
      <c r="A377" s="4"/>
      <c r="B377" s="101"/>
      <c r="C377" s="4"/>
      <c r="D377" s="102"/>
      <c r="E377" s="103"/>
      <c r="F377" s="10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2.75" customHeight="1">
      <c r="A378" s="4"/>
      <c r="B378" s="101"/>
      <c r="C378" s="4"/>
      <c r="D378" s="102"/>
      <c r="E378" s="103"/>
      <c r="F378" s="10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2.75" customHeight="1">
      <c r="A379" s="4"/>
      <c r="B379" s="101"/>
      <c r="C379" s="4"/>
      <c r="D379" s="102"/>
      <c r="E379" s="103"/>
      <c r="F379" s="10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2.75" customHeight="1">
      <c r="A380" s="4"/>
      <c r="B380" s="101"/>
      <c r="C380" s="4"/>
      <c r="D380" s="102"/>
      <c r="E380" s="103"/>
      <c r="F380" s="10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2.75" customHeight="1">
      <c r="A381" s="4"/>
      <c r="B381" s="101"/>
      <c r="C381" s="4"/>
      <c r="D381" s="102"/>
      <c r="E381" s="103"/>
      <c r="F381" s="10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2.75" customHeight="1">
      <c r="A382" s="4"/>
      <c r="B382" s="101"/>
      <c r="C382" s="4"/>
      <c r="D382" s="102"/>
      <c r="E382" s="103"/>
      <c r="F382" s="10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2.75" customHeight="1">
      <c r="A383" s="4"/>
      <c r="B383" s="101"/>
      <c r="C383" s="4"/>
      <c r="D383" s="102"/>
      <c r="E383" s="103"/>
      <c r="F383" s="10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2.75" customHeight="1">
      <c r="A384" s="4"/>
      <c r="B384" s="101"/>
      <c r="C384" s="4"/>
      <c r="D384" s="102"/>
      <c r="E384" s="103"/>
      <c r="F384" s="10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2.75" customHeight="1">
      <c r="A385" s="4"/>
      <c r="B385" s="101"/>
      <c r="C385" s="4"/>
      <c r="D385" s="102"/>
      <c r="E385" s="103"/>
      <c r="F385" s="10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2.75" customHeight="1">
      <c r="A386" s="4"/>
      <c r="B386" s="101"/>
      <c r="C386" s="4"/>
      <c r="D386" s="102"/>
      <c r="E386" s="103"/>
      <c r="F386" s="10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2.75" customHeight="1">
      <c r="A387" s="4"/>
      <c r="B387" s="101"/>
      <c r="C387" s="4"/>
      <c r="D387" s="102"/>
      <c r="E387" s="103"/>
      <c r="F387" s="10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2.75" customHeight="1">
      <c r="A388" s="4"/>
      <c r="B388" s="101"/>
      <c r="C388" s="4"/>
      <c r="D388" s="102"/>
      <c r="E388" s="103"/>
      <c r="F388" s="10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2.75" customHeight="1">
      <c r="A389" s="4"/>
      <c r="B389" s="101"/>
      <c r="C389" s="4"/>
      <c r="D389" s="102"/>
      <c r="E389" s="103"/>
      <c r="F389" s="10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2.75" customHeight="1">
      <c r="A390" s="4"/>
      <c r="B390" s="101"/>
      <c r="C390" s="4"/>
      <c r="D390" s="102"/>
      <c r="E390" s="103"/>
      <c r="F390" s="10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2.75" customHeight="1">
      <c r="A391" s="4"/>
      <c r="B391" s="101"/>
      <c r="C391" s="4"/>
      <c r="D391" s="102"/>
      <c r="E391" s="103"/>
      <c r="F391" s="10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2.75" customHeight="1">
      <c r="A392" s="4"/>
      <c r="B392" s="101"/>
      <c r="C392" s="4"/>
      <c r="D392" s="102"/>
      <c r="E392" s="103"/>
      <c r="F392" s="10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2.75" customHeight="1">
      <c r="A393" s="4"/>
      <c r="B393" s="101"/>
      <c r="C393" s="4"/>
      <c r="D393" s="102"/>
      <c r="E393" s="103"/>
      <c r="F393" s="10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2.75" customHeight="1">
      <c r="A394" s="4"/>
      <c r="B394" s="101"/>
      <c r="C394" s="4"/>
      <c r="D394" s="102"/>
      <c r="E394" s="103"/>
      <c r="F394" s="10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2.75" customHeight="1">
      <c r="A395" s="4"/>
      <c r="B395" s="101"/>
      <c r="C395" s="4"/>
      <c r="D395" s="102"/>
      <c r="E395" s="103"/>
      <c r="F395" s="10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2.75" customHeight="1">
      <c r="A396" s="4"/>
      <c r="B396" s="101"/>
      <c r="C396" s="4"/>
      <c r="D396" s="102"/>
      <c r="E396" s="103"/>
      <c r="F396" s="10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2.75" customHeight="1">
      <c r="A397" s="4"/>
      <c r="B397" s="101"/>
      <c r="C397" s="4"/>
      <c r="D397" s="102"/>
      <c r="E397" s="103"/>
      <c r="F397" s="10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2.75" customHeight="1">
      <c r="A398" s="4"/>
      <c r="B398" s="101"/>
      <c r="C398" s="4"/>
      <c r="D398" s="102"/>
      <c r="E398" s="103"/>
      <c r="F398" s="10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2.75" customHeight="1">
      <c r="A399" s="4"/>
      <c r="B399" s="101"/>
      <c r="C399" s="4"/>
      <c r="D399" s="102"/>
      <c r="E399" s="103"/>
      <c r="F399" s="10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2.75" customHeight="1">
      <c r="A400" s="4"/>
      <c r="B400" s="101"/>
      <c r="C400" s="4"/>
      <c r="D400" s="102"/>
      <c r="E400" s="103"/>
      <c r="F400" s="10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2.75" customHeight="1">
      <c r="A401" s="4"/>
      <c r="B401" s="101"/>
      <c r="C401" s="4"/>
      <c r="D401" s="102"/>
      <c r="E401" s="103"/>
      <c r="F401" s="10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2.75" customHeight="1">
      <c r="A402" s="4"/>
      <c r="B402" s="101"/>
      <c r="C402" s="4"/>
      <c r="D402" s="102"/>
      <c r="E402" s="103"/>
      <c r="F402" s="10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2.75" customHeight="1">
      <c r="A403" s="4"/>
      <c r="B403" s="101"/>
      <c r="C403" s="4"/>
      <c r="D403" s="102"/>
      <c r="E403" s="103"/>
      <c r="F403" s="10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2.75" customHeight="1">
      <c r="A404" s="4"/>
      <c r="B404" s="101"/>
      <c r="C404" s="4"/>
      <c r="D404" s="102"/>
      <c r="E404" s="103"/>
      <c r="F404" s="10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2.75" customHeight="1">
      <c r="A405" s="4"/>
      <c r="B405" s="101"/>
      <c r="C405" s="4"/>
      <c r="D405" s="102"/>
      <c r="E405" s="103"/>
      <c r="F405" s="10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2.75" customHeight="1">
      <c r="A406" s="4"/>
      <c r="B406" s="101"/>
      <c r="C406" s="4"/>
      <c r="D406" s="102"/>
      <c r="E406" s="103"/>
      <c r="F406" s="10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2.75" customHeight="1">
      <c r="A407" s="4"/>
      <c r="B407" s="101"/>
      <c r="C407" s="4"/>
      <c r="D407" s="102"/>
      <c r="E407" s="103"/>
      <c r="F407" s="10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2.75" customHeight="1">
      <c r="A408" s="4"/>
      <c r="B408" s="101"/>
      <c r="C408" s="4"/>
      <c r="D408" s="102"/>
      <c r="E408" s="103"/>
      <c r="F408" s="10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2.75" customHeight="1">
      <c r="A409" s="4"/>
      <c r="B409" s="101"/>
      <c r="C409" s="4"/>
      <c r="D409" s="102"/>
      <c r="E409" s="103"/>
      <c r="F409" s="10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2.75" customHeight="1">
      <c r="A410" s="4"/>
      <c r="B410" s="101"/>
      <c r="C410" s="4"/>
      <c r="D410" s="102"/>
      <c r="E410" s="103"/>
      <c r="F410" s="10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2.75" customHeight="1">
      <c r="A411" s="4"/>
      <c r="B411" s="101"/>
      <c r="C411" s="4"/>
      <c r="D411" s="102"/>
      <c r="E411" s="103"/>
      <c r="F411" s="10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2.75" customHeight="1">
      <c r="A412" s="4"/>
      <c r="B412" s="101"/>
      <c r="C412" s="4"/>
      <c r="D412" s="102"/>
      <c r="E412" s="103"/>
      <c r="F412" s="10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2.75" customHeight="1">
      <c r="A413" s="4"/>
      <c r="B413" s="101"/>
      <c r="C413" s="4"/>
      <c r="D413" s="102"/>
      <c r="E413" s="103"/>
      <c r="F413" s="10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2.75" customHeight="1">
      <c r="A414" s="4"/>
      <c r="B414" s="101"/>
      <c r="C414" s="4"/>
      <c r="D414" s="102"/>
      <c r="E414" s="103"/>
      <c r="F414" s="10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2.75" customHeight="1">
      <c r="A415" s="4"/>
      <c r="B415" s="101"/>
      <c r="C415" s="4"/>
      <c r="D415" s="102"/>
      <c r="E415" s="103"/>
      <c r="F415" s="10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2.75" customHeight="1">
      <c r="A416" s="4"/>
      <c r="B416" s="101"/>
      <c r="C416" s="4"/>
      <c r="D416" s="102"/>
      <c r="E416" s="103"/>
      <c r="F416" s="10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2.75" customHeight="1">
      <c r="A417" s="4"/>
      <c r="B417" s="101"/>
      <c r="C417" s="4"/>
      <c r="D417" s="102"/>
      <c r="E417" s="103"/>
      <c r="F417" s="10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2.75" customHeight="1">
      <c r="A418" s="4"/>
      <c r="B418" s="101"/>
      <c r="C418" s="4"/>
      <c r="D418" s="102"/>
      <c r="E418" s="103"/>
      <c r="F418" s="10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2.75" customHeight="1">
      <c r="A419" s="4"/>
      <c r="B419" s="101"/>
      <c r="C419" s="4"/>
      <c r="D419" s="102"/>
      <c r="E419" s="103"/>
      <c r="F419" s="10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2.75" customHeight="1">
      <c r="A420" s="4"/>
      <c r="B420" s="101"/>
      <c r="C420" s="4"/>
      <c r="D420" s="102"/>
      <c r="E420" s="103"/>
      <c r="F420" s="10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2.75" customHeight="1">
      <c r="A421" s="4"/>
      <c r="B421" s="101"/>
      <c r="C421" s="4"/>
      <c r="D421" s="102"/>
      <c r="E421" s="103"/>
      <c r="F421" s="10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2.75" customHeight="1">
      <c r="A422" s="4"/>
      <c r="B422" s="101"/>
      <c r="C422" s="4"/>
      <c r="D422" s="102"/>
      <c r="E422" s="103"/>
      <c r="F422" s="10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2.75" customHeight="1">
      <c r="A423" s="4"/>
      <c r="B423" s="101"/>
      <c r="C423" s="4"/>
      <c r="D423" s="102"/>
      <c r="E423" s="103"/>
      <c r="F423" s="10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2.75" customHeight="1">
      <c r="A424" s="4"/>
      <c r="B424" s="101"/>
      <c r="C424" s="4"/>
      <c r="D424" s="102"/>
      <c r="E424" s="103"/>
      <c r="F424" s="10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2.75" customHeight="1">
      <c r="A425" s="4"/>
      <c r="B425" s="101"/>
      <c r="C425" s="4"/>
      <c r="D425" s="102"/>
      <c r="E425" s="103"/>
      <c r="F425" s="10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2.75" customHeight="1">
      <c r="A426" s="4"/>
      <c r="B426" s="101"/>
      <c r="C426" s="4"/>
      <c r="D426" s="102"/>
      <c r="E426" s="103"/>
      <c r="F426" s="10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2.75" customHeight="1">
      <c r="A427" s="4"/>
      <c r="B427" s="101"/>
      <c r="C427" s="4"/>
      <c r="D427" s="102"/>
      <c r="E427" s="103"/>
      <c r="F427" s="10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2.75" customHeight="1">
      <c r="A428" s="4"/>
      <c r="B428" s="101"/>
      <c r="C428" s="4"/>
      <c r="D428" s="102"/>
      <c r="E428" s="103"/>
      <c r="F428" s="10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2.75" customHeight="1">
      <c r="A429" s="4"/>
      <c r="B429" s="101"/>
      <c r="C429" s="4"/>
      <c r="D429" s="102"/>
      <c r="E429" s="103"/>
      <c r="F429" s="10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2.75" customHeight="1">
      <c r="A430" s="4"/>
      <c r="B430" s="101"/>
      <c r="C430" s="4"/>
      <c r="D430" s="102"/>
      <c r="E430" s="103"/>
      <c r="F430" s="10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2.75" customHeight="1">
      <c r="A431" s="4"/>
      <c r="B431" s="101"/>
      <c r="C431" s="4"/>
      <c r="D431" s="102"/>
      <c r="E431" s="103"/>
      <c r="F431" s="10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2.75" customHeight="1">
      <c r="A432" s="4"/>
      <c r="B432" s="101"/>
      <c r="C432" s="4"/>
      <c r="D432" s="102"/>
      <c r="E432" s="103"/>
      <c r="F432" s="10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2.75" customHeight="1">
      <c r="A433" s="4"/>
      <c r="B433" s="101"/>
      <c r="C433" s="4"/>
      <c r="D433" s="102"/>
      <c r="E433" s="103"/>
      <c r="F433" s="10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2.75" customHeight="1">
      <c r="A434" s="4"/>
      <c r="B434" s="101"/>
      <c r="C434" s="4"/>
      <c r="D434" s="102"/>
      <c r="E434" s="103"/>
      <c r="F434" s="10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2.75" customHeight="1">
      <c r="A435" s="4"/>
      <c r="B435" s="101"/>
      <c r="C435" s="4"/>
      <c r="D435" s="102"/>
      <c r="E435" s="103"/>
      <c r="F435" s="10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2.75" customHeight="1">
      <c r="A436" s="4"/>
      <c r="B436" s="101"/>
      <c r="C436" s="4"/>
      <c r="D436" s="102"/>
      <c r="E436" s="103"/>
      <c r="F436" s="10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2.75" customHeight="1">
      <c r="A437" s="4"/>
      <c r="B437" s="101"/>
      <c r="C437" s="4"/>
      <c r="D437" s="102"/>
      <c r="E437" s="103"/>
      <c r="F437" s="10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2.75" customHeight="1">
      <c r="A438" s="4"/>
      <c r="B438" s="101"/>
      <c r="C438" s="4"/>
      <c r="D438" s="102"/>
      <c r="E438" s="103"/>
      <c r="F438" s="10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2.75" customHeight="1">
      <c r="A439" s="4"/>
      <c r="B439" s="101"/>
      <c r="C439" s="4"/>
      <c r="D439" s="102"/>
      <c r="E439" s="103"/>
      <c r="F439" s="10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2.75" customHeight="1">
      <c r="A440" s="4"/>
      <c r="B440" s="101"/>
      <c r="C440" s="4"/>
      <c r="D440" s="102"/>
      <c r="E440" s="103"/>
      <c r="F440" s="10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2.75" customHeight="1">
      <c r="A441" s="4"/>
      <c r="B441" s="101"/>
      <c r="C441" s="4"/>
      <c r="D441" s="102"/>
      <c r="E441" s="103"/>
      <c r="F441" s="10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2.75" customHeight="1">
      <c r="A442" s="4"/>
      <c r="B442" s="101"/>
      <c r="C442" s="4"/>
      <c r="D442" s="102"/>
      <c r="E442" s="103"/>
      <c r="F442" s="10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2.75" customHeight="1">
      <c r="A443" s="4"/>
      <c r="B443" s="101"/>
      <c r="C443" s="4"/>
      <c r="D443" s="102"/>
      <c r="E443" s="103"/>
      <c r="F443" s="10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2.75" customHeight="1">
      <c r="A444" s="4"/>
      <c r="B444" s="101"/>
      <c r="C444" s="4"/>
      <c r="D444" s="102"/>
      <c r="E444" s="103"/>
      <c r="F444" s="10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2.75" customHeight="1">
      <c r="A445" s="4"/>
      <c r="B445" s="101"/>
      <c r="C445" s="4"/>
      <c r="D445" s="102"/>
      <c r="E445" s="103"/>
      <c r="F445" s="10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2.75" customHeight="1">
      <c r="A446" s="4"/>
      <c r="B446" s="101"/>
      <c r="C446" s="4"/>
      <c r="D446" s="102"/>
      <c r="E446" s="103"/>
      <c r="F446" s="10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2.75" customHeight="1">
      <c r="A447" s="4"/>
      <c r="B447" s="101"/>
      <c r="C447" s="4"/>
      <c r="D447" s="102"/>
      <c r="E447" s="103"/>
      <c r="F447" s="10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2.75" customHeight="1">
      <c r="A448" s="4"/>
      <c r="B448" s="101"/>
      <c r="C448" s="4"/>
      <c r="D448" s="102"/>
      <c r="E448" s="103"/>
      <c r="F448" s="10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2.75" customHeight="1">
      <c r="A449" s="4"/>
      <c r="B449" s="101"/>
      <c r="C449" s="4"/>
      <c r="D449" s="102"/>
      <c r="E449" s="103"/>
      <c r="F449" s="10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2.75" customHeight="1">
      <c r="A450" s="4"/>
      <c r="B450" s="101"/>
      <c r="C450" s="4"/>
      <c r="D450" s="102"/>
      <c r="E450" s="103"/>
      <c r="F450" s="10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2.75" customHeight="1">
      <c r="A451" s="4"/>
      <c r="B451" s="101"/>
      <c r="C451" s="4"/>
      <c r="D451" s="102"/>
      <c r="E451" s="103"/>
      <c r="F451" s="10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2.75" customHeight="1">
      <c r="A452" s="4"/>
      <c r="B452" s="101"/>
      <c r="C452" s="4"/>
      <c r="D452" s="102"/>
      <c r="E452" s="103"/>
      <c r="F452" s="10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2.75" customHeight="1">
      <c r="A453" s="4"/>
      <c r="B453" s="101"/>
      <c r="C453" s="4"/>
      <c r="D453" s="102"/>
      <c r="E453" s="103"/>
      <c r="F453" s="10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2.75" customHeight="1">
      <c r="A454" s="4"/>
      <c r="B454" s="101"/>
      <c r="C454" s="4"/>
      <c r="D454" s="102"/>
      <c r="E454" s="103"/>
      <c r="F454" s="10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2.75" customHeight="1">
      <c r="A455" s="4"/>
      <c r="B455" s="101"/>
      <c r="C455" s="4"/>
      <c r="D455" s="102"/>
      <c r="E455" s="103"/>
      <c r="F455" s="10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2.75" customHeight="1">
      <c r="A456" s="4"/>
      <c r="B456" s="101"/>
      <c r="C456" s="4"/>
      <c r="D456" s="102"/>
      <c r="E456" s="103"/>
      <c r="F456" s="10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2.75" customHeight="1">
      <c r="A457" s="4"/>
      <c r="B457" s="101"/>
      <c r="C457" s="4"/>
      <c r="D457" s="102"/>
      <c r="E457" s="103"/>
      <c r="F457" s="10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2.75" customHeight="1">
      <c r="A458" s="4"/>
      <c r="B458" s="101"/>
      <c r="C458" s="4"/>
      <c r="D458" s="102"/>
      <c r="E458" s="103"/>
      <c r="F458" s="10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2.75" customHeight="1">
      <c r="A459" s="4"/>
      <c r="B459" s="101"/>
      <c r="C459" s="4"/>
      <c r="D459" s="102"/>
      <c r="E459" s="103"/>
      <c r="F459" s="10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2.75" customHeight="1">
      <c r="A460" s="4"/>
      <c r="B460" s="101"/>
      <c r="C460" s="4"/>
      <c r="D460" s="102"/>
      <c r="E460" s="103"/>
      <c r="F460" s="10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2.75" customHeight="1">
      <c r="A461" s="4"/>
      <c r="B461" s="101"/>
      <c r="C461" s="4"/>
      <c r="D461" s="102"/>
      <c r="E461" s="103"/>
      <c r="F461" s="10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2.75" customHeight="1">
      <c r="A462" s="4"/>
      <c r="B462" s="101"/>
      <c r="C462" s="4"/>
      <c r="D462" s="102"/>
      <c r="E462" s="103"/>
      <c r="F462" s="10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2.75" customHeight="1">
      <c r="A463" s="4"/>
      <c r="B463" s="101"/>
      <c r="C463" s="4"/>
      <c r="D463" s="102"/>
      <c r="E463" s="103"/>
      <c r="F463" s="10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2.75" customHeight="1">
      <c r="A464" s="4"/>
      <c r="B464" s="101"/>
      <c r="C464" s="4"/>
      <c r="D464" s="102"/>
      <c r="E464" s="103"/>
      <c r="F464" s="10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2.75" customHeight="1">
      <c r="A465" s="4"/>
      <c r="B465" s="101"/>
      <c r="C465" s="4"/>
      <c r="D465" s="102"/>
      <c r="E465" s="103"/>
      <c r="F465" s="10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2.75" customHeight="1">
      <c r="A466" s="4"/>
      <c r="B466" s="101"/>
      <c r="C466" s="4"/>
      <c r="D466" s="102"/>
      <c r="E466" s="103"/>
      <c r="F466" s="10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2.75" customHeight="1">
      <c r="A467" s="4"/>
      <c r="B467" s="101"/>
      <c r="C467" s="4"/>
      <c r="D467" s="102"/>
      <c r="E467" s="103"/>
      <c r="F467" s="10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2.75" customHeight="1">
      <c r="A468" s="4"/>
      <c r="B468" s="101"/>
      <c r="C468" s="4"/>
      <c r="D468" s="102"/>
      <c r="E468" s="103"/>
      <c r="F468" s="10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2.75" customHeight="1">
      <c r="A469" s="4"/>
      <c r="B469" s="101"/>
      <c r="C469" s="4"/>
      <c r="D469" s="102"/>
      <c r="E469" s="103"/>
      <c r="F469" s="10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2.75" customHeight="1">
      <c r="A470" s="4"/>
      <c r="B470" s="101"/>
      <c r="C470" s="4"/>
      <c r="D470" s="102"/>
      <c r="E470" s="103"/>
      <c r="F470" s="10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2.75" customHeight="1">
      <c r="A471" s="4"/>
      <c r="B471" s="101"/>
      <c r="C471" s="4"/>
      <c r="D471" s="102"/>
      <c r="E471" s="103"/>
      <c r="F471" s="10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2.75" customHeight="1">
      <c r="A472" s="4"/>
      <c r="B472" s="101"/>
      <c r="C472" s="4"/>
      <c r="D472" s="102"/>
      <c r="E472" s="103"/>
      <c r="F472" s="10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2.75" customHeight="1">
      <c r="A473" s="4"/>
      <c r="B473" s="101"/>
      <c r="C473" s="4"/>
      <c r="D473" s="102"/>
      <c r="E473" s="103"/>
      <c r="F473" s="10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2.75" customHeight="1">
      <c r="A474" s="4"/>
      <c r="B474" s="101"/>
      <c r="C474" s="4"/>
      <c r="D474" s="102"/>
      <c r="E474" s="103"/>
      <c r="F474" s="10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2.75" customHeight="1">
      <c r="A475" s="4"/>
      <c r="B475" s="101"/>
      <c r="C475" s="4"/>
      <c r="D475" s="102"/>
      <c r="E475" s="103"/>
      <c r="F475" s="10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2.75" customHeight="1">
      <c r="A476" s="4"/>
      <c r="B476" s="101"/>
      <c r="C476" s="4"/>
      <c r="D476" s="102"/>
      <c r="E476" s="103"/>
      <c r="F476" s="10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2.75" customHeight="1">
      <c r="A477" s="4"/>
      <c r="B477" s="101"/>
      <c r="C477" s="4"/>
      <c r="D477" s="102"/>
      <c r="E477" s="103"/>
      <c r="F477" s="10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2.75" customHeight="1">
      <c r="A478" s="4"/>
      <c r="B478" s="101"/>
      <c r="C478" s="4"/>
      <c r="D478" s="102"/>
      <c r="E478" s="103"/>
      <c r="F478" s="10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2.75" customHeight="1">
      <c r="A479" s="4"/>
      <c r="B479" s="101"/>
      <c r="C479" s="4"/>
      <c r="D479" s="102"/>
      <c r="E479" s="103"/>
      <c r="F479" s="10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2.75" customHeight="1">
      <c r="A480" s="4"/>
      <c r="B480" s="101"/>
      <c r="C480" s="4"/>
      <c r="D480" s="102"/>
      <c r="E480" s="103"/>
      <c r="F480" s="10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2.75" customHeight="1">
      <c r="A481" s="4"/>
      <c r="B481" s="101"/>
      <c r="C481" s="4"/>
      <c r="D481" s="102"/>
      <c r="E481" s="103"/>
      <c r="F481" s="10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2.75" customHeight="1">
      <c r="A482" s="4"/>
      <c r="B482" s="101"/>
      <c r="C482" s="4"/>
      <c r="D482" s="102"/>
      <c r="E482" s="103"/>
      <c r="F482" s="10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2.75" customHeight="1">
      <c r="A483" s="4"/>
      <c r="B483" s="101"/>
      <c r="C483" s="4"/>
      <c r="D483" s="102"/>
      <c r="E483" s="103"/>
      <c r="F483" s="10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2.75" customHeight="1">
      <c r="A484" s="4"/>
      <c r="B484" s="101"/>
      <c r="C484" s="4"/>
      <c r="D484" s="102"/>
      <c r="E484" s="103"/>
      <c r="F484" s="10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2.75" customHeight="1">
      <c r="A485" s="4"/>
      <c r="B485" s="101"/>
      <c r="C485" s="4"/>
      <c r="D485" s="102"/>
      <c r="E485" s="103"/>
      <c r="F485" s="10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2.75" customHeight="1">
      <c r="A486" s="4"/>
      <c r="B486" s="101"/>
      <c r="C486" s="4"/>
      <c r="D486" s="102"/>
      <c r="E486" s="103"/>
      <c r="F486" s="10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2.75" customHeight="1">
      <c r="A487" s="4"/>
      <c r="B487" s="101"/>
      <c r="C487" s="4"/>
      <c r="D487" s="102"/>
      <c r="E487" s="103"/>
      <c r="F487" s="10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2.75" customHeight="1">
      <c r="A488" s="4"/>
      <c r="B488" s="101"/>
      <c r="C488" s="4"/>
      <c r="D488" s="102"/>
      <c r="E488" s="103"/>
      <c r="F488" s="10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2.75" customHeight="1">
      <c r="A489" s="4"/>
      <c r="B489" s="101"/>
      <c r="C489" s="4"/>
      <c r="D489" s="102"/>
      <c r="E489" s="103"/>
      <c r="F489" s="10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2.75" customHeight="1">
      <c r="A490" s="4"/>
      <c r="B490" s="101"/>
      <c r="C490" s="4"/>
      <c r="D490" s="102"/>
      <c r="E490" s="103"/>
      <c r="F490" s="10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2.75" customHeight="1">
      <c r="A491" s="4"/>
      <c r="B491" s="101"/>
      <c r="C491" s="4"/>
      <c r="D491" s="102"/>
      <c r="E491" s="103"/>
      <c r="F491" s="10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2.75" customHeight="1">
      <c r="A492" s="4"/>
      <c r="B492" s="101"/>
      <c r="C492" s="4"/>
      <c r="D492" s="102"/>
      <c r="E492" s="103"/>
      <c r="F492" s="10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2.75" customHeight="1">
      <c r="A493" s="4"/>
      <c r="B493" s="101"/>
      <c r="C493" s="4"/>
      <c r="D493" s="102"/>
      <c r="E493" s="103"/>
      <c r="F493" s="10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2.75" customHeight="1">
      <c r="A494" s="4"/>
      <c r="B494" s="101"/>
      <c r="C494" s="4"/>
      <c r="D494" s="102"/>
      <c r="E494" s="103"/>
      <c r="F494" s="10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F1"/>
    <mergeCell ref="A2:F2"/>
    <mergeCell ref="A3:F3"/>
    <mergeCell ref="A4:F4"/>
    <mergeCell ref="D7:E7"/>
    <mergeCell ref="A9:F9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2.63" defaultRowHeight="15.0"/>
  <cols>
    <col customWidth="1" min="1" max="1" width="72.13"/>
    <col customWidth="1" min="2" max="2" width="61.5"/>
    <col customWidth="1" min="3" max="3" width="21.88"/>
    <col customWidth="1" min="4" max="4" width="20.5"/>
    <col customWidth="1" min="5" max="6" width="22.88"/>
    <col customWidth="1" min="7" max="7" width="71.13"/>
    <col customWidth="1" min="8" max="8" width="50.13"/>
    <col customWidth="1" min="9" max="27" width="8.0"/>
  </cols>
  <sheetData>
    <row r="1" ht="12.75" customHeight="1">
      <c r="A1" s="1" t="s">
        <v>293</v>
      </c>
      <c r="B1" s="2"/>
      <c r="C1" s="2"/>
      <c r="D1" s="2"/>
      <c r="E1" s="2"/>
      <c r="F1" s="2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ht="12.75" customHeight="1">
      <c r="A2" s="5" t="s">
        <v>294</v>
      </c>
      <c r="B2" s="6"/>
      <c r="C2" s="6"/>
      <c r="D2" s="6"/>
      <c r="E2" s="6"/>
      <c r="F2" s="6"/>
      <c r="G2" s="7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ht="12.75" customHeight="1">
      <c r="A3" s="5" t="s">
        <v>2</v>
      </c>
      <c r="B3" s="6"/>
      <c r="C3" s="6"/>
      <c r="D3" s="6"/>
      <c r="E3" s="6"/>
      <c r="F3" s="6"/>
      <c r="G3" s="7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ht="12.75" customHeight="1">
      <c r="A4" s="5" t="s">
        <v>3</v>
      </c>
      <c r="B4" s="6"/>
      <c r="C4" s="6"/>
      <c r="D4" s="6"/>
      <c r="E4" s="6"/>
      <c r="F4" s="6"/>
      <c r="G4" s="7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ht="12.75" customHeight="1">
      <c r="A5" s="8"/>
      <c r="B5" s="9"/>
      <c r="C5" s="10"/>
      <c r="D5" s="11"/>
      <c r="E5" s="11"/>
      <c r="F5" s="11"/>
      <c r="G5" s="12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ht="12.75" customHeight="1">
      <c r="A6" s="13"/>
      <c r="B6" s="9"/>
      <c r="C6" s="10"/>
      <c r="D6" s="14"/>
      <c r="E6" s="14"/>
      <c r="F6" s="14"/>
      <c r="G6" s="15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ht="30.0" customHeight="1">
      <c r="A7" s="16"/>
      <c r="B7" s="9"/>
      <c r="C7" s="17"/>
      <c r="D7" s="18"/>
      <c r="E7" s="19"/>
      <c r="F7" s="278"/>
      <c r="G7" s="15" t="s">
        <v>632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ht="30.0" customHeight="1">
      <c r="A8" s="20" t="s">
        <v>296</v>
      </c>
      <c r="B8" s="21"/>
      <c r="C8" s="22"/>
      <c r="D8" s="23"/>
      <c r="E8" s="23"/>
      <c r="F8" s="23"/>
      <c r="G8" s="2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ht="27.75" customHeight="1">
      <c r="A9" s="279" t="s">
        <v>633</v>
      </c>
      <c r="B9" s="280"/>
      <c r="C9" s="280"/>
      <c r="D9" s="280"/>
      <c r="E9" s="280"/>
      <c r="F9" s="280"/>
      <c r="G9" s="37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ht="12.75" customHeight="1">
      <c r="A10" s="281" t="s">
        <v>634</v>
      </c>
      <c r="B10" s="282"/>
      <c r="C10" s="283" t="s">
        <v>299</v>
      </c>
      <c r="D10" s="283" t="s">
        <v>300</v>
      </c>
      <c r="E10" s="283" t="s">
        <v>635</v>
      </c>
      <c r="F10" s="284" t="s">
        <v>636</v>
      </c>
      <c r="G10" s="285" t="s">
        <v>11</v>
      </c>
      <c r="H10" s="52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ht="18.75" customHeight="1">
      <c r="A11" s="194" t="s">
        <v>637</v>
      </c>
      <c r="B11" s="286"/>
      <c r="C11" s="287"/>
      <c r="D11" s="288"/>
      <c r="E11" s="288"/>
      <c r="F11" s="289"/>
      <c r="G11" s="290" t="s">
        <v>13</v>
      </c>
      <c r="H11" s="52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ht="18.75" customHeight="1">
      <c r="A12" s="197" t="s">
        <v>303</v>
      </c>
      <c r="B12" s="291" t="s">
        <v>304</v>
      </c>
      <c r="C12" s="292"/>
      <c r="D12" s="293"/>
      <c r="E12" s="293"/>
      <c r="F12" s="294"/>
      <c r="G12" s="295" t="s">
        <v>638</v>
      </c>
      <c r="H12" s="52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ht="12.75" customHeight="1">
      <c r="A13" s="200" t="s">
        <v>639</v>
      </c>
      <c r="B13" s="296" t="s">
        <v>361</v>
      </c>
      <c r="C13" s="297">
        <v>1168.0</v>
      </c>
      <c r="D13" s="298">
        <v>27481.09</v>
      </c>
      <c r="E13" s="298">
        <v>28410.99</v>
      </c>
      <c r="F13" s="299">
        <v>28935.99</v>
      </c>
      <c r="G13" s="300" t="s">
        <v>640</v>
      </c>
      <c r="H13" s="52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ht="12.75" customHeight="1">
      <c r="A14" s="200"/>
      <c r="B14" s="301"/>
      <c r="C14" s="297"/>
      <c r="D14" s="298"/>
      <c r="E14" s="298"/>
      <c r="F14" s="299"/>
      <c r="G14" s="300" t="s">
        <v>641</v>
      </c>
      <c r="H14" s="52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ht="12.75" customHeight="1">
      <c r="A15" s="200" t="s">
        <v>642</v>
      </c>
      <c r="B15" s="301"/>
      <c r="C15" s="297"/>
      <c r="D15" s="298"/>
      <c r="E15" s="298"/>
      <c r="F15" s="299"/>
      <c r="G15" s="300" t="s">
        <v>643</v>
      </c>
      <c r="H15" s="52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ht="12.75" customHeight="1">
      <c r="A16" s="302"/>
      <c r="B16" s="301"/>
      <c r="C16" s="297"/>
      <c r="D16" s="298"/>
      <c r="E16" s="298"/>
      <c r="F16" s="299"/>
      <c r="G16" s="295" t="s">
        <v>407</v>
      </c>
      <c r="H16" s="52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ht="12.75" customHeight="1">
      <c r="A17" s="302" t="s">
        <v>316</v>
      </c>
      <c r="B17" s="301"/>
      <c r="C17" s="297"/>
      <c r="D17" s="298"/>
      <c r="E17" s="298"/>
      <c r="F17" s="299"/>
      <c r="G17" s="295" t="s">
        <v>644</v>
      </c>
      <c r="H17" s="52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ht="12.75" customHeight="1">
      <c r="A18" s="303"/>
      <c r="B18" s="304"/>
      <c r="C18" s="305">
        <f t="shared" ref="C18:F18" si="1">SUM(C11:C17)</f>
        <v>1168</v>
      </c>
      <c r="D18" s="306">
        <f t="shared" si="1"/>
        <v>27481.09</v>
      </c>
      <c r="E18" s="306">
        <f t="shared" si="1"/>
        <v>28410.99</v>
      </c>
      <c r="F18" s="306">
        <f t="shared" si="1"/>
        <v>28935.99</v>
      </c>
      <c r="G18" s="307" t="s">
        <v>645</v>
      </c>
      <c r="H18" s="52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ht="40.5" customHeight="1">
      <c r="A19" s="281" t="s">
        <v>646</v>
      </c>
      <c r="B19" s="308"/>
      <c r="C19" s="309" t="s">
        <v>299</v>
      </c>
      <c r="D19" s="309" t="s">
        <v>9</v>
      </c>
      <c r="E19" s="309" t="s">
        <v>635</v>
      </c>
      <c r="F19" s="310" t="s">
        <v>636</v>
      </c>
      <c r="G19" s="311" t="s">
        <v>11</v>
      </c>
      <c r="H19" s="52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ht="15.75" customHeight="1">
      <c r="A20" s="194" t="s">
        <v>385</v>
      </c>
      <c r="B20" s="195"/>
      <c r="C20" s="312"/>
      <c r="D20" s="288"/>
      <c r="E20" s="261"/>
      <c r="F20" s="288"/>
      <c r="G20" s="290" t="s">
        <v>13</v>
      </c>
      <c r="H20" s="52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ht="12.75" customHeight="1">
      <c r="A21" s="197" t="s">
        <v>303</v>
      </c>
      <c r="B21" s="198" t="s">
        <v>304</v>
      </c>
      <c r="C21" s="313"/>
      <c r="D21" s="293"/>
      <c r="E21" s="261"/>
      <c r="F21" s="293"/>
      <c r="G21" s="295" t="s">
        <v>647</v>
      </c>
      <c r="H21" s="52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ht="12.75" customHeight="1">
      <c r="A22" s="200" t="s">
        <v>639</v>
      </c>
      <c r="B22" s="201" t="s">
        <v>361</v>
      </c>
      <c r="C22" s="210">
        <v>4211.0</v>
      </c>
      <c r="D22" s="298">
        <v>110975.53</v>
      </c>
      <c r="E22" s="246">
        <v>114865.93</v>
      </c>
      <c r="F22" s="298">
        <v>117015.93</v>
      </c>
      <c r="G22" s="300" t="s">
        <v>648</v>
      </c>
      <c r="H22" s="52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ht="12.75" customHeight="1">
      <c r="A23" s="302"/>
      <c r="B23" s="247"/>
      <c r="C23" s="210"/>
      <c r="D23" s="298"/>
      <c r="E23" s="246"/>
      <c r="F23" s="298"/>
      <c r="G23" s="300" t="s">
        <v>649</v>
      </c>
      <c r="H23" s="52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ht="12.75" customHeight="1">
      <c r="A24" s="200" t="s">
        <v>650</v>
      </c>
      <c r="B24" s="247" t="s">
        <v>651</v>
      </c>
      <c r="C24" s="210"/>
      <c r="D24" s="298"/>
      <c r="E24" s="246"/>
      <c r="F24" s="298"/>
      <c r="G24" s="300" t="s">
        <v>652</v>
      </c>
      <c r="H24" s="52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ht="12.75" customHeight="1">
      <c r="A25" s="200" t="s">
        <v>653</v>
      </c>
      <c r="B25" s="247" t="s">
        <v>654</v>
      </c>
      <c r="C25" s="210"/>
      <c r="D25" s="298"/>
      <c r="E25" s="246"/>
      <c r="F25" s="298"/>
      <c r="G25" s="295" t="s">
        <v>655</v>
      </c>
      <c r="H25" s="52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ht="12.75" customHeight="1">
      <c r="A26" s="302"/>
      <c r="B26" s="247"/>
      <c r="C26" s="210"/>
      <c r="D26" s="298"/>
      <c r="E26" s="246"/>
      <c r="F26" s="298"/>
      <c r="G26" s="295" t="s">
        <v>656</v>
      </c>
      <c r="H26" s="52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ht="12.75" customHeight="1">
      <c r="A27" s="302" t="s">
        <v>316</v>
      </c>
      <c r="B27" s="247"/>
      <c r="C27" s="314"/>
      <c r="D27" s="315"/>
      <c r="E27" s="253"/>
      <c r="F27" s="315"/>
      <c r="G27" s="316" t="s">
        <v>657</v>
      </c>
      <c r="H27" s="52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ht="12.75" customHeight="1">
      <c r="A28" s="317"/>
      <c r="B28" s="318"/>
      <c r="C28" s="305">
        <f t="shared" ref="C28:F28" si="2">SUM(C21:C27)</f>
        <v>4211</v>
      </c>
      <c r="D28" s="306">
        <f t="shared" si="2"/>
        <v>110975.53</v>
      </c>
      <c r="E28" s="306">
        <f t="shared" si="2"/>
        <v>114865.93</v>
      </c>
      <c r="F28" s="306">
        <f t="shared" si="2"/>
        <v>117015.93</v>
      </c>
      <c r="G28" s="307"/>
      <c r="H28" s="52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ht="39.75" customHeight="1">
      <c r="A29" s="281" t="s">
        <v>658</v>
      </c>
      <c r="B29" s="282"/>
      <c r="C29" s="319" t="s">
        <v>299</v>
      </c>
      <c r="D29" s="283" t="s">
        <v>300</v>
      </c>
      <c r="E29" s="283" t="s">
        <v>635</v>
      </c>
      <c r="F29" s="284" t="s">
        <v>636</v>
      </c>
      <c r="G29" s="285" t="s">
        <v>11</v>
      </c>
      <c r="H29" s="52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ht="14.25" customHeight="1">
      <c r="A30" s="194" t="s">
        <v>572</v>
      </c>
      <c r="B30" s="195"/>
      <c r="C30" s="320"/>
      <c r="D30" s="240"/>
      <c r="E30" s="288"/>
      <c r="F30" s="183"/>
      <c r="G30" s="290" t="s">
        <v>13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ht="12.75" customHeight="1">
      <c r="A31" s="197" t="s">
        <v>303</v>
      </c>
      <c r="B31" s="198" t="s">
        <v>304</v>
      </c>
      <c r="C31" s="292"/>
      <c r="D31" s="261"/>
      <c r="E31" s="293"/>
      <c r="F31" s="186"/>
      <c r="G31" s="295" t="s">
        <v>659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ht="12.75" customHeight="1">
      <c r="A32" s="200" t="s">
        <v>639</v>
      </c>
      <c r="B32" s="201" t="s">
        <v>361</v>
      </c>
      <c r="C32" s="297">
        <v>5451.0</v>
      </c>
      <c r="D32" s="246">
        <v>140047.68</v>
      </c>
      <c r="E32" s="298">
        <v>144408.48</v>
      </c>
      <c r="F32" s="132">
        <v>147133.48</v>
      </c>
      <c r="G32" s="300" t="s">
        <v>660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ht="12.75" customHeight="1">
      <c r="A33" s="200"/>
      <c r="B33" s="247"/>
      <c r="C33" s="297"/>
      <c r="D33" s="246"/>
      <c r="E33" s="298"/>
      <c r="F33" s="132"/>
      <c r="G33" s="300" t="s">
        <v>661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ht="12.75" customHeight="1">
      <c r="A34" s="200" t="s">
        <v>662</v>
      </c>
      <c r="B34" s="247" t="s">
        <v>663</v>
      </c>
      <c r="C34" s="297"/>
      <c r="D34" s="246"/>
      <c r="E34" s="298"/>
      <c r="F34" s="132"/>
      <c r="G34" s="300" t="s">
        <v>664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ht="12.75" customHeight="1">
      <c r="A35" s="200" t="s">
        <v>665</v>
      </c>
      <c r="B35" s="247" t="s">
        <v>666</v>
      </c>
      <c r="C35" s="297"/>
      <c r="D35" s="246"/>
      <c r="E35" s="298"/>
      <c r="F35" s="132"/>
      <c r="G35" s="295" t="s">
        <v>667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ht="12.75" customHeight="1">
      <c r="A36" s="200" t="s">
        <v>668</v>
      </c>
      <c r="B36" s="247" t="s">
        <v>669</v>
      </c>
      <c r="C36" s="297"/>
      <c r="D36" s="246"/>
      <c r="E36" s="298"/>
      <c r="F36" s="132"/>
      <c r="G36" s="295" t="s">
        <v>670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ht="17.25" customHeight="1">
      <c r="A37" s="200"/>
      <c r="B37" s="198"/>
      <c r="C37" s="298"/>
      <c r="D37" s="246"/>
      <c r="E37" s="298"/>
      <c r="F37" s="132"/>
      <c r="G37" s="316" t="s">
        <v>671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ht="16.5" customHeight="1">
      <c r="A38" s="200" t="s">
        <v>316</v>
      </c>
      <c r="B38" s="198"/>
      <c r="C38" s="321"/>
      <c r="D38" s="246"/>
      <c r="E38" s="298"/>
      <c r="F38" s="132"/>
      <c r="G38" s="316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ht="24.75" customHeight="1">
      <c r="A39" s="303"/>
      <c r="B39" s="318"/>
      <c r="C39" s="305">
        <f t="shared" ref="C39:F39" si="3">SUM(C31:C38)</f>
        <v>5451</v>
      </c>
      <c r="D39" s="306">
        <f t="shared" si="3"/>
        <v>140047.68</v>
      </c>
      <c r="E39" s="306">
        <f t="shared" si="3"/>
        <v>144408.48</v>
      </c>
      <c r="F39" s="306">
        <f t="shared" si="3"/>
        <v>147133.48</v>
      </c>
      <c r="G39" s="307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ht="42.75" customHeight="1">
      <c r="A40" s="281" t="s">
        <v>672</v>
      </c>
      <c r="B40" s="282"/>
      <c r="C40" s="322" t="s">
        <v>299</v>
      </c>
      <c r="D40" s="283" t="s">
        <v>300</v>
      </c>
      <c r="E40" s="283" t="s">
        <v>635</v>
      </c>
      <c r="F40" s="284" t="s">
        <v>636</v>
      </c>
      <c r="G40" s="285" t="s">
        <v>11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ht="20.25" customHeight="1">
      <c r="A41" s="194" t="s">
        <v>440</v>
      </c>
      <c r="B41" s="286"/>
      <c r="C41" s="320"/>
      <c r="D41" s="240"/>
      <c r="E41" s="288"/>
      <c r="F41" s="240"/>
      <c r="G41" s="290" t="s">
        <v>13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ht="17.25" customHeight="1">
      <c r="A42" s="197" t="s">
        <v>303</v>
      </c>
      <c r="B42" s="291" t="s">
        <v>304</v>
      </c>
      <c r="C42" s="292"/>
      <c r="D42" s="261"/>
      <c r="E42" s="293"/>
      <c r="F42" s="261"/>
      <c r="G42" s="295" t="s">
        <v>673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ht="18.0" customHeight="1">
      <c r="A43" s="200" t="s">
        <v>639</v>
      </c>
      <c r="B43" s="296" t="s">
        <v>361</v>
      </c>
      <c r="C43" s="297">
        <v>1026.0</v>
      </c>
      <c r="D43" s="246">
        <v>27694.1</v>
      </c>
      <c r="E43" s="298">
        <v>28463.6</v>
      </c>
      <c r="F43" s="246">
        <v>28988.6</v>
      </c>
      <c r="G43" s="300" t="s">
        <v>674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ht="18.75" customHeight="1">
      <c r="A44" s="200"/>
      <c r="B44" s="301"/>
      <c r="C44" s="297"/>
      <c r="D44" s="246"/>
      <c r="E44" s="298"/>
      <c r="F44" s="246"/>
      <c r="G44" s="300" t="s">
        <v>675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ht="18.75" customHeight="1">
      <c r="A45" s="200" t="s">
        <v>676</v>
      </c>
      <c r="B45" s="291"/>
      <c r="C45" s="297"/>
      <c r="D45" s="246"/>
      <c r="E45" s="298"/>
      <c r="F45" s="246"/>
      <c r="G45" s="300" t="s">
        <v>677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ht="16.5" customHeight="1">
      <c r="A46" s="200"/>
      <c r="B46" s="291"/>
      <c r="C46" s="297"/>
      <c r="D46" s="246"/>
      <c r="E46" s="298"/>
      <c r="F46" s="246"/>
      <c r="G46" s="295" t="s">
        <v>407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ht="20.25" customHeight="1">
      <c r="A47" s="200" t="s">
        <v>316</v>
      </c>
      <c r="B47" s="291"/>
      <c r="C47" s="298"/>
      <c r="D47" s="246"/>
      <c r="E47" s="298"/>
      <c r="F47" s="246"/>
      <c r="G47" s="295" t="s">
        <v>678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ht="18.75" customHeight="1">
      <c r="A48" s="303"/>
      <c r="B48" s="304"/>
      <c r="C48" s="305">
        <f t="shared" ref="C48:F48" si="4">SUM(C41:C47)</f>
        <v>1026</v>
      </c>
      <c r="D48" s="306">
        <f t="shared" si="4"/>
        <v>27694.1</v>
      </c>
      <c r="E48" s="306">
        <f t="shared" si="4"/>
        <v>28463.6</v>
      </c>
      <c r="F48" s="306">
        <f t="shared" si="4"/>
        <v>28988.6</v>
      </c>
      <c r="G48" s="307" t="s">
        <v>679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ht="40.5" customHeight="1">
      <c r="A49" s="281" t="s">
        <v>680</v>
      </c>
      <c r="B49" s="282"/>
      <c r="C49" s="322" t="s">
        <v>299</v>
      </c>
      <c r="D49" s="283" t="s">
        <v>300</v>
      </c>
      <c r="E49" s="283" t="s">
        <v>635</v>
      </c>
      <c r="F49" s="284" t="s">
        <v>636</v>
      </c>
      <c r="G49" s="285" t="s">
        <v>11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ht="18.75" customHeight="1">
      <c r="A50" s="194" t="s">
        <v>523</v>
      </c>
      <c r="B50" s="286"/>
      <c r="C50" s="320"/>
      <c r="D50" s="288"/>
      <c r="E50" s="240"/>
      <c r="F50" s="288"/>
      <c r="G50" s="323" t="s">
        <v>13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ht="18.75" customHeight="1">
      <c r="A51" s="197" t="s">
        <v>303</v>
      </c>
      <c r="B51" s="291" t="s">
        <v>304</v>
      </c>
      <c r="C51" s="292"/>
      <c r="D51" s="293"/>
      <c r="E51" s="261"/>
      <c r="F51" s="293"/>
      <c r="G51" s="324" t="s">
        <v>681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ht="18.75" customHeight="1">
      <c r="A52" s="200" t="s">
        <v>639</v>
      </c>
      <c r="B52" s="296" t="s">
        <v>361</v>
      </c>
      <c r="C52" s="297">
        <v>3213.0</v>
      </c>
      <c r="D52" s="298">
        <v>84003.98</v>
      </c>
      <c r="E52" s="246">
        <v>86574.48</v>
      </c>
      <c r="F52" s="298">
        <v>88199.48</v>
      </c>
      <c r="G52" s="325" t="s">
        <v>682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ht="18.75" customHeight="1">
      <c r="A53" s="200"/>
      <c r="B53" s="301"/>
      <c r="C53" s="297"/>
      <c r="D53" s="298"/>
      <c r="E53" s="246"/>
      <c r="F53" s="298"/>
      <c r="G53" s="325" t="s">
        <v>683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ht="18.75" customHeight="1">
      <c r="A54" s="200" t="s">
        <v>684</v>
      </c>
      <c r="B54" s="301" t="s">
        <v>685</v>
      </c>
      <c r="C54" s="297"/>
      <c r="D54" s="298"/>
      <c r="E54" s="246"/>
      <c r="F54" s="298"/>
      <c r="G54" s="325" t="s">
        <v>686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ht="18.75" customHeight="1">
      <c r="A55" s="200" t="s">
        <v>687</v>
      </c>
      <c r="B55" s="326"/>
      <c r="C55" s="297"/>
      <c r="D55" s="298"/>
      <c r="E55" s="246"/>
      <c r="F55" s="298"/>
      <c r="G55" s="324" t="s">
        <v>688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ht="18.0" customHeight="1">
      <c r="A56" s="302"/>
      <c r="B56" s="301"/>
      <c r="C56" s="297"/>
      <c r="D56" s="298"/>
      <c r="E56" s="246"/>
      <c r="F56" s="298"/>
      <c r="G56" s="324" t="s">
        <v>689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ht="18.75" customHeight="1">
      <c r="A57" s="302" t="s">
        <v>316</v>
      </c>
      <c r="B57" s="327"/>
      <c r="C57" s="297"/>
      <c r="D57" s="298"/>
      <c r="E57" s="246"/>
      <c r="F57" s="298"/>
      <c r="G57" s="328" t="s">
        <v>690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ht="12.75" customHeight="1">
      <c r="A58" s="303"/>
      <c r="B58" s="304"/>
      <c r="C58" s="305">
        <f t="shared" ref="C58:F58" si="5">SUM(C51:C57)</f>
        <v>3213</v>
      </c>
      <c r="D58" s="306">
        <f t="shared" si="5"/>
        <v>84003.98</v>
      </c>
      <c r="E58" s="306">
        <f t="shared" si="5"/>
        <v>86574.48</v>
      </c>
      <c r="F58" s="306">
        <f t="shared" si="5"/>
        <v>88199.48</v>
      </c>
      <c r="G58" s="329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ht="12.75" customHeight="1">
      <c r="A59" s="281" t="s">
        <v>691</v>
      </c>
      <c r="B59" s="282"/>
      <c r="C59" s="319" t="s">
        <v>299</v>
      </c>
      <c r="D59" s="283" t="s">
        <v>9</v>
      </c>
      <c r="E59" s="283" t="s">
        <v>635</v>
      </c>
      <c r="F59" s="284" t="s">
        <v>636</v>
      </c>
      <c r="G59" s="285" t="s">
        <v>11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ht="12.75" customHeight="1">
      <c r="A60" s="194" t="s">
        <v>486</v>
      </c>
      <c r="B60" s="286"/>
      <c r="C60" s="287"/>
      <c r="D60" s="240"/>
      <c r="E60" s="288"/>
      <c r="F60" s="183"/>
      <c r="G60" s="290" t="s">
        <v>13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ht="12.75" customHeight="1">
      <c r="A61" s="197" t="s">
        <v>303</v>
      </c>
      <c r="B61" s="291" t="s">
        <v>304</v>
      </c>
      <c r="C61" s="330"/>
      <c r="D61" s="261"/>
      <c r="E61" s="293"/>
      <c r="F61" s="186"/>
      <c r="G61" s="295" t="s">
        <v>692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ht="12.75" customHeight="1">
      <c r="A62" s="200" t="s">
        <v>639</v>
      </c>
      <c r="B62" s="296" t="s">
        <v>361</v>
      </c>
      <c r="C62" s="297">
        <v>1012.0</v>
      </c>
      <c r="D62" s="246">
        <v>26866.11</v>
      </c>
      <c r="E62" s="298">
        <v>27625.11</v>
      </c>
      <c r="F62" s="132">
        <v>28150.11</v>
      </c>
      <c r="G62" s="300" t="s">
        <v>693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ht="12.75" customHeight="1">
      <c r="A63" s="302"/>
      <c r="B63" s="301"/>
      <c r="C63" s="321"/>
      <c r="D63" s="246"/>
      <c r="E63" s="298"/>
      <c r="F63" s="132"/>
      <c r="G63" s="300" t="s">
        <v>694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ht="12.75" customHeight="1">
      <c r="A64" s="302" t="s">
        <v>695</v>
      </c>
      <c r="B64" s="301"/>
      <c r="C64" s="321"/>
      <c r="D64" s="246"/>
      <c r="E64" s="298"/>
      <c r="F64" s="132"/>
      <c r="G64" s="300" t="s">
        <v>696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ht="12.75" customHeight="1">
      <c r="A65" s="200"/>
      <c r="B65" s="326"/>
      <c r="C65" s="321"/>
      <c r="D65" s="246"/>
      <c r="E65" s="298"/>
      <c r="F65" s="132"/>
      <c r="G65" s="295" t="s">
        <v>407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ht="12.75" customHeight="1">
      <c r="A66" s="302" t="s">
        <v>316</v>
      </c>
      <c r="B66" s="301"/>
      <c r="C66" s="321"/>
      <c r="D66" s="246"/>
      <c r="E66" s="298"/>
      <c r="F66" s="132"/>
      <c r="G66" s="295" t="s">
        <v>697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ht="12.75" customHeight="1">
      <c r="A67" s="303"/>
      <c r="B67" s="304"/>
      <c r="C67" s="305">
        <f t="shared" ref="C67:F67" si="6">SUM(C60:C66)</f>
        <v>1012</v>
      </c>
      <c r="D67" s="306">
        <f t="shared" si="6"/>
        <v>26866.11</v>
      </c>
      <c r="E67" s="306">
        <f t="shared" si="6"/>
        <v>27625.11</v>
      </c>
      <c r="F67" s="331">
        <f t="shared" si="6"/>
        <v>28150.11</v>
      </c>
      <c r="G67" s="307" t="s">
        <v>698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ht="12.75" customHeight="1">
      <c r="A68" s="281" t="s">
        <v>699</v>
      </c>
      <c r="B68" s="282"/>
      <c r="C68" s="319" t="s">
        <v>299</v>
      </c>
      <c r="D68" s="283" t="s">
        <v>9</v>
      </c>
      <c r="E68" s="283" t="s">
        <v>635</v>
      </c>
      <c r="F68" s="284" t="s">
        <v>636</v>
      </c>
      <c r="G68" s="311" t="s">
        <v>11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ht="12.75" customHeight="1">
      <c r="A69" s="194" t="s">
        <v>319</v>
      </c>
      <c r="B69" s="286"/>
      <c r="C69" s="287"/>
      <c r="D69" s="288"/>
      <c r="E69" s="240"/>
      <c r="F69" s="288"/>
      <c r="G69" s="323" t="s">
        <v>13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ht="12.75" customHeight="1">
      <c r="A70" s="197" t="s">
        <v>303</v>
      </c>
      <c r="B70" s="291" t="s">
        <v>304</v>
      </c>
      <c r="C70" s="330"/>
      <c r="D70" s="293"/>
      <c r="E70" s="261"/>
      <c r="F70" s="293"/>
      <c r="G70" s="324" t="s">
        <v>700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ht="12.75" customHeight="1">
      <c r="A71" s="200" t="s">
        <v>639</v>
      </c>
      <c r="B71" s="296" t="s">
        <v>361</v>
      </c>
      <c r="C71" s="297">
        <v>1005.0</v>
      </c>
      <c r="D71" s="298">
        <v>26381.97</v>
      </c>
      <c r="E71" s="246">
        <v>27185.97</v>
      </c>
      <c r="F71" s="298">
        <v>27710.97</v>
      </c>
      <c r="G71" s="325" t="s">
        <v>701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ht="12.75" customHeight="1">
      <c r="A72" s="302"/>
      <c r="B72" s="301"/>
      <c r="C72" s="321"/>
      <c r="D72" s="298"/>
      <c r="E72" s="246"/>
      <c r="F72" s="298"/>
      <c r="G72" s="325" t="s">
        <v>702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ht="12.75" customHeight="1">
      <c r="A73" s="302" t="s">
        <v>703</v>
      </c>
      <c r="B73" s="301"/>
      <c r="C73" s="321"/>
      <c r="D73" s="298"/>
      <c r="E73" s="246"/>
      <c r="F73" s="298"/>
      <c r="G73" s="325" t="s">
        <v>704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ht="12.75" customHeight="1">
      <c r="A74" s="200"/>
      <c r="B74" s="326"/>
      <c r="C74" s="321"/>
      <c r="D74" s="298"/>
      <c r="E74" s="246"/>
      <c r="F74" s="298"/>
      <c r="G74" s="324" t="s">
        <v>407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ht="12.75" customHeight="1">
      <c r="A75" s="302" t="s">
        <v>316</v>
      </c>
      <c r="B75" s="301"/>
      <c r="C75" s="321"/>
      <c r="D75" s="298"/>
      <c r="E75" s="246"/>
      <c r="F75" s="298"/>
      <c r="G75" s="324" t="s">
        <v>705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ht="12.75" customHeight="1">
      <c r="A76" s="303"/>
      <c r="B76" s="304"/>
      <c r="C76" s="305">
        <f t="shared" ref="C76:F76" si="7">SUM(C69:C75)</f>
        <v>1005</v>
      </c>
      <c r="D76" s="306">
        <f t="shared" si="7"/>
        <v>26381.97</v>
      </c>
      <c r="E76" s="306">
        <f t="shared" si="7"/>
        <v>27185.97</v>
      </c>
      <c r="F76" s="306">
        <f t="shared" si="7"/>
        <v>27710.97</v>
      </c>
      <c r="G76" s="329" t="s">
        <v>706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ht="12.75" customHeight="1">
      <c r="A77" s="332"/>
      <c r="B77" s="333"/>
      <c r="C77" s="334" t="s">
        <v>292</v>
      </c>
      <c r="D77" s="335" t="s">
        <v>292</v>
      </c>
      <c r="E77" s="335" t="s">
        <v>292</v>
      </c>
      <c r="F77" s="336"/>
      <c r="G77" s="337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ht="12.75" customHeight="1">
      <c r="A78" s="338"/>
      <c r="B78" s="339"/>
      <c r="C78" s="340">
        <f t="shared" ref="C78:E78" si="8">SUM(C18+C28+C39+C48+C58+C67+C76)</f>
        <v>17086</v>
      </c>
      <c r="D78" s="341">
        <f t="shared" si="8"/>
        <v>443450.46</v>
      </c>
      <c r="E78" s="341">
        <f t="shared" si="8"/>
        <v>457534.56</v>
      </c>
      <c r="F78" s="342"/>
      <c r="G78" s="343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ht="12.75" customHeight="1">
      <c r="A79" s="4"/>
      <c r="B79" s="101"/>
      <c r="C79" s="4"/>
      <c r="D79" s="102"/>
      <c r="E79" s="103"/>
      <c r="F79" s="103"/>
      <c r="G79" s="10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ht="12.75" customHeight="1">
      <c r="A80" s="4"/>
      <c r="B80" s="101"/>
      <c r="C80" s="4"/>
      <c r="D80" s="102"/>
      <c r="E80" s="103"/>
      <c r="F80" s="103"/>
      <c r="G80" s="10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ht="12.75" customHeight="1">
      <c r="A81" s="4"/>
      <c r="B81" s="101"/>
      <c r="C81" s="4"/>
      <c r="D81" s="102"/>
      <c r="E81" s="103"/>
      <c r="F81" s="103"/>
      <c r="G81" s="10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ht="12.75" customHeight="1">
      <c r="A82" s="4"/>
      <c r="B82" s="101"/>
      <c r="C82" s="4"/>
      <c r="D82" s="102"/>
      <c r="E82" s="103"/>
      <c r="F82" s="103"/>
      <c r="G82" s="10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ht="12.75" customHeight="1">
      <c r="A83" s="4"/>
      <c r="B83" s="101"/>
      <c r="C83" s="4"/>
      <c r="D83" s="102"/>
      <c r="E83" s="103"/>
      <c r="F83" s="103"/>
      <c r="G83" s="10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ht="12.75" customHeight="1">
      <c r="A84" s="4"/>
      <c r="B84" s="101"/>
      <c r="C84" s="4"/>
      <c r="D84" s="102"/>
      <c r="E84" s="103"/>
      <c r="F84" s="103"/>
      <c r="G84" s="10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ht="12.75" customHeight="1">
      <c r="A85" s="4"/>
      <c r="B85" s="101"/>
      <c r="C85" s="4"/>
      <c r="D85" s="102"/>
      <c r="E85" s="103"/>
      <c r="F85" s="103"/>
      <c r="G85" s="10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ht="12.75" customHeight="1">
      <c r="A86" s="4"/>
      <c r="B86" s="101"/>
      <c r="C86" s="4"/>
      <c r="D86" s="102"/>
      <c r="E86" s="103"/>
      <c r="F86" s="103"/>
      <c r="G86" s="10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ht="12.75" customHeight="1">
      <c r="A87" s="4"/>
      <c r="B87" s="101"/>
      <c r="C87" s="4"/>
      <c r="D87" s="102"/>
      <c r="E87" s="103"/>
      <c r="F87" s="103"/>
      <c r="G87" s="10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ht="12.75" customHeight="1">
      <c r="A88" s="4"/>
      <c r="B88" s="101"/>
      <c r="C88" s="4"/>
      <c r="D88" s="102"/>
      <c r="E88" s="103"/>
      <c r="F88" s="103"/>
      <c r="G88" s="10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ht="12.75" customHeight="1">
      <c r="A89" s="4"/>
      <c r="B89" s="101"/>
      <c r="C89" s="4"/>
      <c r="D89" s="102"/>
      <c r="E89" s="103"/>
      <c r="F89" s="103"/>
      <c r="G89" s="10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ht="12.75" customHeight="1">
      <c r="A90" s="4"/>
      <c r="B90" s="101"/>
      <c r="C90" s="4"/>
      <c r="D90" s="102"/>
      <c r="E90" s="103"/>
      <c r="F90" s="103"/>
      <c r="G90" s="10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ht="12.75" customHeight="1">
      <c r="A91" s="4"/>
      <c r="B91" s="101"/>
      <c r="C91" s="4"/>
      <c r="D91" s="102"/>
      <c r="E91" s="103"/>
      <c r="F91" s="103"/>
      <c r="G91" s="10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ht="12.75" customHeight="1">
      <c r="A92" s="4"/>
      <c r="B92" s="101"/>
      <c r="C92" s="4"/>
      <c r="D92" s="102"/>
      <c r="E92" s="103"/>
      <c r="F92" s="103"/>
      <c r="G92" s="10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ht="12.75" customHeight="1">
      <c r="A93" s="4"/>
      <c r="B93" s="101"/>
      <c r="C93" s="4"/>
      <c r="D93" s="102"/>
      <c r="E93" s="103"/>
      <c r="F93" s="103"/>
      <c r="G93" s="10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ht="12.75" customHeight="1">
      <c r="A94" s="4"/>
      <c r="B94" s="101"/>
      <c r="C94" s="4"/>
      <c r="D94" s="102"/>
      <c r="E94" s="103"/>
      <c r="F94" s="103"/>
      <c r="G94" s="10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ht="12.75" customHeight="1">
      <c r="A95" s="4"/>
      <c r="B95" s="101"/>
      <c r="C95" s="4"/>
      <c r="D95" s="102"/>
      <c r="E95" s="103"/>
      <c r="F95" s="103"/>
      <c r="G95" s="10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ht="12.75" customHeight="1">
      <c r="A96" s="4"/>
      <c r="B96" s="101"/>
      <c r="C96" s="4"/>
      <c r="D96" s="102"/>
      <c r="E96" s="103"/>
      <c r="F96" s="103"/>
      <c r="G96" s="10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ht="12.75" customHeight="1">
      <c r="A97" s="4"/>
      <c r="B97" s="101"/>
      <c r="C97" s="4"/>
      <c r="D97" s="102"/>
      <c r="E97" s="103"/>
      <c r="F97" s="103"/>
      <c r="G97" s="10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ht="12.75" customHeight="1">
      <c r="A98" s="4"/>
      <c r="B98" s="101"/>
      <c r="C98" s="4"/>
      <c r="D98" s="102"/>
      <c r="E98" s="103"/>
      <c r="F98" s="103"/>
      <c r="G98" s="10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ht="12.75" customHeight="1">
      <c r="A99" s="4"/>
      <c r="B99" s="101"/>
      <c r="C99" s="4"/>
      <c r="D99" s="102"/>
      <c r="E99" s="103"/>
      <c r="F99" s="103"/>
      <c r="G99" s="10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ht="12.75" customHeight="1">
      <c r="A100" s="4"/>
      <c r="B100" s="101"/>
      <c r="C100" s="4"/>
      <c r="D100" s="102"/>
      <c r="E100" s="103"/>
      <c r="F100" s="103"/>
      <c r="G100" s="10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ht="12.75" customHeight="1">
      <c r="A101" s="4"/>
      <c r="B101" s="101"/>
      <c r="C101" s="4"/>
      <c r="D101" s="102"/>
      <c r="E101" s="103"/>
      <c r="F101" s="103"/>
      <c r="G101" s="10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ht="12.75" customHeight="1">
      <c r="A102" s="4"/>
      <c r="B102" s="101"/>
      <c r="C102" s="4"/>
      <c r="D102" s="102"/>
      <c r="E102" s="103"/>
      <c r="F102" s="103"/>
      <c r="G102" s="10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ht="12.75" customHeight="1">
      <c r="A103" s="4"/>
      <c r="B103" s="101"/>
      <c r="C103" s="4"/>
      <c r="D103" s="102"/>
      <c r="E103" s="103"/>
      <c r="F103" s="103"/>
      <c r="G103" s="10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ht="12.75" customHeight="1">
      <c r="A104" s="4"/>
      <c r="B104" s="101"/>
      <c r="C104" s="4"/>
      <c r="D104" s="102"/>
      <c r="E104" s="103"/>
      <c r="F104" s="103"/>
      <c r="G104" s="10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ht="12.75" customHeight="1">
      <c r="A105" s="4"/>
      <c r="B105" s="101"/>
      <c r="C105" s="4"/>
      <c r="D105" s="102"/>
      <c r="E105" s="103"/>
      <c r="F105" s="103"/>
      <c r="G105" s="10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ht="12.75" customHeight="1">
      <c r="A106" s="4"/>
      <c r="B106" s="101"/>
      <c r="C106" s="4"/>
      <c r="D106" s="102"/>
      <c r="E106" s="103"/>
      <c r="F106" s="103"/>
      <c r="G106" s="10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ht="12.75" customHeight="1">
      <c r="A107" s="4"/>
      <c r="B107" s="101"/>
      <c r="C107" s="4"/>
      <c r="D107" s="102"/>
      <c r="E107" s="103"/>
      <c r="F107" s="103"/>
      <c r="G107" s="10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ht="12.75" customHeight="1">
      <c r="A108" s="4"/>
      <c r="B108" s="101"/>
      <c r="C108" s="4"/>
      <c r="D108" s="102"/>
      <c r="E108" s="103"/>
      <c r="F108" s="103"/>
      <c r="G108" s="10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ht="12.75" customHeight="1">
      <c r="A109" s="4"/>
      <c r="B109" s="101"/>
      <c r="C109" s="4"/>
      <c r="D109" s="102"/>
      <c r="E109" s="103"/>
      <c r="F109" s="103"/>
      <c r="G109" s="10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ht="12.75" customHeight="1">
      <c r="A110" s="4"/>
      <c r="B110" s="101"/>
      <c r="C110" s="4"/>
      <c r="D110" s="102"/>
      <c r="E110" s="103"/>
      <c r="F110" s="103"/>
      <c r="G110" s="10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ht="12.75" customHeight="1">
      <c r="A111" s="4"/>
      <c r="B111" s="101"/>
      <c r="C111" s="4"/>
      <c r="D111" s="102"/>
      <c r="E111" s="103"/>
      <c r="F111" s="103"/>
      <c r="G111" s="10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ht="12.75" customHeight="1">
      <c r="A112" s="4"/>
      <c r="B112" s="101"/>
      <c r="C112" s="4"/>
      <c r="D112" s="102"/>
      <c r="E112" s="103"/>
      <c r="F112" s="103"/>
      <c r="G112" s="10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ht="12.75" customHeight="1">
      <c r="A113" s="4"/>
      <c r="B113" s="101"/>
      <c r="C113" s="4"/>
      <c r="D113" s="102"/>
      <c r="E113" s="103"/>
      <c r="F113" s="103"/>
      <c r="G113" s="10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ht="12.75" customHeight="1">
      <c r="A114" s="4"/>
      <c r="B114" s="101"/>
      <c r="C114" s="4"/>
      <c r="D114" s="102"/>
      <c r="E114" s="103"/>
      <c r="F114" s="103"/>
      <c r="G114" s="10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ht="12.75" customHeight="1">
      <c r="A115" s="4"/>
      <c r="B115" s="101"/>
      <c r="C115" s="4"/>
      <c r="D115" s="102"/>
      <c r="E115" s="103"/>
      <c r="F115" s="103"/>
      <c r="G115" s="10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ht="12.75" customHeight="1">
      <c r="A116" s="4"/>
      <c r="B116" s="101"/>
      <c r="C116" s="4"/>
      <c r="D116" s="102"/>
      <c r="E116" s="103"/>
      <c r="F116" s="103"/>
      <c r="G116" s="10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ht="12.75" customHeight="1">
      <c r="A117" s="4"/>
      <c r="B117" s="101"/>
      <c r="C117" s="4"/>
      <c r="D117" s="102"/>
      <c r="E117" s="103"/>
      <c r="F117" s="103"/>
      <c r="G117" s="10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ht="12.75" customHeight="1">
      <c r="A118" s="4"/>
      <c r="B118" s="101"/>
      <c r="C118" s="4"/>
      <c r="D118" s="102"/>
      <c r="E118" s="103"/>
      <c r="F118" s="103"/>
      <c r="G118" s="10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ht="12.75" customHeight="1">
      <c r="A119" s="4"/>
      <c r="B119" s="101"/>
      <c r="C119" s="4"/>
      <c r="D119" s="102"/>
      <c r="E119" s="103"/>
      <c r="F119" s="103"/>
      <c r="G119" s="10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ht="12.75" customHeight="1">
      <c r="A120" s="4"/>
      <c r="B120" s="101"/>
      <c r="C120" s="4"/>
      <c r="D120" s="102"/>
      <c r="E120" s="103"/>
      <c r="F120" s="103"/>
      <c r="G120" s="10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ht="12.75" customHeight="1">
      <c r="A121" s="4"/>
      <c r="B121" s="101"/>
      <c r="C121" s="4"/>
      <c r="D121" s="102"/>
      <c r="E121" s="103"/>
      <c r="F121" s="103"/>
      <c r="G121" s="10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ht="12.75" customHeight="1">
      <c r="A122" s="4"/>
      <c r="B122" s="101"/>
      <c r="C122" s="4"/>
      <c r="D122" s="102"/>
      <c r="E122" s="103"/>
      <c r="F122" s="103"/>
      <c r="G122" s="10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ht="12.75" customHeight="1">
      <c r="A123" s="4"/>
      <c r="B123" s="101"/>
      <c r="C123" s="4"/>
      <c r="D123" s="102"/>
      <c r="E123" s="103"/>
      <c r="F123" s="103"/>
      <c r="G123" s="10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ht="12.75" customHeight="1">
      <c r="A124" s="4"/>
      <c r="B124" s="101"/>
      <c r="C124" s="4"/>
      <c r="D124" s="102"/>
      <c r="E124" s="103"/>
      <c r="F124" s="103"/>
      <c r="G124" s="10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ht="12.75" customHeight="1">
      <c r="A125" s="4"/>
      <c r="B125" s="101"/>
      <c r="C125" s="4"/>
      <c r="D125" s="102"/>
      <c r="E125" s="103"/>
      <c r="F125" s="103"/>
      <c r="G125" s="10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ht="12.75" customHeight="1">
      <c r="A126" s="4"/>
      <c r="B126" s="101"/>
      <c r="C126" s="4"/>
      <c r="D126" s="102"/>
      <c r="E126" s="103"/>
      <c r="F126" s="103"/>
      <c r="G126" s="10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ht="12.75" customHeight="1">
      <c r="A127" s="4"/>
      <c r="B127" s="101"/>
      <c r="C127" s="4"/>
      <c r="D127" s="102"/>
      <c r="E127" s="103"/>
      <c r="F127" s="103"/>
      <c r="G127" s="10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ht="12.75" customHeight="1">
      <c r="A128" s="4"/>
      <c r="B128" s="101"/>
      <c r="C128" s="4"/>
      <c r="D128" s="102"/>
      <c r="E128" s="103"/>
      <c r="F128" s="103"/>
      <c r="G128" s="10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ht="12.75" customHeight="1">
      <c r="A129" s="4"/>
      <c r="B129" s="101"/>
      <c r="C129" s="4"/>
      <c r="D129" s="102"/>
      <c r="E129" s="103"/>
      <c r="F129" s="103"/>
      <c r="G129" s="10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ht="12.75" customHeight="1">
      <c r="A130" s="4"/>
      <c r="B130" s="101"/>
      <c r="C130" s="4"/>
      <c r="D130" s="102"/>
      <c r="E130" s="103"/>
      <c r="F130" s="103"/>
      <c r="G130" s="10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ht="12.75" customHeight="1">
      <c r="A131" s="4"/>
      <c r="B131" s="101"/>
      <c r="C131" s="4"/>
      <c r="D131" s="102"/>
      <c r="E131" s="103"/>
      <c r="F131" s="103"/>
      <c r="G131" s="10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ht="12.75" customHeight="1">
      <c r="A132" s="4"/>
      <c r="B132" s="101"/>
      <c r="C132" s="4"/>
      <c r="D132" s="102"/>
      <c r="E132" s="103"/>
      <c r="F132" s="103"/>
      <c r="G132" s="10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ht="12.75" customHeight="1">
      <c r="A133" s="4"/>
      <c r="B133" s="101"/>
      <c r="C133" s="4"/>
      <c r="D133" s="102"/>
      <c r="E133" s="103"/>
      <c r="F133" s="103"/>
      <c r="G133" s="10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ht="12.75" customHeight="1">
      <c r="A134" s="4"/>
      <c r="B134" s="101"/>
      <c r="C134" s="4"/>
      <c r="D134" s="102"/>
      <c r="E134" s="103"/>
      <c r="F134" s="103"/>
      <c r="G134" s="10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ht="12.75" customHeight="1">
      <c r="A135" s="4"/>
      <c r="B135" s="101"/>
      <c r="C135" s="4"/>
      <c r="D135" s="102"/>
      <c r="E135" s="103"/>
      <c r="F135" s="103"/>
      <c r="G135" s="10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ht="12.75" customHeight="1">
      <c r="A136" s="4"/>
      <c r="B136" s="101"/>
      <c r="C136" s="4"/>
      <c r="D136" s="102"/>
      <c r="E136" s="103"/>
      <c r="F136" s="103"/>
      <c r="G136" s="10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ht="12.75" customHeight="1">
      <c r="A137" s="4"/>
      <c r="B137" s="101"/>
      <c r="C137" s="4"/>
      <c r="D137" s="102"/>
      <c r="E137" s="103"/>
      <c r="F137" s="103"/>
      <c r="G137" s="10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ht="12.75" customHeight="1">
      <c r="A138" s="4"/>
      <c r="B138" s="101"/>
      <c r="C138" s="4"/>
      <c r="D138" s="102"/>
      <c r="E138" s="103"/>
      <c r="F138" s="103"/>
      <c r="G138" s="10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ht="12.75" customHeight="1">
      <c r="A139" s="4"/>
      <c r="B139" s="101"/>
      <c r="C139" s="4"/>
      <c r="D139" s="102"/>
      <c r="E139" s="103"/>
      <c r="F139" s="103"/>
      <c r="G139" s="10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ht="12.75" customHeight="1">
      <c r="A140" s="4"/>
      <c r="B140" s="101"/>
      <c r="C140" s="4"/>
      <c r="D140" s="102"/>
      <c r="E140" s="103"/>
      <c r="F140" s="103"/>
      <c r="G140" s="10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ht="12.75" customHeight="1">
      <c r="A141" s="4"/>
      <c r="B141" s="101"/>
      <c r="C141" s="4"/>
      <c r="D141" s="102"/>
      <c r="E141" s="103"/>
      <c r="F141" s="103"/>
      <c r="G141" s="10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ht="12.75" customHeight="1">
      <c r="A142" s="4"/>
      <c r="B142" s="101"/>
      <c r="C142" s="4"/>
      <c r="D142" s="102"/>
      <c r="E142" s="103"/>
      <c r="F142" s="103"/>
      <c r="G142" s="10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ht="12.75" customHeight="1">
      <c r="A143" s="4"/>
      <c r="B143" s="101"/>
      <c r="C143" s="4"/>
      <c r="D143" s="102"/>
      <c r="E143" s="103"/>
      <c r="F143" s="103"/>
      <c r="G143" s="10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ht="12.75" customHeight="1">
      <c r="A144" s="4"/>
      <c r="B144" s="101"/>
      <c r="C144" s="4"/>
      <c r="D144" s="102"/>
      <c r="E144" s="103"/>
      <c r="F144" s="103"/>
      <c r="G144" s="10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ht="12.75" customHeight="1">
      <c r="A145" s="4"/>
      <c r="B145" s="101"/>
      <c r="C145" s="4"/>
      <c r="D145" s="102"/>
      <c r="E145" s="103"/>
      <c r="F145" s="103"/>
      <c r="G145" s="10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ht="12.75" customHeight="1">
      <c r="A146" s="4"/>
      <c r="B146" s="101"/>
      <c r="C146" s="4"/>
      <c r="D146" s="102"/>
      <c r="E146" s="103"/>
      <c r="F146" s="103"/>
      <c r="G146" s="10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ht="12.75" customHeight="1">
      <c r="A147" s="4"/>
      <c r="B147" s="101"/>
      <c r="C147" s="4"/>
      <c r="D147" s="102"/>
      <c r="E147" s="103"/>
      <c r="F147" s="103"/>
      <c r="G147" s="10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ht="12.75" customHeight="1">
      <c r="A148" s="4"/>
      <c r="B148" s="101"/>
      <c r="C148" s="4"/>
      <c r="D148" s="102"/>
      <c r="E148" s="103"/>
      <c r="F148" s="103"/>
      <c r="G148" s="10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ht="12.75" customHeight="1">
      <c r="A149" s="4"/>
      <c r="B149" s="101"/>
      <c r="C149" s="4"/>
      <c r="D149" s="102"/>
      <c r="E149" s="103"/>
      <c r="F149" s="103"/>
      <c r="G149" s="10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ht="12.75" customHeight="1">
      <c r="A150" s="4"/>
      <c r="B150" s="101"/>
      <c r="C150" s="4"/>
      <c r="D150" s="102"/>
      <c r="E150" s="103"/>
      <c r="F150" s="103"/>
      <c r="G150" s="10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ht="12.75" customHeight="1">
      <c r="A151" s="4"/>
      <c r="B151" s="101"/>
      <c r="C151" s="4"/>
      <c r="D151" s="102"/>
      <c r="E151" s="103"/>
      <c r="F151" s="103"/>
      <c r="G151" s="10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ht="12.75" customHeight="1">
      <c r="A152" s="4"/>
      <c r="B152" s="101"/>
      <c r="C152" s="4"/>
      <c r="D152" s="102"/>
      <c r="E152" s="103"/>
      <c r="F152" s="103"/>
      <c r="G152" s="10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ht="12.75" customHeight="1">
      <c r="A153" s="4"/>
      <c r="B153" s="101"/>
      <c r="C153" s="4"/>
      <c r="D153" s="102"/>
      <c r="E153" s="103"/>
      <c r="F153" s="103"/>
      <c r="G153" s="10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ht="12.75" customHeight="1">
      <c r="A154" s="4"/>
      <c r="B154" s="101"/>
      <c r="C154" s="4"/>
      <c r="D154" s="102"/>
      <c r="E154" s="103"/>
      <c r="F154" s="103"/>
      <c r="G154" s="10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ht="12.75" customHeight="1">
      <c r="A155" s="4"/>
      <c r="B155" s="101"/>
      <c r="C155" s="4"/>
      <c r="D155" s="102"/>
      <c r="E155" s="103"/>
      <c r="F155" s="103"/>
      <c r="G155" s="10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ht="12.75" customHeight="1">
      <c r="A156" s="4"/>
      <c r="B156" s="101"/>
      <c r="C156" s="4"/>
      <c r="D156" s="102"/>
      <c r="E156" s="103"/>
      <c r="F156" s="103"/>
      <c r="G156" s="10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ht="12.75" customHeight="1">
      <c r="A157" s="4"/>
      <c r="B157" s="101"/>
      <c r="C157" s="4"/>
      <c r="D157" s="102"/>
      <c r="E157" s="103"/>
      <c r="F157" s="103"/>
      <c r="G157" s="10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ht="12.75" customHeight="1">
      <c r="A158" s="4"/>
      <c r="B158" s="101"/>
      <c r="C158" s="4"/>
      <c r="D158" s="102"/>
      <c r="E158" s="103"/>
      <c r="F158" s="103"/>
      <c r="G158" s="10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ht="12.75" customHeight="1">
      <c r="A159" s="4"/>
      <c r="B159" s="101"/>
      <c r="C159" s="4"/>
      <c r="D159" s="102"/>
      <c r="E159" s="103"/>
      <c r="F159" s="103"/>
      <c r="G159" s="10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ht="12.75" customHeight="1">
      <c r="A160" s="4"/>
      <c r="B160" s="101"/>
      <c r="C160" s="4"/>
      <c r="D160" s="102"/>
      <c r="E160" s="103"/>
      <c r="F160" s="103"/>
      <c r="G160" s="10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ht="12.75" customHeight="1">
      <c r="A161" s="4"/>
      <c r="B161" s="101"/>
      <c r="C161" s="4"/>
      <c r="D161" s="102"/>
      <c r="E161" s="103"/>
      <c r="F161" s="103"/>
      <c r="G161" s="10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ht="12.75" customHeight="1">
      <c r="A162" s="4"/>
      <c r="B162" s="101"/>
      <c r="C162" s="4"/>
      <c r="D162" s="102"/>
      <c r="E162" s="103"/>
      <c r="F162" s="103"/>
      <c r="G162" s="10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ht="12.75" customHeight="1">
      <c r="A163" s="4"/>
      <c r="B163" s="101"/>
      <c r="C163" s="4"/>
      <c r="D163" s="102"/>
      <c r="E163" s="103"/>
      <c r="F163" s="103"/>
      <c r="G163" s="10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ht="12.75" customHeight="1">
      <c r="A164" s="4"/>
      <c r="B164" s="101"/>
      <c r="C164" s="4"/>
      <c r="D164" s="102"/>
      <c r="E164" s="103"/>
      <c r="F164" s="103"/>
      <c r="G164" s="10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ht="12.75" customHeight="1">
      <c r="A165" s="4"/>
      <c r="B165" s="101"/>
      <c r="C165" s="4"/>
      <c r="D165" s="102"/>
      <c r="E165" s="103"/>
      <c r="F165" s="103"/>
      <c r="G165" s="10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ht="12.75" customHeight="1">
      <c r="A166" s="4"/>
      <c r="B166" s="101"/>
      <c r="C166" s="4"/>
      <c r="D166" s="102"/>
      <c r="E166" s="103"/>
      <c r="F166" s="103"/>
      <c r="G166" s="10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ht="12.75" customHeight="1">
      <c r="A167" s="4"/>
      <c r="B167" s="101"/>
      <c r="C167" s="4"/>
      <c r="D167" s="102"/>
      <c r="E167" s="103"/>
      <c r="F167" s="103"/>
      <c r="G167" s="10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ht="12.75" customHeight="1">
      <c r="A168" s="4"/>
      <c r="B168" s="101"/>
      <c r="C168" s="4"/>
      <c r="D168" s="102"/>
      <c r="E168" s="103"/>
      <c r="F168" s="103"/>
      <c r="G168" s="10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ht="12.75" customHeight="1">
      <c r="A169" s="4"/>
      <c r="B169" s="101"/>
      <c r="C169" s="4"/>
      <c r="D169" s="102"/>
      <c r="E169" s="103"/>
      <c r="F169" s="103"/>
      <c r="G169" s="10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ht="12.75" customHeight="1">
      <c r="A170" s="4"/>
      <c r="B170" s="101"/>
      <c r="C170" s="4"/>
      <c r="D170" s="102"/>
      <c r="E170" s="103"/>
      <c r="F170" s="103"/>
      <c r="G170" s="10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ht="12.75" customHeight="1">
      <c r="A171" s="4"/>
      <c r="B171" s="101"/>
      <c r="C171" s="4"/>
      <c r="D171" s="102"/>
      <c r="E171" s="103"/>
      <c r="F171" s="103"/>
      <c r="G171" s="10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ht="12.75" customHeight="1">
      <c r="A172" s="4"/>
      <c r="B172" s="101"/>
      <c r="C172" s="4"/>
      <c r="D172" s="102"/>
      <c r="E172" s="103"/>
      <c r="F172" s="103"/>
      <c r="G172" s="10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ht="12.75" customHeight="1">
      <c r="A173" s="4"/>
      <c r="B173" s="101"/>
      <c r="C173" s="4"/>
      <c r="D173" s="102"/>
      <c r="E173" s="103"/>
      <c r="F173" s="103"/>
      <c r="G173" s="10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ht="12.75" customHeight="1">
      <c r="A174" s="4"/>
      <c r="B174" s="101"/>
      <c r="C174" s="4"/>
      <c r="D174" s="102"/>
      <c r="E174" s="103"/>
      <c r="F174" s="103"/>
      <c r="G174" s="10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ht="12.75" customHeight="1">
      <c r="A175" s="4"/>
      <c r="B175" s="101"/>
      <c r="C175" s="4"/>
      <c r="D175" s="102"/>
      <c r="E175" s="103"/>
      <c r="F175" s="103"/>
      <c r="G175" s="10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ht="12.75" customHeight="1">
      <c r="A176" s="4"/>
      <c r="B176" s="101"/>
      <c r="C176" s="4"/>
      <c r="D176" s="102"/>
      <c r="E176" s="103"/>
      <c r="F176" s="103"/>
      <c r="G176" s="10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ht="12.75" customHeight="1">
      <c r="A177" s="4"/>
      <c r="B177" s="101"/>
      <c r="C177" s="4"/>
      <c r="D177" s="102"/>
      <c r="E177" s="103"/>
      <c r="F177" s="103"/>
      <c r="G177" s="10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ht="12.75" customHeight="1">
      <c r="A178" s="4"/>
      <c r="B178" s="101"/>
      <c r="C178" s="4"/>
      <c r="D178" s="102"/>
      <c r="E178" s="103"/>
      <c r="F178" s="103"/>
      <c r="G178" s="10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ht="12.75" customHeight="1">
      <c r="A179" s="4"/>
      <c r="B179" s="101"/>
      <c r="C179" s="4"/>
      <c r="D179" s="102"/>
      <c r="E179" s="103"/>
      <c r="F179" s="103"/>
      <c r="G179" s="10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ht="12.75" customHeight="1">
      <c r="A180" s="4"/>
      <c r="B180" s="101"/>
      <c r="C180" s="4"/>
      <c r="D180" s="102"/>
      <c r="E180" s="103"/>
      <c r="F180" s="103"/>
      <c r="G180" s="10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ht="12.75" customHeight="1">
      <c r="A181" s="4"/>
      <c r="B181" s="101"/>
      <c r="C181" s="4"/>
      <c r="D181" s="102"/>
      <c r="E181" s="103"/>
      <c r="F181" s="103"/>
      <c r="G181" s="10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ht="12.75" customHeight="1">
      <c r="A182" s="4"/>
      <c r="B182" s="101"/>
      <c r="C182" s="4"/>
      <c r="D182" s="102"/>
      <c r="E182" s="103"/>
      <c r="F182" s="103"/>
      <c r="G182" s="10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ht="12.75" customHeight="1">
      <c r="A183" s="4"/>
      <c r="B183" s="101"/>
      <c r="C183" s="4"/>
      <c r="D183" s="102"/>
      <c r="E183" s="103"/>
      <c r="F183" s="103"/>
      <c r="G183" s="10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ht="12.75" customHeight="1">
      <c r="A184" s="4"/>
      <c r="B184" s="101"/>
      <c r="C184" s="4"/>
      <c r="D184" s="102"/>
      <c r="E184" s="103"/>
      <c r="F184" s="103"/>
      <c r="G184" s="10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ht="12.75" customHeight="1">
      <c r="A185" s="4"/>
      <c r="B185" s="101"/>
      <c r="C185" s="4"/>
      <c r="D185" s="102"/>
      <c r="E185" s="103"/>
      <c r="F185" s="103"/>
      <c r="G185" s="10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ht="12.75" customHeight="1">
      <c r="A186" s="4"/>
      <c r="B186" s="101"/>
      <c r="C186" s="4"/>
      <c r="D186" s="102"/>
      <c r="E186" s="103"/>
      <c r="F186" s="103"/>
      <c r="G186" s="10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ht="12.75" customHeight="1">
      <c r="A187" s="4"/>
      <c r="B187" s="101"/>
      <c r="C187" s="4"/>
      <c r="D187" s="102"/>
      <c r="E187" s="103"/>
      <c r="F187" s="103"/>
      <c r="G187" s="10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ht="12.75" customHeight="1">
      <c r="A188" s="4"/>
      <c r="B188" s="101"/>
      <c r="C188" s="4"/>
      <c r="D188" s="102"/>
      <c r="E188" s="103"/>
      <c r="F188" s="103"/>
      <c r="G188" s="10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ht="12.75" customHeight="1">
      <c r="A189" s="4"/>
      <c r="B189" s="101"/>
      <c r="C189" s="4"/>
      <c r="D189" s="102"/>
      <c r="E189" s="103"/>
      <c r="F189" s="103"/>
      <c r="G189" s="10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ht="12.75" customHeight="1">
      <c r="A190" s="4"/>
      <c r="B190" s="101"/>
      <c r="C190" s="4"/>
      <c r="D190" s="102"/>
      <c r="E190" s="103"/>
      <c r="F190" s="103"/>
      <c r="G190" s="10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ht="12.75" customHeight="1">
      <c r="A191" s="4"/>
      <c r="B191" s="101"/>
      <c r="C191" s="4"/>
      <c r="D191" s="102"/>
      <c r="E191" s="103"/>
      <c r="F191" s="103"/>
      <c r="G191" s="10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ht="12.75" customHeight="1">
      <c r="A192" s="4"/>
      <c r="B192" s="101"/>
      <c r="C192" s="4"/>
      <c r="D192" s="102"/>
      <c r="E192" s="103"/>
      <c r="F192" s="103"/>
      <c r="G192" s="10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ht="12.75" customHeight="1">
      <c r="A193" s="4"/>
      <c r="B193" s="101"/>
      <c r="C193" s="4"/>
      <c r="D193" s="102"/>
      <c r="E193" s="103"/>
      <c r="F193" s="103"/>
      <c r="G193" s="10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ht="12.75" customHeight="1">
      <c r="A194" s="4"/>
      <c r="B194" s="101"/>
      <c r="C194" s="4"/>
      <c r="D194" s="102"/>
      <c r="E194" s="103"/>
      <c r="F194" s="103"/>
      <c r="G194" s="10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ht="12.75" customHeight="1">
      <c r="A195" s="4"/>
      <c r="B195" s="101"/>
      <c r="C195" s="4"/>
      <c r="D195" s="102"/>
      <c r="E195" s="103"/>
      <c r="F195" s="103"/>
      <c r="G195" s="10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ht="12.75" customHeight="1">
      <c r="A196" s="4"/>
      <c r="B196" s="101"/>
      <c r="C196" s="4"/>
      <c r="D196" s="102"/>
      <c r="E196" s="103"/>
      <c r="F196" s="103"/>
      <c r="G196" s="10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ht="12.75" customHeight="1">
      <c r="A197" s="4"/>
      <c r="B197" s="101"/>
      <c r="C197" s="4"/>
      <c r="D197" s="102"/>
      <c r="E197" s="103"/>
      <c r="F197" s="103"/>
      <c r="G197" s="10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ht="12.75" customHeight="1">
      <c r="A198" s="4"/>
      <c r="B198" s="101"/>
      <c r="C198" s="4"/>
      <c r="D198" s="102"/>
      <c r="E198" s="103"/>
      <c r="F198" s="103"/>
      <c r="G198" s="10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ht="12.75" customHeight="1">
      <c r="A199" s="4"/>
      <c r="B199" s="101"/>
      <c r="C199" s="4"/>
      <c r="D199" s="102"/>
      <c r="E199" s="103"/>
      <c r="F199" s="103"/>
      <c r="G199" s="10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ht="12.75" customHeight="1">
      <c r="A200" s="4"/>
      <c r="B200" s="101"/>
      <c r="C200" s="4"/>
      <c r="D200" s="102"/>
      <c r="E200" s="103"/>
      <c r="F200" s="103"/>
      <c r="G200" s="10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ht="12.75" customHeight="1">
      <c r="A201" s="4"/>
      <c r="B201" s="101"/>
      <c r="C201" s="4"/>
      <c r="D201" s="102"/>
      <c r="E201" s="103"/>
      <c r="F201" s="103"/>
      <c r="G201" s="10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ht="12.75" customHeight="1">
      <c r="A202" s="4"/>
      <c r="B202" s="101"/>
      <c r="C202" s="4"/>
      <c r="D202" s="102"/>
      <c r="E202" s="103"/>
      <c r="F202" s="103"/>
      <c r="G202" s="10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ht="12.75" customHeight="1">
      <c r="A203" s="4"/>
      <c r="B203" s="101"/>
      <c r="C203" s="4"/>
      <c r="D203" s="102"/>
      <c r="E203" s="103"/>
      <c r="F203" s="103"/>
      <c r="G203" s="10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ht="12.75" customHeight="1">
      <c r="A204" s="4"/>
      <c r="B204" s="101"/>
      <c r="C204" s="4"/>
      <c r="D204" s="102"/>
      <c r="E204" s="103"/>
      <c r="F204" s="103"/>
      <c r="G204" s="10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ht="12.75" customHeight="1">
      <c r="A205" s="4"/>
      <c r="B205" s="101"/>
      <c r="C205" s="4"/>
      <c r="D205" s="102"/>
      <c r="E205" s="103"/>
      <c r="F205" s="103"/>
      <c r="G205" s="10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ht="12.75" customHeight="1">
      <c r="A206" s="4"/>
      <c r="B206" s="101"/>
      <c r="C206" s="4"/>
      <c r="D206" s="102"/>
      <c r="E206" s="103"/>
      <c r="F206" s="103"/>
      <c r="G206" s="10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ht="12.75" customHeight="1">
      <c r="A207" s="4"/>
      <c r="B207" s="101"/>
      <c r="C207" s="4"/>
      <c r="D207" s="102"/>
      <c r="E207" s="103"/>
      <c r="F207" s="103"/>
      <c r="G207" s="10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ht="12.75" customHeight="1">
      <c r="A208" s="4"/>
      <c r="B208" s="101"/>
      <c r="C208" s="4"/>
      <c r="D208" s="102"/>
      <c r="E208" s="103"/>
      <c r="F208" s="103"/>
      <c r="G208" s="10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ht="12.75" customHeight="1">
      <c r="A209" s="4"/>
      <c r="B209" s="101"/>
      <c r="C209" s="4"/>
      <c r="D209" s="102"/>
      <c r="E209" s="103"/>
      <c r="F209" s="103"/>
      <c r="G209" s="10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ht="12.75" customHeight="1">
      <c r="A210" s="4"/>
      <c r="B210" s="101"/>
      <c r="C210" s="4"/>
      <c r="D210" s="102"/>
      <c r="E210" s="103"/>
      <c r="F210" s="103"/>
      <c r="G210" s="10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ht="12.75" customHeight="1">
      <c r="A211" s="4"/>
      <c r="B211" s="101"/>
      <c r="C211" s="4"/>
      <c r="D211" s="102"/>
      <c r="E211" s="103"/>
      <c r="F211" s="103"/>
      <c r="G211" s="10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ht="12.75" customHeight="1">
      <c r="A212" s="4"/>
      <c r="B212" s="101"/>
      <c r="C212" s="4"/>
      <c r="D212" s="102"/>
      <c r="E212" s="103"/>
      <c r="F212" s="103"/>
      <c r="G212" s="10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ht="12.75" customHeight="1">
      <c r="A213" s="4"/>
      <c r="B213" s="101"/>
      <c r="C213" s="4"/>
      <c r="D213" s="102"/>
      <c r="E213" s="103"/>
      <c r="F213" s="103"/>
      <c r="G213" s="10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ht="12.75" customHeight="1">
      <c r="A214" s="4"/>
      <c r="B214" s="101"/>
      <c r="C214" s="4"/>
      <c r="D214" s="102"/>
      <c r="E214" s="103"/>
      <c r="F214" s="103"/>
      <c r="G214" s="10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ht="12.75" customHeight="1">
      <c r="A215" s="4"/>
      <c r="B215" s="101"/>
      <c r="C215" s="4"/>
      <c r="D215" s="102"/>
      <c r="E215" s="103"/>
      <c r="F215" s="103"/>
      <c r="G215" s="10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ht="12.75" customHeight="1">
      <c r="A216" s="4"/>
      <c r="B216" s="101"/>
      <c r="C216" s="4"/>
      <c r="D216" s="102"/>
      <c r="E216" s="103"/>
      <c r="F216" s="103"/>
      <c r="G216" s="10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ht="12.75" customHeight="1">
      <c r="A217" s="4"/>
      <c r="B217" s="101"/>
      <c r="C217" s="4"/>
      <c r="D217" s="102"/>
      <c r="E217" s="103"/>
      <c r="F217" s="103"/>
      <c r="G217" s="10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ht="12.75" customHeight="1">
      <c r="A218" s="4"/>
      <c r="B218" s="101"/>
      <c r="C218" s="4"/>
      <c r="D218" s="102"/>
      <c r="E218" s="103"/>
      <c r="F218" s="103"/>
      <c r="G218" s="10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ht="12.75" customHeight="1">
      <c r="A219" s="4"/>
      <c r="B219" s="101"/>
      <c r="C219" s="4"/>
      <c r="D219" s="102"/>
      <c r="E219" s="103"/>
      <c r="F219" s="103"/>
      <c r="G219" s="10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ht="12.75" customHeight="1">
      <c r="A220" s="4"/>
      <c r="B220" s="101"/>
      <c r="C220" s="4"/>
      <c r="D220" s="102"/>
      <c r="E220" s="103"/>
      <c r="F220" s="103"/>
      <c r="G220" s="10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ht="12.75" customHeight="1">
      <c r="A221" s="4"/>
      <c r="B221" s="101"/>
      <c r="C221" s="4"/>
      <c r="D221" s="102"/>
      <c r="E221" s="103"/>
      <c r="F221" s="103"/>
      <c r="G221" s="10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ht="12.75" customHeight="1">
      <c r="A222" s="4"/>
      <c r="B222" s="101"/>
      <c r="C222" s="4"/>
      <c r="D222" s="102"/>
      <c r="E222" s="103"/>
      <c r="F222" s="103"/>
      <c r="G222" s="10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ht="12.75" customHeight="1">
      <c r="A223" s="4"/>
      <c r="B223" s="101"/>
      <c r="C223" s="4"/>
      <c r="D223" s="102"/>
      <c r="E223" s="103"/>
      <c r="F223" s="103"/>
      <c r="G223" s="10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ht="12.75" customHeight="1">
      <c r="A224" s="4"/>
      <c r="B224" s="101"/>
      <c r="C224" s="4"/>
      <c r="D224" s="102"/>
      <c r="E224" s="103"/>
      <c r="F224" s="103"/>
      <c r="G224" s="10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ht="12.75" customHeight="1">
      <c r="A225" s="4"/>
      <c r="B225" s="101"/>
      <c r="C225" s="4"/>
      <c r="D225" s="102"/>
      <c r="E225" s="103"/>
      <c r="F225" s="103"/>
      <c r="G225" s="10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ht="12.75" customHeight="1">
      <c r="A226" s="4"/>
      <c r="B226" s="101"/>
      <c r="C226" s="4"/>
      <c r="D226" s="102"/>
      <c r="E226" s="103"/>
      <c r="F226" s="103"/>
      <c r="G226" s="10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ht="12.75" customHeight="1">
      <c r="A227" s="4"/>
      <c r="B227" s="101"/>
      <c r="C227" s="4"/>
      <c r="D227" s="102"/>
      <c r="E227" s="103"/>
      <c r="F227" s="103"/>
      <c r="G227" s="10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ht="12.75" customHeight="1">
      <c r="A228" s="4"/>
      <c r="B228" s="101"/>
      <c r="C228" s="4"/>
      <c r="D228" s="102"/>
      <c r="E228" s="103"/>
      <c r="F228" s="103"/>
      <c r="G228" s="10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ht="12.75" customHeight="1">
      <c r="A229" s="4"/>
      <c r="B229" s="101"/>
      <c r="C229" s="4"/>
      <c r="D229" s="102"/>
      <c r="E229" s="103"/>
      <c r="F229" s="103"/>
      <c r="G229" s="10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ht="12.75" customHeight="1">
      <c r="A230" s="4"/>
      <c r="B230" s="101"/>
      <c r="C230" s="4"/>
      <c r="D230" s="102"/>
      <c r="E230" s="103"/>
      <c r="F230" s="103"/>
      <c r="G230" s="10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ht="12.75" customHeight="1">
      <c r="A231" s="4"/>
      <c r="B231" s="101"/>
      <c r="C231" s="4"/>
      <c r="D231" s="102"/>
      <c r="E231" s="103"/>
      <c r="F231" s="103"/>
      <c r="G231" s="10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ht="12.75" customHeight="1">
      <c r="A232" s="4"/>
      <c r="B232" s="101"/>
      <c r="C232" s="4"/>
      <c r="D232" s="102"/>
      <c r="E232" s="103"/>
      <c r="F232" s="103"/>
      <c r="G232" s="10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ht="12.75" customHeight="1">
      <c r="A233" s="4"/>
      <c r="B233" s="101"/>
      <c r="C233" s="4"/>
      <c r="D233" s="102"/>
      <c r="E233" s="103"/>
      <c r="F233" s="103"/>
      <c r="G233" s="10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ht="12.75" customHeight="1">
      <c r="A234" s="4"/>
      <c r="B234" s="101"/>
      <c r="C234" s="4"/>
      <c r="D234" s="102"/>
      <c r="E234" s="103"/>
      <c r="F234" s="103"/>
      <c r="G234" s="10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ht="12.75" customHeight="1">
      <c r="A235" s="4"/>
      <c r="B235" s="101"/>
      <c r="C235" s="4"/>
      <c r="D235" s="102"/>
      <c r="E235" s="103"/>
      <c r="F235" s="103"/>
      <c r="G235" s="10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ht="12.75" customHeight="1">
      <c r="A236" s="4"/>
      <c r="B236" s="101"/>
      <c r="C236" s="4"/>
      <c r="D236" s="102"/>
      <c r="E236" s="103"/>
      <c r="F236" s="103"/>
      <c r="G236" s="10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ht="12.75" customHeight="1">
      <c r="A237" s="4"/>
      <c r="B237" s="101"/>
      <c r="C237" s="4"/>
      <c r="D237" s="102"/>
      <c r="E237" s="103"/>
      <c r="F237" s="103"/>
      <c r="G237" s="10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ht="12.75" customHeight="1">
      <c r="A238" s="4"/>
      <c r="B238" s="101"/>
      <c r="C238" s="4"/>
      <c r="D238" s="102"/>
      <c r="E238" s="103"/>
      <c r="F238" s="103"/>
      <c r="G238" s="10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ht="12.75" customHeight="1">
      <c r="A239" s="4"/>
      <c r="B239" s="101"/>
      <c r="C239" s="4"/>
      <c r="D239" s="102"/>
      <c r="E239" s="103"/>
      <c r="F239" s="103"/>
      <c r="G239" s="10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ht="12.75" customHeight="1">
      <c r="A240" s="4"/>
      <c r="B240" s="101"/>
      <c r="C240" s="4"/>
      <c r="D240" s="102"/>
      <c r="E240" s="103"/>
      <c r="F240" s="103"/>
      <c r="G240" s="10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ht="12.75" customHeight="1">
      <c r="A241" s="4"/>
      <c r="B241" s="101"/>
      <c r="C241" s="4"/>
      <c r="D241" s="102"/>
      <c r="E241" s="103"/>
      <c r="F241" s="103"/>
      <c r="G241" s="10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ht="12.75" customHeight="1">
      <c r="A242" s="4"/>
      <c r="B242" s="101"/>
      <c r="C242" s="4"/>
      <c r="D242" s="102"/>
      <c r="E242" s="103"/>
      <c r="F242" s="103"/>
      <c r="G242" s="10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ht="12.75" customHeight="1">
      <c r="A243" s="4"/>
      <c r="B243" s="101"/>
      <c r="C243" s="4"/>
      <c r="D243" s="102"/>
      <c r="E243" s="103"/>
      <c r="F243" s="103"/>
      <c r="G243" s="10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ht="12.75" customHeight="1">
      <c r="A244" s="4"/>
      <c r="B244" s="101"/>
      <c r="C244" s="4"/>
      <c r="D244" s="102"/>
      <c r="E244" s="103"/>
      <c r="F244" s="103"/>
      <c r="G244" s="10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ht="12.75" customHeight="1">
      <c r="A245" s="4"/>
      <c r="B245" s="101"/>
      <c r="C245" s="4"/>
      <c r="D245" s="102"/>
      <c r="E245" s="103"/>
      <c r="F245" s="103"/>
      <c r="G245" s="10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ht="12.75" customHeight="1">
      <c r="A246" s="4"/>
      <c r="B246" s="101"/>
      <c r="C246" s="4"/>
      <c r="D246" s="102"/>
      <c r="E246" s="103"/>
      <c r="F246" s="103"/>
      <c r="G246" s="10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ht="12.75" customHeight="1">
      <c r="A247" s="4"/>
      <c r="B247" s="101"/>
      <c r="C247" s="4"/>
      <c r="D247" s="102"/>
      <c r="E247" s="103"/>
      <c r="F247" s="103"/>
      <c r="G247" s="10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ht="12.75" customHeight="1">
      <c r="A248" s="4"/>
      <c r="B248" s="101"/>
      <c r="C248" s="4"/>
      <c r="D248" s="102"/>
      <c r="E248" s="103"/>
      <c r="F248" s="103"/>
      <c r="G248" s="10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ht="12.75" customHeight="1">
      <c r="A249" s="4"/>
      <c r="B249" s="101"/>
      <c r="C249" s="4"/>
      <c r="D249" s="102"/>
      <c r="E249" s="103"/>
      <c r="F249" s="103"/>
      <c r="G249" s="10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ht="12.75" customHeight="1">
      <c r="A250" s="4"/>
      <c r="B250" s="101"/>
      <c r="C250" s="4"/>
      <c r="D250" s="102"/>
      <c r="E250" s="103"/>
      <c r="F250" s="103"/>
      <c r="G250" s="10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ht="12.75" customHeight="1">
      <c r="A251" s="4"/>
      <c r="B251" s="101"/>
      <c r="C251" s="4"/>
      <c r="D251" s="102"/>
      <c r="E251" s="103"/>
      <c r="F251" s="103"/>
      <c r="G251" s="10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ht="12.75" customHeight="1">
      <c r="A252" s="4"/>
      <c r="B252" s="101"/>
      <c r="C252" s="4"/>
      <c r="D252" s="102"/>
      <c r="E252" s="103"/>
      <c r="F252" s="103"/>
      <c r="G252" s="10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ht="12.75" customHeight="1">
      <c r="A253" s="4"/>
      <c r="B253" s="101"/>
      <c r="C253" s="4"/>
      <c r="D253" s="102"/>
      <c r="E253" s="103"/>
      <c r="F253" s="103"/>
      <c r="G253" s="10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ht="12.75" customHeight="1">
      <c r="A254" s="4"/>
      <c r="B254" s="101"/>
      <c r="C254" s="4"/>
      <c r="D254" s="102"/>
      <c r="E254" s="103"/>
      <c r="F254" s="103"/>
      <c r="G254" s="10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ht="12.75" customHeight="1">
      <c r="A255" s="4"/>
      <c r="B255" s="101"/>
      <c r="C255" s="4"/>
      <c r="D255" s="102"/>
      <c r="E255" s="103"/>
      <c r="F255" s="103"/>
      <c r="G255" s="10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ht="12.75" customHeight="1">
      <c r="A256" s="4"/>
      <c r="B256" s="101"/>
      <c r="C256" s="4"/>
      <c r="D256" s="102"/>
      <c r="E256" s="103"/>
      <c r="F256" s="103"/>
      <c r="G256" s="10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ht="12.75" customHeight="1">
      <c r="A257" s="4"/>
      <c r="B257" s="101"/>
      <c r="C257" s="4"/>
      <c r="D257" s="102"/>
      <c r="E257" s="103"/>
      <c r="F257" s="103"/>
      <c r="G257" s="10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ht="12.75" customHeight="1">
      <c r="A258" s="4"/>
      <c r="B258" s="101"/>
      <c r="C258" s="4"/>
      <c r="D258" s="102"/>
      <c r="E258" s="103"/>
      <c r="F258" s="103"/>
      <c r="G258" s="10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ht="12.75" customHeight="1">
      <c r="A259" s="4"/>
      <c r="B259" s="101"/>
      <c r="C259" s="4"/>
      <c r="D259" s="102"/>
      <c r="E259" s="103"/>
      <c r="F259" s="103"/>
      <c r="G259" s="10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ht="12.75" customHeight="1">
      <c r="A260" s="4"/>
      <c r="B260" s="101"/>
      <c r="C260" s="4"/>
      <c r="D260" s="102"/>
      <c r="E260" s="103"/>
      <c r="F260" s="103"/>
      <c r="G260" s="10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ht="12.75" customHeight="1">
      <c r="A261" s="4"/>
      <c r="B261" s="101"/>
      <c r="C261" s="4"/>
      <c r="D261" s="102"/>
      <c r="E261" s="103"/>
      <c r="F261" s="103"/>
      <c r="G261" s="10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ht="12.75" customHeight="1">
      <c r="A262" s="4"/>
      <c r="B262" s="101"/>
      <c r="C262" s="4"/>
      <c r="D262" s="102"/>
      <c r="E262" s="103"/>
      <c r="F262" s="103"/>
      <c r="G262" s="10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ht="12.75" customHeight="1">
      <c r="A263" s="4"/>
      <c r="B263" s="101"/>
      <c r="C263" s="4"/>
      <c r="D263" s="102"/>
      <c r="E263" s="103"/>
      <c r="F263" s="103"/>
      <c r="G263" s="10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ht="12.75" customHeight="1">
      <c r="A264" s="4"/>
      <c r="B264" s="101"/>
      <c r="C264" s="4"/>
      <c r="D264" s="102"/>
      <c r="E264" s="103"/>
      <c r="F264" s="103"/>
      <c r="G264" s="10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ht="12.75" customHeight="1">
      <c r="A265" s="4"/>
      <c r="B265" s="101"/>
      <c r="C265" s="4"/>
      <c r="D265" s="102"/>
      <c r="E265" s="103"/>
      <c r="F265" s="103"/>
      <c r="G265" s="10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ht="12.75" customHeight="1">
      <c r="A266" s="4"/>
      <c r="B266" s="101"/>
      <c r="C266" s="4"/>
      <c r="D266" s="102"/>
      <c r="E266" s="103"/>
      <c r="F266" s="103"/>
      <c r="G266" s="10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ht="12.75" customHeight="1">
      <c r="A267" s="4"/>
      <c r="B267" s="101"/>
      <c r="C267" s="4"/>
      <c r="D267" s="102"/>
      <c r="E267" s="103"/>
      <c r="F267" s="103"/>
      <c r="G267" s="10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ht="12.75" customHeight="1">
      <c r="A268" s="4"/>
      <c r="B268" s="101"/>
      <c r="C268" s="4"/>
      <c r="D268" s="102"/>
      <c r="E268" s="103"/>
      <c r="F268" s="103"/>
      <c r="G268" s="10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ht="12.75" customHeight="1">
      <c r="A269" s="4"/>
      <c r="B269" s="101"/>
      <c r="C269" s="4"/>
      <c r="D269" s="102"/>
      <c r="E269" s="103"/>
      <c r="F269" s="103"/>
      <c r="G269" s="10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ht="12.75" customHeight="1">
      <c r="A270" s="4"/>
      <c r="B270" s="101"/>
      <c r="C270" s="4"/>
      <c r="D270" s="102"/>
      <c r="E270" s="103"/>
      <c r="F270" s="103"/>
      <c r="G270" s="10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ht="12.75" customHeight="1">
      <c r="A271" s="4"/>
      <c r="B271" s="101"/>
      <c r="C271" s="4"/>
      <c r="D271" s="102"/>
      <c r="E271" s="103"/>
      <c r="F271" s="103"/>
      <c r="G271" s="10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ht="12.75" customHeight="1">
      <c r="A272" s="4"/>
      <c r="B272" s="101"/>
      <c r="C272" s="4"/>
      <c r="D272" s="102"/>
      <c r="E272" s="103"/>
      <c r="F272" s="103"/>
      <c r="G272" s="10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ht="12.75" customHeight="1">
      <c r="A273" s="4"/>
      <c r="B273" s="101"/>
      <c r="C273" s="4"/>
      <c r="D273" s="102"/>
      <c r="E273" s="103"/>
      <c r="F273" s="103"/>
      <c r="G273" s="10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ht="12.75" customHeight="1">
      <c r="A274" s="4"/>
      <c r="B274" s="101"/>
      <c r="C274" s="4"/>
      <c r="D274" s="102"/>
      <c r="E274" s="103"/>
      <c r="F274" s="103"/>
      <c r="G274" s="10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ht="12.75" customHeight="1">
      <c r="A275" s="4"/>
      <c r="B275" s="101"/>
      <c r="C275" s="4"/>
      <c r="D275" s="102"/>
      <c r="E275" s="103"/>
      <c r="F275" s="103"/>
      <c r="G275" s="10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ht="12.75" customHeight="1">
      <c r="A276" s="4"/>
      <c r="B276" s="101"/>
      <c r="C276" s="4"/>
      <c r="D276" s="102"/>
      <c r="E276" s="103"/>
      <c r="F276" s="103"/>
      <c r="G276" s="10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ht="12.75" customHeight="1">
      <c r="A277" s="4"/>
      <c r="B277" s="101"/>
      <c r="C277" s="4"/>
      <c r="D277" s="102"/>
      <c r="E277" s="103"/>
      <c r="F277" s="103"/>
      <c r="G277" s="10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ht="12.75" customHeight="1">
      <c r="A278" s="4"/>
      <c r="B278" s="101"/>
      <c r="C278" s="4"/>
      <c r="D278" s="102"/>
      <c r="E278" s="103"/>
      <c r="F278" s="103"/>
      <c r="G278" s="10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19:B19"/>
    <mergeCell ref="A29:B29"/>
    <mergeCell ref="A40:B40"/>
    <mergeCell ref="A49:B49"/>
    <mergeCell ref="A59:B59"/>
    <mergeCell ref="A68:B68"/>
    <mergeCell ref="A1:G1"/>
    <mergeCell ref="A2:G2"/>
    <mergeCell ref="A3:G3"/>
    <mergeCell ref="A4:G4"/>
    <mergeCell ref="D7:E7"/>
    <mergeCell ref="A9:G9"/>
    <mergeCell ref="A10:B10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2.63" defaultRowHeight="15.0"/>
  <cols>
    <col customWidth="1" min="1" max="1" width="62.5"/>
    <col customWidth="1" min="2" max="2" width="62.88"/>
    <col customWidth="1" min="3" max="3" width="14.88"/>
    <col customWidth="1" min="4" max="4" width="21.0"/>
    <col customWidth="1" min="5" max="5" width="21.63"/>
    <col customWidth="1" min="6" max="6" width="22.88"/>
    <col customWidth="1" min="7" max="7" width="73.38"/>
    <col customWidth="1" min="8" max="8" width="50.13"/>
    <col customWidth="1" min="9" max="27" width="8.0"/>
  </cols>
  <sheetData>
    <row r="1" ht="12.75" customHeight="1">
      <c r="A1" s="1" t="s">
        <v>293</v>
      </c>
      <c r="B1" s="2"/>
      <c r="C1" s="2"/>
      <c r="D1" s="2"/>
      <c r="E1" s="2"/>
      <c r="F1" s="2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ht="12.75" customHeight="1">
      <c r="A2" s="5" t="s">
        <v>707</v>
      </c>
      <c r="B2" s="6"/>
      <c r="C2" s="6"/>
      <c r="D2" s="6"/>
      <c r="E2" s="6"/>
      <c r="F2" s="6"/>
      <c r="G2" s="7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ht="12.75" customHeight="1">
      <c r="A3" s="5" t="s">
        <v>2</v>
      </c>
      <c r="B3" s="6"/>
      <c r="C3" s="6"/>
      <c r="D3" s="6"/>
      <c r="E3" s="6"/>
      <c r="F3" s="6"/>
      <c r="G3" s="7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ht="12.75" customHeight="1">
      <c r="A4" s="5" t="s">
        <v>3</v>
      </c>
      <c r="B4" s="6"/>
      <c r="C4" s="6"/>
      <c r="D4" s="6"/>
      <c r="E4" s="6"/>
      <c r="F4" s="6"/>
      <c r="G4" s="7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ht="12.75" customHeight="1">
      <c r="A5" s="8"/>
      <c r="B5" s="9"/>
      <c r="C5" s="10"/>
      <c r="D5" s="11"/>
      <c r="E5" s="11"/>
      <c r="F5" s="11"/>
      <c r="G5" s="12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ht="12.75" customHeight="1">
      <c r="A6" s="13"/>
      <c r="B6" s="9"/>
      <c r="C6" s="10"/>
      <c r="D6" s="14"/>
      <c r="E6" s="14"/>
      <c r="F6" s="14"/>
      <c r="G6" s="15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ht="30.0" customHeight="1">
      <c r="A7" s="16"/>
      <c r="B7" s="9"/>
      <c r="C7" s="17"/>
      <c r="D7" s="18"/>
      <c r="E7" s="19"/>
      <c r="F7" s="278"/>
      <c r="G7" s="15" t="s">
        <v>708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ht="30.0" customHeight="1">
      <c r="A8" s="20" t="s">
        <v>296</v>
      </c>
      <c r="B8" s="21"/>
      <c r="C8" s="22"/>
      <c r="D8" s="23"/>
      <c r="E8" s="23"/>
      <c r="F8" s="23"/>
      <c r="G8" s="2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ht="27.75" customHeight="1">
      <c r="A9" s="25" t="s">
        <v>709</v>
      </c>
      <c r="B9" s="26"/>
      <c r="C9" s="26"/>
      <c r="D9" s="26"/>
      <c r="E9" s="26"/>
      <c r="F9" s="26"/>
      <c r="G9" s="27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ht="28.5" customHeight="1">
      <c r="A10" s="105"/>
      <c r="B10" s="106"/>
      <c r="C10" s="107"/>
      <c r="D10" s="108"/>
      <c r="E10" s="108"/>
      <c r="F10" s="108"/>
      <c r="G10" s="109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</row>
    <row r="11" ht="40.5" customHeight="1">
      <c r="A11" s="110" t="s">
        <v>710</v>
      </c>
      <c r="B11" s="111"/>
      <c r="C11" s="112" t="s">
        <v>299</v>
      </c>
      <c r="D11" s="113" t="s">
        <v>9</v>
      </c>
      <c r="E11" s="284" t="s">
        <v>635</v>
      </c>
      <c r="F11" s="344" t="s">
        <v>636</v>
      </c>
      <c r="G11" s="311" t="s">
        <v>11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ht="15.75" customHeight="1">
      <c r="A12" s="116" t="s">
        <v>637</v>
      </c>
      <c r="B12" s="117"/>
      <c r="C12" s="345"/>
      <c r="D12" s="120"/>
      <c r="E12" s="346"/>
      <c r="F12" s="347"/>
      <c r="G12" s="323" t="s">
        <v>13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ht="15.75" customHeight="1">
      <c r="A13" s="122" t="s">
        <v>303</v>
      </c>
      <c r="B13" s="123" t="s">
        <v>304</v>
      </c>
      <c r="C13" s="348"/>
      <c r="D13" s="126"/>
      <c r="E13" s="243"/>
      <c r="F13" s="349"/>
      <c r="G13" s="324" t="s">
        <v>711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ht="12.75" customHeight="1">
      <c r="A14" s="200" t="s">
        <v>712</v>
      </c>
      <c r="B14" s="201" t="s">
        <v>15</v>
      </c>
      <c r="C14" s="297">
        <v>2000.0</v>
      </c>
      <c r="D14" s="132">
        <v>54404.79</v>
      </c>
      <c r="E14" s="246">
        <v>56304.79</v>
      </c>
      <c r="F14" s="298">
        <v>57380.055</v>
      </c>
      <c r="G14" s="325" t="s">
        <v>713</v>
      </c>
      <c r="H14" s="52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ht="12.75" customHeight="1">
      <c r="A15" s="200" t="s">
        <v>714</v>
      </c>
      <c r="B15" s="201" t="s">
        <v>15</v>
      </c>
      <c r="C15" s="297">
        <v>2169.0</v>
      </c>
      <c r="D15" s="132">
        <v>50587.81</v>
      </c>
      <c r="E15" s="246">
        <v>52351.32</v>
      </c>
      <c r="F15" s="298">
        <v>53351.055</v>
      </c>
      <c r="G15" s="325" t="s">
        <v>715</v>
      </c>
      <c r="H15" s="52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ht="12.75" customHeight="1">
      <c r="A16" s="128"/>
      <c r="B16" s="134"/>
      <c r="C16" s="297"/>
      <c r="D16" s="132"/>
      <c r="E16" s="246"/>
      <c r="F16" s="298"/>
      <c r="G16" s="325" t="s">
        <v>716</v>
      </c>
      <c r="H16" s="52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ht="12.75" customHeight="1">
      <c r="A17" s="136" t="s">
        <v>717</v>
      </c>
      <c r="B17" s="136" t="s">
        <v>718</v>
      </c>
      <c r="C17" s="297"/>
      <c r="D17" s="132"/>
      <c r="E17" s="246"/>
      <c r="F17" s="298"/>
      <c r="G17" s="324" t="s">
        <v>719</v>
      </c>
      <c r="H17" s="52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ht="12.75" customHeight="1">
      <c r="A18" s="136" t="s">
        <v>720</v>
      </c>
      <c r="B18" s="136" t="s">
        <v>721</v>
      </c>
      <c r="C18" s="297"/>
      <c r="D18" s="132"/>
      <c r="E18" s="246"/>
      <c r="F18" s="298"/>
      <c r="G18" s="324" t="s">
        <v>722</v>
      </c>
      <c r="H18" s="52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ht="12.75" customHeight="1">
      <c r="A19" s="136" t="s">
        <v>723</v>
      </c>
      <c r="B19" s="134"/>
      <c r="C19" s="297"/>
      <c r="D19" s="132"/>
      <c r="E19" s="246"/>
      <c r="F19" s="298"/>
      <c r="G19" s="328" t="s">
        <v>724</v>
      </c>
      <c r="H19" s="52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ht="18.75" customHeight="1">
      <c r="A20" s="137" t="s">
        <v>316</v>
      </c>
      <c r="B20" s="134"/>
      <c r="C20" s="350"/>
      <c r="D20" s="140"/>
      <c r="E20" s="253"/>
      <c r="F20" s="315"/>
      <c r="G20" s="328"/>
      <c r="H20" s="52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ht="18.75" customHeight="1">
      <c r="A21" s="137"/>
      <c r="B21" s="134"/>
      <c r="C21" s="350">
        <f t="shared" ref="C21:F21" si="1">SUM(C12:C19)</f>
        <v>4169</v>
      </c>
      <c r="D21" s="140">
        <f t="shared" si="1"/>
        <v>104992.6</v>
      </c>
      <c r="E21" s="253">
        <f t="shared" si="1"/>
        <v>108656.11</v>
      </c>
      <c r="F21" s="306">
        <f t="shared" si="1"/>
        <v>110731.11</v>
      </c>
      <c r="G21" s="329"/>
      <c r="H21" s="52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ht="40.5" customHeight="1">
      <c r="A22" s="110" t="s">
        <v>725</v>
      </c>
      <c r="B22" s="111"/>
      <c r="C22" s="309" t="s">
        <v>299</v>
      </c>
      <c r="D22" s="114" t="s">
        <v>9</v>
      </c>
      <c r="E22" s="284" t="s">
        <v>635</v>
      </c>
      <c r="F22" s="351" t="s">
        <v>636</v>
      </c>
      <c r="G22" s="311" t="s">
        <v>11</v>
      </c>
      <c r="H22" s="52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ht="12.75" customHeight="1">
      <c r="A23" s="116" t="s">
        <v>637</v>
      </c>
      <c r="B23" s="117"/>
      <c r="C23" s="189"/>
      <c r="D23" s="183"/>
      <c r="E23" s="183"/>
      <c r="F23" s="261"/>
      <c r="G23" s="290" t="s">
        <v>13</v>
      </c>
      <c r="H23" s="52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ht="12.75" customHeight="1">
      <c r="A24" s="122" t="s">
        <v>303</v>
      </c>
      <c r="B24" s="123" t="s">
        <v>304</v>
      </c>
      <c r="C24" s="191"/>
      <c r="D24" s="186"/>
      <c r="E24" s="186"/>
      <c r="F24" s="261"/>
      <c r="G24" s="295" t="s">
        <v>726</v>
      </c>
      <c r="H24" s="52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ht="12.75" customHeight="1">
      <c r="A25" s="128" t="s">
        <v>308</v>
      </c>
      <c r="B25" s="129" t="s">
        <v>309</v>
      </c>
      <c r="C25" s="192">
        <v>1173.0</v>
      </c>
      <c r="D25" s="132">
        <v>27396.38</v>
      </c>
      <c r="E25" s="132">
        <v>28306.47</v>
      </c>
      <c r="F25" s="246">
        <v>28881.47</v>
      </c>
      <c r="G25" s="300" t="s">
        <v>727</v>
      </c>
      <c r="H25" s="52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ht="12.75" customHeight="1">
      <c r="A26" s="137"/>
      <c r="B26" s="202"/>
      <c r="C26" s="156"/>
      <c r="D26" s="131"/>
      <c r="E26" s="132"/>
      <c r="F26" s="246"/>
      <c r="G26" s="300" t="s">
        <v>715</v>
      </c>
      <c r="H26" s="52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ht="12.75" customHeight="1">
      <c r="A27" s="171" t="s">
        <v>728</v>
      </c>
      <c r="B27" s="202" t="s">
        <v>729</v>
      </c>
      <c r="C27" s="156"/>
      <c r="D27" s="131"/>
      <c r="E27" s="132"/>
      <c r="F27" s="246"/>
      <c r="G27" s="300" t="s">
        <v>730</v>
      </c>
      <c r="H27" s="52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ht="12.75" customHeight="1">
      <c r="A28" s="136" t="s">
        <v>731</v>
      </c>
      <c r="B28" s="225"/>
      <c r="C28" s="156"/>
      <c r="D28" s="131"/>
      <c r="E28" s="132"/>
      <c r="F28" s="246"/>
      <c r="G28" s="295" t="s">
        <v>597</v>
      </c>
      <c r="H28" s="52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ht="12.75" customHeight="1">
      <c r="A29" s="352"/>
      <c r="B29" s="225"/>
      <c r="C29" s="156"/>
      <c r="D29" s="131"/>
      <c r="E29" s="132"/>
      <c r="F29" s="246"/>
      <c r="G29" s="295" t="s">
        <v>732</v>
      </c>
      <c r="H29" s="52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ht="12.75" customHeight="1">
      <c r="A30" s="137" t="s">
        <v>316</v>
      </c>
      <c r="B30" s="225"/>
      <c r="C30" s="156"/>
      <c r="D30" s="131"/>
      <c r="E30" s="132"/>
      <c r="F30" s="246"/>
      <c r="G30" s="316" t="s">
        <v>733</v>
      </c>
      <c r="H30" s="52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ht="18.75" customHeight="1">
      <c r="A31" s="203"/>
      <c r="B31" s="353"/>
      <c r="C31" s="166">
        <f t="shared" ref="C31:F31" si="2">SUM(C23:C30)</f>
        <v>1173</v>
      </c>
      <c r="D31" s="145">
        <f t="shared" si="2"/>
        <v>27396.38</v>
      </c>
      <c r="E31" s="146">
        <f t="shared" si="2"/>
        <v>28306.47</v>
      </c>
      <c r="F31" s="146">
        <f t="shared" si="2"/>
        <v>28881.47</v>
      </c>
      <c r="G31" s="307"/>
      <c r="H31" s="52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ht="40.5" customHeight="1">
      <c r="A32" s="110" t="s">
        <v>734</v>
      </c>
      <c r="B32" s="111"/>
      <c r="C32" s="112" t="s">
        <v>299</v>
      </c>
      <c r="D32" s="113" t="s">
        <v>9</v>
      </c>
      <c r="E32" s="284" t="s">
        <v>635</v>
      </c>
      <c r="F32" s="309" t="s">
        <v>636</v>
      </c>
      <c r="G32" s="354" t="s">
        <v>11</v>
      </c>
      <c r="H32" s="52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ht="12.75" customHeight="1">
      <c r="A33" s="116" t="s">
        <v>637</v>
      </c>
      <c r="B33" s="117"/>
      <c r="C33" s="189"/>
      <c r="D33" s="183"/>
      <c r="E33" s="183"/>
      <c r="F33" s="261"/>
      <c r="G33" s="290" t="s">
        <v>735</v>
      </c>
      <c r="H33" s="52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ht="12.75" customHeight="1">
      <c r="A34" s="197" t="s">
        <v>303</v>
      </c>
      <c r="B34" s="198" t="s">
        <v>304</v>
      </c>
      <c r="C34" s="191"/>
      <c r="D34" s="186"/>
      <c r="E34" s="186"/>
      <c r="F34" s="261"/>
      <c r="G34" s="300" t="s">
        <v>736</v>
      </c>
      <c r="H34" s="52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ht="12.75" customHeight="1">
      <c r="A35" s="200" t="s">
        <v>639</v>
      </c>
      <c r="B35" s="201" t="s">
        <v>361</v>
      </c>
      <c r="C35" s="192">
        <v>4573.0</v>
      </c>
      <c r="D35" s="132">
        <v>107114.72</v>
      </c>
      <c r="E35" s="132">
        <v>110773.12</v>
      </c>
      <c r="F35" s="246">
        <v>113073.12</v>
      </c>
      <c r="G35" s="300" t="s">
        <v>715</v>
      </c>
      <c r="H35" s="52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ht="12.75" customHeight="1">
      <c r="A36" s="200"/>
      <c r="B36" s="202"/>
      <c r="C36" s="192"/>
      <c r="D36" s="132"/>
      <c r="E36" s="132"/>
      <c r="F36" s="246"/>
      <c r="G36" s="300" t="s">
        <v>737</v>
      </c>
      <c r="H36" s="52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ht="12.75" customHeight="1">
      <c r="A37" s="200" t="s">
        <v>738</v>
      </c>
      <c r="B37" s="198" t="s">
        <v>739</v>
      </c>
      <c r="C37" s="192"/>
      <c r="D37" s="132"/>
      <c r="E37" s="132"/>
      <c r="F37" s="246"/>
      <c r="G37" s="295" t="s">
        <v>740</v>
      </c>
      <c r="H37" s="52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ht="15.0" customHeight="1">
      <c r="A38" s="200" t="s">
        <v>741</v>
      </c>
      <c r="B38" s="202" t="s">
        <v>742</v>
      </c>
      <c r="C38" s="192"/>
      <c r="D38" s="132"/>
      <c r="E38" s="132"/>
      <c r="F38" s="246"/>
      <c r="G38" s="295" t="s">
        <v>743</v>
      </c>
      <c r="H38" s="52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ht="15.0" customHeight="1">
      <c r="A39" s="128"/>
      <c r="B39" s="123"/>
      <c r="C39" s="192"/>
      <c r="D39" s="132"/>
      <c r="E39" s="132"/>
      <c r="F39" s="246"/>
      <c r="G39" s="316" t="s">
        <v>744</v>
      </c>
      <c r="H39" s="52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ht="15.0" customHeight="1">
      <c r="A40" s="128" t="s">
        <v>316</v>
      </c>
      <c r="B40" s="123"/>
      <c r="C40" s="192"/>
      <c r="D40" s="132"/>
      <c r="E40" s="132"/>
      <c r="F40" s="132"/>
      <c r="G40" s="316"/>
      <c r="H40" s="52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ht="18.75" customHeight="1">
      <c r="A41" s="142"/>
      <c r="B41" s="143"/>
      <c r="C41" s="355">
        <f t="shared" ref="C41:F41" si="3">SUM(C33:C40)</f>
        <v>4573</v>
      </c>
      <c r="D41" s="146">
        <f t="shared" si="3"/>
        <v>107114.72</v>
      </c>
      <c r="E41" s="146">
        <f t="shared" si="3"/>
        <v>110773.12</v>
      </c>
      <c r="F41" s="146">
        <f t="shared" si="3"/>
        <v>113073.12</v>
      </c>
      <c r="G41" s="307"/>
      <c r="H41" s="52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ht="41.25" customHeight="1">
      <c r="A42" s="179" t="s">
        <v>745</v>
      </c>
      <c r="B42" s="149"/>
      <c r="C42" s="112" t="s">
        <v>299</v>
      </c>
      <c r="D42" s="113" t="s">
        <v>9</v>
      </c>
      <c r="E42" s="284" t="s">
        <v>635</v>
      </c>
      <c r="F42" s="309" t="s">
        <v>636</v>
      </c>
      <c r="G42" s="311" t="s">
        <v>11</v>
      </c>
      <c r="H42" s="52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ht="12.75" customHeight="1">
      <c r="A43" s="194" t="s">
        <v>385</v>
      </c>
      <c r="B43" s="195"/>
      <c r="C43" s="189"/>
      <c r="D43" s="183"/>
      <c r="E43" s="183"/>
      <c r="F43" s="261"/>
      <c r="G43" s="356" t="s">
        <v>13</v>
      </c>
      <c r="H43" s="52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ht="12.75" customHeight="1">
      <c r="A44" s="197" t="s">
        <v>303</v>
      </c>
      <c r="B44" s="198" t="s">
        <v>304</v>
      </c>
      <c r="C44" s="191"/>
      <c r="D44" s="186"/>
      <c r="E44" s="186"/>
      <c r="F44" s="261"/>
      <c r="G44" s="356" t="s">
        <v>746</v>
      </c>
      <c r="H44" s="52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ht="12.75" customHeight="1">
      <c r="A45" s="200" t="s">
        <v>714</v>
      </c>
      <c r="B45" s="201" t="s">
        <v>15</v>
      </c>
      <c r="C45" s="192">
        <v>3551.0</v>
      </c>
      <c r="D45" s="132">
        <v>89079.75</v>
      </c>
      <c r="E45" s="132">
        <v>92007.98</v>
      </c>
      <c r="F45" s="246">
        <v>93783.98</v>
      </c>
      <c r="G45" s="357" t="s">
        <v>747</v>
      </c>
      <c r="H45" s="52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ht="12.75" customHeight="1">
      <c r="A46" s="171"/>
      <c r="B46" s="202"/>
      <c r="C46" s="192"/>
      <c r="D46" s="132"/>
      <c r="E46" s="186"/>
      <c r="F46" s="261"/>
      <c r="G46" s="357" t="s">
        <v>715</v>
      </c>
      <c r="H46" s="52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ht="12.75" customHeight="1">
      <c r="A47" s="200" t="s">
        <v>748</v>
      </c>
      <c r="B47" s="202" t="s">
        <v>749</v>
      </c>
      <c r="C47" s="192"/>
      <c r="D47" s="132"/>
      <c r="E47" s="186"/>
      <c r="F47" s="261"/>
      <c r="G47" s="357" t="s">
        <v>750</v>
      </c>
      <c r="H47" s="52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ht="12.75" customHeight="1">
      <c r="A48" s="200" t="s">
        <v>751</v>
      </c>
      <c r="B48" s="202" t="s">
        <v>752</v>
      </c>
      <c r="C48" s="192"/>
      <c r="D48" s="132"/>
      <c r="E48" s="132"/>
      <c r="F48" s="246"/>
      <c r="G48" s="356" t="s">
        <v>753</v>
      </c>
      <c r="H48" s="52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ht="12.75" customHeight="1">
      <c r="A49" s="200"/>
      <c r="B49" s="225"/>
      <c r="C49" s="192"/>
      <c r="D49" s="132"/>
      <c r="E49" s="132"/>
      <c r="F49" s="246"/>
      <c r="G49" s="356" t="s">
        <v>754</v>
      </c>
      <c r="H49" s="52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ht="12.75" customHeight="1">
      <c r="A50" s="128" t="s">
        <v>382</v>
      </c>
      <c r="B50" s="134"/>
      <c r="C50" s="192"/>
      <c r="D50" s="132"/>
      <c r="E50" s="132"/>
      <c r="F50" s="246"/>
      <c r="G50" s="316" t="s">
        <v>755</v>
      </c>
      <c r="H50" s="52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ht="18.75" customHeight="1">
      <c r="A51" s="203"/>
      <c r="B51" s="143"/>
      <c r="C51" s="355">
        <f t="shared" ref="C51:F51" si="4">SUM(C43:C50)</f>
        <v>3551</v>
      </c>
      <c r="D51" s="146">
        <f t="shared" si="4"/>
        <v>89079.75</v>
      </c>
      <c r="E51" s="146">
        <f t="shared" si="4"/>
        <v>92007.98</v>
      </c>
      <c r="F51" s="146">
        <f t="shared" si="4"/>
        <v>93783.98</v>
      </c>
      <c r="G51" s="358"/>
      <c r="H51" s="52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ht="38.25" customHeight="1">
      <c r="A52" s="179" t="s">
        <v>756</v>
      </c>
      <c r="B52" s="149"/>
      <c r="C52" s="112" t="s">
        <v>299</v>
      </c>
      <c r="D52" s="113" t="s">
        <v>9</v>
      </c>
      <c r="E52" s="284" t="s">
        <v>635</v>
      </c>
      <c r="F52" s="309" t="s">
        <v>636</v>
      </c>
      <c r="G52" s="354" t="s">
        <v>11</v>
      </c>
      <c r="H52" s="52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ht="12.75" customHeight="1">
      <c r="A53" s="194" t="s">
        <v>385</v>
      </c>
      <c r="B53" s="195"/>
      <c r="C53" s="189"/>
      <c r="D53" s="183"/>
      <c r="E53" s="183"/>
      <c r="F53" s="183"/>
      <c r="G53" s="290" t="s">
        <v>13</v>
      </c>
      <c r="H53" s="52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ht="12.75" customHeight="1">
      <c r="A54" s="197" t="s">
        <v>303</v>
      </c>
      <c r="B54" s="198" t="s">
        <v>304</v>
      </c>
      <c r="C54" s="191"/>
      <c r="D54" s="186"/>
      <c r="E54" s="186"/>
      <c r="F54" s="186"/>
      <c r="G54" s="295" t="s">
        <v>757</v>
      </c>
      <c r="H54" s="52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ht="12.75" customHeight="1">
      <c r="A55" s="128" t="s">
        <v>308</v>
      </c>
      <c r="B55" s="129" t="s">
        <v>309</v>
      </c>
      <c r="C55" s="192">
        <v>894.0</v>
      </c>
      <c r="D55" s="132">
        <v>22512.88</v>
      </c>
      <c r="E55" s="132">
        <v>23230.05</v>
      </c>
      <c r="F55" s="132">
        <v>23680.05</v>
      </c>
      <c r="G55" s="300" t="s">
        <v>758</v>
      </c>
      <c r="H55" s="52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ht="12.75" customHeight="1">
      <c r="A56" s="171"/>
      <c r="B56" s="202"/>
      <c r="C56" s="192"/>
      <c r="D56" s="132"/>
      <c r="E56" s="186"/>
      <c r="F56" s="186"/>
      <c r="G56" s="300" t="s">
        <v>715</v>
      </c>
      <c r="H56" s="52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ht="12.75" customHeight="1">
      <c r="A57" s="200" t="s">
        <v>759</v>
      </c>
      <c r="B57" s="202" t="s">
        <v>760</v>
      </c>
      <c r="C57" s="192"/>
      <c r="D57" s="132"/>
      <c r="E57" s="186"/>
      <c r="F57" s="186"/>
      <c r="G57" s="300" t="s">
        <v>761</v>
      </c>
      <c r="H57" s="52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ht="12.75" customHeight="1">
      <c r="A58" s="200"/>
      <c r="B58" s="202"/>
      <c r="C58" s="192"/>
      <c r="D58" s="132"/>
      <c r="E58" s="132"/>
      <c r="F58" s="132"/>
      <c r="G58" s="295" t="s">
        <v>762</v>
      </c>
      <c r="H58" s="52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ht="12.75" customHeight="1">
      <c r="A59" s="200" t="s">
        <v>382</v>
      </c>
      <c r="B59" s="225"/>
      <c r="C59" s="192"/>
      <c r="D59" s="132"/>
      <c r="E59" s="132"/>
      <c r="F59" s="132"/>
      <c r="G59" s="295" t="s">
        <v>763</v>
      </c>
      <c r="H59" s="52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ht="18.75" customHeight="1">
      <c r="A60" s="203"/>
      <c r="B60" s="143"/>
      <c r="C60" s="355">
        <f t="shared" ref="C60:F60" si="5">SUM(C53:C59)</f>
        <v>894</v>
      </c>
      <c r="D60" s="146">
        <f t="shared" si="5"/>
        <v>22512.88</v>
      </c>
      <c r="E60" s="146">
        <f t="shared" si="5"/>
        <v>23230.05</v>
      </c>
      <c r="F60" s="146">
        <f t="shared" si="5"/>
        <v>23680.05</v>
      </c>
      <c r="G60" s="307" t="s">
        <v>764</v>
      </c>
      <c r="H60" s="52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ht="40.5" customHeight="1">
      <c r="A61" s="179" t="s">
        <v>765</v>
      </c>
      <c r="B61" s="149"/>
      <c r="C61" s="112" t="s">
        <v>299</v>
      </c>
      <c r="D61" s="113" t="s">
        <v>9</v>
      </c>
      <c r="E61" s="284" t="s">
        <v>635</v>
      </c>
      <c r="F61" s="309" t="s">
        <v>636</v>
      </c>
      <c r="G61" s="311" t="s">
        <v>11</v>
      </c>
      <c r="H61" s="52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ht="15.0" customHeight="1">
      <c r="A62" s="116" t="s">
        <v>486</v>
      </c>
      <c r="B62" s="117"/>
      <c r="C62" s="189"/>
      <c r="D62" s="183"/>
      <c r="E62" s="183"/>
      <c r="F62" s="261"/>
      <c r="G62" s="356" t="s">
        <v>13</v>
      </c>
      <c r="H62" s="52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ht="15.0" customHeight="1">
      <c r="A63" s="122" t="s">
        <v>303</v>
      </c>
      <c r="B63" s="123" t="s">
        <v>304</v>
      </c>
      <c r="C63" s="359"/>
      <c r="D63" s="186"/>
      <c r="E63" s="186"/>
      <c r="F63" s="261"/>
      <c r="G63" s="356" t="s">
        <v>766</v>
      </c>
      <c r="H63" s="52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ht="15.0" customHeight="1">
      <c r="A64" s="200" t="s">
        <v>714</v>
      </c>
      <c r="B64" s="201" t="s">
        <v>15</v>
      </c>
      <c r="C64" s="297">
        <v>2934.0</v>
      </c>
      <c r="D64" s="132">
        <v>78206.98</v>
      </c>
      <c r="E64" s="132">
        <v>80235.6</v>
      </c>
      <c r="F64" s="246">
        <v>81710.6</v>
      </c>
      <c r="G64" s="357" t="s">
        <v>767</v>
      </c>
      <c r="H64" s="52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ht="14.25" customHeight="1">
      <c r="A65" s="169"/>
      <c r="B65" s="170"/>
      <c r="C65" s="297"/>
      <c r="D65" s="132"/>
      <c r="E65" s="132"/>
      <c r="F65" s="246"/>
      <c r="G65" s="357" t="s">
        <v>768</v>
      </c>
      <c r="H65" s="52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ht="16.5" customHeight="1">
      <c r="A66" s="200" t="s">
        <v>769</v>
      </c>
      <c r="B66" s="198" t="s">
        <v>770</v>
      </c>
      <c r="C66" s="297"/>
      <c r="D66" s="132"/>
      <c r="E66" s="132"/>
      <c r="F66" s="246"/>
      <c r="G66" s="356" t="s">
        <v>771</v>
      </c>
      <c r="H66" s="52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ht="15.0" customHeight="1">
      <c r="A67" s="171" t="s">
        <v>772</v>
      </c>
      <c r="B67" s="134"/>
      <c r="C67" s="297"/>
      <c r="D67" s="132"/>
      <c r="E67" s="132"/>
      <c r="F67" s="246"/>
      <c r="G67" s="356" t="s">
        <v>773</v>
      </c>
      <c r="H67" s="52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ht="12.75" customHeight="1">
      <c r="A68" s="137"/>
      <c r="B68" s="134"/>
      <c r="C68" s="297"/>
      <c r="D68" s="132"/>
      <c r="E68" s="132"/>
      <c r="F68" s="246"/>
      <c r="G68" s="360" t="s">
        <v>774</v>
      </c>
      <c r="H68" s="52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ht="15.75" customHeight="1">
      <c r="A69" s="137" t="s">
        <v>316</v>
      </c>
      <c r="B69" s="134"/>
      <c r="C69" s="297"/>
      <c r="D69" s="132"/>
      <c r="E69" s="132"/>
      <c r="F69" s="246"/>
      <c r="G69" s="360"/>
      <c r="H69" s="52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ht="21.75" customHeight="1">
      <c r="A70" s="142"/>
      <c r="B70" s="143"/>
      <c r="C70" s="361">
        <f t="shared" ref="C70:F70" si="6">SUM(C62:C69)</f>
        <v>2934</v>
      </c>
      <c r="D70" s="146">
        <f t="shared" si="6"/>
        <v>78206.98</v>
      </c>
      <c r="E70" s="146">
        <f t="shared" si="6"/>
        <v>80235.6</v>
      </c>
      <c r="F70" s="146">
        <f t="shared" si="6"/>
        <v>81710.6</v>
      </c>
      <c r="G70" s="358"/>
      <c r="H70" s="52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ht="42.0" customHeight="1">
      <c r="A71" s="179" t="s">
        <v>775</v>
      </c>
      <c r="B71" s="149"/>
      <c r="C71" s="112" t="s">
        <v>299</v>
      </c>
      <c r="D71" s="113" t="s">
        <v>9</v>
      </c>
      <c r="E71" s="284" t="s">
        <v>635</v>
      </c>
      <c r="F71" s="309" t="s">
        <v>636</v>
      </c>
      <c r="G71" s="354" t="s">
        <v>11</v>
      </c>
      <c r="H71" s="52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ht="15.0" customHeight="1">
      <c r="A72" s="116" t="s">
        <v>486</v>
      </c>
      <c r="B72" s="117"/>
      <c r="C72" s="189"/>
      <c r="D72" s="183"/>
      <c r="E72" s="183"/>
      <c r="F72" s="261"/>
      <c r="G72" s="290" t="s">
        <v>13</v>
      </c>
      <c r="H72" s="52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ht="15.0" customHeight="1">
      <c r="A73" s="122" t="s">
        <v>303</v>
      </c>
      <c r="B73" s="123" t="s">
        <v>304</v>
      </c>
      <c r="C73" s="359"/>
      <c r="D73" s="186"/>
      <c r="E73" s="186"/>
      <c r="F73" s="261"/>
      <c r="G73" s="295" t="s">
        <v>776</v>
      </c>
      <c r="H73" s="52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ht="15.0" customHeight="1">
      <c r="A74" s="128" t="s">
        <v>308</v>
      </c>
      <c r="B74" s="129" t="s">
        <v>309</v>
      </c>
      <c r="C74" s="297">
        <v>228.0</v>
      </c>
      <c r="D74" s="132">
        <v>5878.12</v>
      </c>
      <c r="E74" s="132">
        <v>6221.01</v>
      </c>
      <c r="F74" s="246">
        <v>6346.01</v>
      </c>
      <c r="G74" s="300" t="s">
        <v>777</v>
      </c>
      <c r="H74" s="52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ht="14.25" customHeight="1">
      <c r="A75" s="169"/>
      <c r="B75" s="170"/>
      <c r="C75" s="297"/>
      <c r="D75" s="132"/>
      <c r="E75" s="132"/>
      <c r="F75" s="246"/>
      <c r="G75" s="300" t="s">
        <v>778</v>
      </c>
      <c r="H75" s="52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ht="16.5" customHeight="1">
      <c r="A76" s="200" t="s">
        <v>779</v>
      </c>
      <c r="B76" s="198" t="s">
        <v>780</v>
      </c>
      <c r="C76" s="297"/>
      <c r="D76" s="132"/>
      <c r="E76" s="132"/>
      <c r="F76" s="246"/>
      <c r="G76" s="295" t="s">
        <v>471</v>
      </c>
      <c r="H76" s="52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ht="15.0" customHeight="1">
      <c r="A77" s="171"/>
      <c r="B77" s="134"/>
      <c r="C77" s="297"/>
      <c r="D77" s="132"/>
      <c r="E77" s="132"/>
      <c r="F77" s="246"/>
      <c r="G77" s="295" t="s">
        <v>781</v>
      </c>
      <c r="H77" s="52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ht="12.75" customHeight="1">
      <c r="A78" s="137" t="s">
        <v>316</v>
      </c>
      <c r="B78" s="134"/>
      <c r="C78" s="297"/>
      <c r="D78" s="132"/>
      <c r="E78" s="132"/>
      <c r="F78" s="246"/>
      <c r="G78" s="316" t="s">
        <v>782</v>
      </c>
      <c r="H78" s="52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ht="21.75" customHeight="1">
      <c r="A79" s="142"/>
      <c r="B79" s="143"/>
      <c r="C79" s="361">
        <f t="shared" ref="C79:F79" si="7">SUM(C72:C78)</f>
        <v>228</v>
      </c>
      <c r="D79" s="146">
        <f t="shared" si="7"/>
        <v>5878.12</v>
      </c>
      <c r="E79" s="146">
        <f t="shared" si="7"/>
        <v>6221.01</v>
      </c>
      <c r="F79" s="146">
        <f t="shared" si="7"/>
        <v>6346.01</v>
      </c>
      <c r="G79" s="307"/>
      <c r="H79" s="52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ht="39.75" customHeight="1">
      <c r="A80" s="179" t="s">
        <v>783</v>
      </c>
      <c r="B80" s="149"/>
      <c r="C80" s="362" t="s">
        <v>299</v>
      </c>
      <c r="D80" s="113" t="s">
        <v>9</v>
      </c>
      <c r="E80" s="284" t="s">
        <v>635</v>
      </c>
      <c r="F80" s="309" t="s">
        <v>636</v>
      </c>
      <c r="G80" s="311" t="s">
        <v>11</v>
      </c>
      <c r="H80" s="52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ht="16.5" customHeight="1">
      <c r="A81" s="36" t="s">
        <v>572</v>
      </c>
      <c r="B81" s="363"/>
      <c r="C81" s="345"/>
      <c r="D81" s="347"/>
      <c r="E81" s="120"/>
      <c r="F81" s="120"/>
      <c r="G81" s="356" t="s">
        <v>13</v>
      </c>
      <c r="H81" s="52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ht="18.75" customHeight="1">
      <c r="A82" s="153" t="s">
        <v>303</v>
      </c>
      <c r="B82" s="106" t="s">
        <v>304</v>
      </c>
      <c r="C82" s="364"/>
      <c r="D82" s="349"/>
      <c r="E82" s="126"/>
      <c r="F82" s="126"/>
      <c r="G82" s="356" t="s">
        <v>784</v>
      </c>
      <c r="H82" s="52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ht="16.5" customHeight="1">
      <c r="A83" s="200" t="s">
        <v>712</v>
      </c>
      <c r="B83" s="201" t="s">
        <v>15</v>
      </c>
      <c r="C83" s="297">
        <v>4125.0</v>
      </c>
      <c r="D83" s="298">
        <v>112205.89</v>
      </c>
      <c r="E83" s="132">
        <v>116124.64</v>
      </c>
      <c r="F83" s="132">
        <v>118207.86</v>
      </c>
      <c r="G83" s="357" t="s">
        <v>785</v>
      </c>
      <c r="H83" s="52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ht="15.0" customHeight="1">
      <c r="A84" s="200" t="s">
        <v>714</v>
      </c>
      <c r="B84" s="201" t="s">
        <v>15</v>
      </c>
      <c r="C84" s="297">
        <v>418.0</v>
      </c>
      <c r="D84" s="298">
        <v>10105.97</v>
      </c>
      <c r="E84" s="132">
        <v>10693.54</v>
      </c>
      <c r="F84" s="132">
        <v>10885.32</v>
      </c>
      <c r="G84" s="357" t="s">
        <v>715</v>
      </c>
      <c r="H84" s="52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ht="15.0" customHeight="1">
      <c r="A85" s="42"/>
      <c r="B85" s="135"/>
      <c r="C85" s="297"/>
      <c r="D85" s="298"/>
      <c r="E85" s="132"/>
      <c r="F85" s="132"/>
      <c r="G85" s="365" t="s">
        <v>786</v>
      </c>
      <c r="H85" s="52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ht="15.0" customHeight="1">
      <c r="A86" s="200" t="s">
        <v>787</v>
      </c>
      <c r="B86" s="202" t="s">
        <v>788</v>
      </c>
      <c r="C86" s="297"/>
      <c r="D86" s="298"/>
      <c r="E86" s="132"/>
      <c r="F86" s="132"/>
      <c r="G86" s="356" t="s">
        <v>789</v>
      </c>
      <c r="H86" s="52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ht="16.5" customHeight="1">
      <c r="A87" s="200" t="s">
        <v>790</v>
      </c>
      <c r="B87" s="202" t="s">
        <v>791</v>
      </c>
      <c r="C87" s="297"/>
      <c r="D87" s="298"/>
      <c r="E87" s="132"/>
      <c r="F87" s="132"/>
      <c r="G87" s="356" t="s">
        <v>792</v>
      </c>
      <c r="H87" s="52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ht="15.75" customHeight="1">
      <c r="A88" s="200" t="s">
        <v>793</v>
      </c>
      <c r="B88" s="202"/>
      <c r="C88" s="297"/>
      <c r="D88" s="298"/>
      <c r="E88" s="132"/>
      <c r="F88" s="132"/>
      <c r="G88" s="360" t="s">
        <v>794</v>
      </c>
      <c r="H88" s="52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ht="15.0" customHeight="1">
      <c r="A89" s="162"/>
      <c r="B89" s="136"/>
      <c r="C89" s="297"/>
      <c r="D89" s="298"/>
      <c r="E89" s="132"/>
      <c r="F89" s="132"/>
      <c r="G89" s="356"/>
      <c r="H89" s="52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ht="18.0" customHeight="1">
      <c r="A90" s="42" t="s">
        <v>316</v>
      </c>
      <c r="B90" s="366"/>
      <c r="C90" s="367"/>
      <c r="D90" s="315"/>
      <c r="E90" s="140"/>
      <c r="F90" s="140"/>
      <c r="G90" s="360"/>
      <c r="H90" s="52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ht="20.25" customHeight="1">
      <c r="A91" s="164"/>
      <c r="B91" s="21"/>
      <c r="C91" s="368">
        <f t="shared" ref="C91:D91" si="8">SUM(C81:C87)</f>
        <v>4543</v>
      </c>
      <c r="D91" s="306">
        <f t="shared" si="8"/>
        <v>122311.86</v>
      </c>
      <c r="E91" s="146">
        <f t="shared" ref="E91:F91" si="9">SUM(E81:E90)</f>
        <v>126818.18</v>
      </c>
      <c r="F91" s="146">
        <f t="shared" si="9"/>
        <v>129093.18</v>
      </c>
      <c r="G91" s="360"/>
      <c r="H91" s="52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ht="43.5" customHeight="1">
      <c r="A92" s="179" t="s">
        <v>795</v>
      </c>
      <c r="B92" s="149"/>
      <c r="C92" s="112" t="s">
        <v>299</v>
      </c>
      <c r="D92" s="113" t="s">
        <v>9</v>
      </c>
      <c r="E92" s="284" t="s">
        <v>635</v>
      </c>
      <c r="F92" s="309" t="s">
        <v>636</v>
      </c>
      <c r="G92" s="311" t="s">
        <v>11</v>
      </c>
      <c r="H92" s="52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ht="12.75" customHeight="1">
      <c r="A93" s="36" t="s">
        <v>572</v>
      </c>
      <c r="B93" s="151"/>
      <c r="C93" s="287"/>
      <c r="D93" s="183"/>
      <c r="E93" s="183"/>
      <c r="F93" s="261"/>
      <c r="G93" s="290" t="s">
        <v>13</v>
      </c>
      <c r="H93" s="52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ht="12.75" customHeight="1">
      <c r="A94" s="197" t="s">
        <v>303</v>
      </c>
      <c r="B94" s="198" t="s">
        <v>304</v>
      </c>
      <c r="C94" s="292"/>
      <c r="D94" s="186"/>
      <c r="E94" s="186"/>
      <c r="F94" s="261"/>
      <c r="G94" s="295" t="s">
        <v>796</v>
      </c>
      <c r="H94" s="52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ht="12.75" customHeight="1">
      <c r="A95" s="200" t="s">
        <v>308</v>
      </c>
      <c r="B95" s="201" t="s">
        <v>309</v>
      </c>
      <c r="C95" s="297">
        <v>707.0</v>
      </c>
      <c r="D95" s="132">
        <v>17774.48</v>
      </c>
      <c r="E95" s="132">
        <v>18086.91</v>
      </c>
      <c r="F95" s="246">
        <v>18436.91</v>
      </c>
      <c r="G95" s="300" t="s">
        <v>797</v>
      </c>
      <c r="H95" s="52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ht="12.75" customHeight="1">
      <c r="A96" s="352"/>
      <c r="B96" s="369"/>
      <c r="C96" s="297"/>
      <c r="D96" s="132"/>
      <c r="E96" s="132"/>
      <c r="F96" s="246"/>
      <c r="G96" s="300" t="s">
        <v>715</v>
      </c>
      <c r="H96" s="52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ht="12.75" customHeight="1">
      <c r="A97" s="200" t="s">
        <v>798</v>
      </c>
      <c r="B97" s="202"/>
      <c r="C97" s="297"/>
      <c r="D97" s="132"/>
      <c r="E97" s="132"/>
      <c r="F97" s="246"/>
      <c r="G97" s="300" t="s">
        <v>799</v>
      </c>
      <c r="H97" s="52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ht="12.75" customHeight="1">
      <c r="A98" s="200"/>
      <c r="B98" s="225"/>
      <c r="C98" s="297"/>
      <c r="D98" s="132"/>
      <c r="E98" s="132"/>
      <c r="F98" s="246"/>
      <c r="G98" s="295" t="s">
        <v>800</v>
      </c>
      <c r="H98" s="52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ht="12.75" customHeight="1">
      <c r="A99" s="200" t="s">
        <v>316</v>
      </c>
      <c r="B99" s="202"/>
      <c r="C99" s="297"/>
      <c r="D99" s="132"/>
      <c r="E99" s="132"/>
      <c r="F99" s="246"/>
      <c r="G99" s="295" t="s">
        <v>801</v>
      </c>
      <c r="H99" s="52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ht="18.75" customHeight="1">
      <c r="A100" s="203"/>
      <c r="B100" s="143"/>
      <c r="C100" s="361">
        <f t="shared" ref="C100:F100" si="10">SUM(C93:C99)</f>
        <v>707</v>
      </c>
      <c r="D100" s="146">
        <f t="shared" si="10"/>
        <v>17774.48</v>
      </c>
      <c r="E100" s="146">
        <f t="shared" si="10"/>
        <v>18086.91</v>
      </c>
      <c r="F100" s="146">
        <f t="shared" si="10"/>
        <v>18436.91</v>
      </c>
      <c r="G100" s="307" t="s">
        <v>802</v>
      </c>
      <c r="H100" s="52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ht="44.25" customHeight="1">
      <c r="A101" s="179" t="s">
        <v>803</v>
      </c>
      <c r="B101" s="149"/>
      <c r="C101" s="112" t="s">
        <v>299</v>
      </c>
      <c r="D101" s="113" t="s">
        <v>9</v>
      </c>
      <c r="E101" s="284" t="s">
        <v>635</v>
      </c>
      <c r="F101" s="309" t="s">
        <v>636</v>
      </c>
      <c r="G101" s="354" t="s">
        <v>11</v>
      </c>
      <c r="H101" s="52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ht="12.75" customHeight="1">
      <c r="A102" s="116" t="s">
        <v>572</v>
      </c>
      <c r="B102" s="117"/>
      <c r="C102" s="189"/>
      <c r="D102" s="183"/>
      <c r="E102" s="183"/>
      <c r="F102" s="261"/>
      <c r="G102" s="290" t="s">
        <v>804</v>
      </c>
      <c r="H102" s="52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ht="12.75" customHeight="1">
      <c r="A103" s="122" t="s">
        <v>303</v>
      </c>
      <c r="B103" s="123" t="s">
        <v>304</v>
      </c>
      <c r="C103" s="191"/>
      <c r="D103" s="186"/>
      <c r="E103" s="186"/>
      <c r="F103" s="261"/>
      <c r="G103" s="300" t="s">
        <v>805</v>
      </c>
      <c r="H103" s="52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ht="12.75" customHeight="1">
      <c r="A104" s="200" t="s">
        <v>639</v>
      </c>
      <c r="B104" s="201" t="s">
        <v>361</v>
      </c>
      <c r="C104" s="192">
        <v>6540.0</v>
      </c>
      <c r="D104" s="132">
        <v>168083.43</v>
      </c>
      <c r="E104" s="132">
        <v>173315.43</v>
      </c>
      <c r="F104" s="246">
        <v>176590.43</v>
      </c>
      <c r="G104" s="300" t="s">
        <v>715</v>
      </c>
      <c r="H104" s="52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ht="12.75" customHeight="1">
      <c r="A105" s="200"/>
      <c r="B105" s="202"/>
      <c r="C105" s="192"/>
      <c r="D105" s="132"/>
      <c r="E105" s="132"/>
      <c r="F105" s="246"/>
      <c r="G105" s="300" t="s">
        <v>806</v>
      </c>
      <c r="H105" s="52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ht="12.75" customHeight="1">
      <c r="A106" s="200" t="s">
        <v>807</v>
      </c>
      <c r="B106" s="198" t="s">
        <v>808</v>
      </c>
      <c r="C106" s="192"/>
      <c r="D106" s="132"/>
      <c r="E106" s="132"/>
      <c r="F106" s="246"/>
      <c r="G106" s="295" t="s">
        <v>809</v>
      </c>
      <c r="H106" s="52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ht="12.75" customHeight="1">
      <c r="A107" s="200" t="s">
        <v>810</v>
      </c>
      <c r="B107" s="198" t="s">
        <v>811</v>
      </c>
      <c r="C107" s="192"/>
      <c r="D107" s="132"/>
      <c r="E107" s="132"/>
      <c r="F107" s="246"/>
      <c r="G107" s="295" t="s">
        <v>812</v>
      </c>
      <c r="H107" s="52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ht="12.75" customHeight="1">
      <c r="A108" s="200" t="s">
        <v>813</v>
      </c>
      <c r="B108" s="198" t="s">
        <v>814</v>
      </c>
      <c r="C108" s="192"/>
      <c r="D108" s="132"/>
      <c r="E108" s="132"/>
      <c r="F108" s="246"/>
      <c r="G108" s="316" t="s">
        <v>815</v>
      </c>
      <c r="H108" s="52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ht="12.75" customHeight="1">
      <c r="A109" s="128"/>
      <c r="B109" s="123"/>
      <c r="C109" s="192"/>
      <c r="D109" s="132"/>
      <c r="E109" s="132"/>
      <c r="F109" s="132"/>
      <c r="G109" s="295"/>
      <c r="H109" s="52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ht="12.75" customHeight="1">
      <c r="A110" s="128" t="s">
        <v>316</v>
      </c>
      <c r="B110" s="123"/>
      <c r="C110" s="192"/>
      <c r="D110" s="132"/>
      <c r="E110" s="132"/>
      <c r="F110" s="132"/>
      <c r="G110" s="316"/>
      <c r="H110" s="52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ht="18.75" customHeight="1">
      <c r="A111" s="142"/>
      <c r="B111" s="143"/>
      <c r="C111" s="355">
        <f t="shared" ref="C111:F111" si="11">SUM(C102:C110)</f>
        <v>6540</v>
      </c>
      <c r="D111" s="146">
        <f t="shared" si="11"/>
        <v>168083.43</v>
      </c>
      <c r="E111" s="146">
        <f t="shared" si="11"/>
        <v>173315.43</v>
      </c>
      <c r="F111" s="146">
        <f t="shared" si="11"/>
        <v>176590.43</v>
      </c>
      <c r="G111" s="307"/>
      <c r="H111" s="52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ht="44.25" customHeight="1">
      <c r="A112" s="281" t="s">
        <v>816</v>
      </c>
      <c r="B112" s="282"/>
      <c r="C112" s="370" t="s">
        <v>299</v>
      </c>
      <c r="D112" s="113" t="s">
        <v>9</v>
      </c>
      <c r="E112" s="284" t="s">
        <v>635</v>
      </c>
      <c r="F112" s="309" t="s">
        <v>636</v>
      </c>
      <c r="G112" s="354" t="s">
        <v>11</v>
      </c>
      <c r="H112" s="52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ht="15.75" customHeight="1">
      <c r="A113" s="194" t="s">
        <v>319</v>
      </c>
      <c r="B113" s="286"/>
      <c r="C113" s="371"/>
      <c r="D113" s="262"/>
      <c r="E113" s="372"/>
      <c r="F113" s="373"/>
      <c r="G113" s="290" t="s">
        <v>13</v>
      </c>
      <c r="H113" s="52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ht="15.75" customHeight="1">
      <c r="A114" s="197" t="s">
        <v>303</v>
      </c>
      <c r="B114" s="291" t="s">
        <v>304</v>
      </c>
      <c r="C114" s="374"/>
      <c r="D114" s="263"/>
      <c r="E114" s="375"/>
      <c r="F114" s="376"/>
      <c r="G114" s="295" t="s">
        <v>817</v>
      </c>
      <c r="H114" s="52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ht="12.75" customHeight="1">
      <c r="A115" s="200" t="s">
        <v>712</v>
      </c>
      <c r="B115" s="201" t="s">
        <v>15</v>
      </c>
      <c r="C115" s="377">
        <v>8072.0</v>
      </c>
      <c r="D115" s="264">
        <v>218109.28</v>
      </c>
      <c r="E115" s="378">
        <v>223974.33</v>
      </c>
      <c r="F115" s="379">
        <v>228067.715</v>
      </c>
      <c r="G115" s="300" t="s">
        <v>818</v>
      </c>
      <c r="H115" s="52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ht="12.75" customHeight="1">
      <c r="A116" s="200" t="s">
        <v>714</v>
      </c>
      <c r="B116" s="201" t="s">
        <v>15</v>
      </c>
      <c r="C116" s="377">
        <v>3964.0</v>
      </c>
      <c r="D116" s="264">
        <v>101751.55</v>
      </c>
      <c r="E116" s="378">
        <v>105711.5</v>
      </c>
      <c r="F116" s="379">
        <v>107643.115</v>
      </c>
      <c r="G116" s="300" t="s">
        <v>715</v>
      </c>
      <c r="H116" s="52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ht="12.75" customHeight="1">
      <c r="A117" s="171"/>
      <c r="B117" s="135"/>
      <c r="C117" s="377"/>
      <c r="D117" s="264"/>
      <c r="E117" s="378"/>
      <c r="F117" s="379"/>
      <c r="G117" s="300" t="s">
        <v>819</v>
      </c>
      <c r="H117" s="52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ht="12.75" customHeight="1">
      <c r="A118" s="200" t="s">
        <v>820</v>
      </c>
      <c r="B118" s="202" t="s">
        <v>821</v>
      </c>
      <c r="C118" s="377"/>
      <c r="D118" s="264"/>
      <c r="E118" s="378"/>
      <c r="F118" s="379"/>
      <c r="G118" s="295" t="s">
        <v>822</v>
      </c>
      <c r="H118" s="52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ht="12.75" customHeight="1">
      <c r="A119" s="200" t="s">
        <v>823</v>
      </c>
      <c r="B119" s="134" t="s">
        <v>824</v>
      </c>
      <c r="C119" s="377"/>
      <c r="D119" s="264"/>
      <c r="E119" s="378"/>
      <c r="F119" s="379"/>
      <c r="G119" s="295" t="s">
        <v>825</v>
      </c>
      <c r="H119" s="52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ht="12.75" customHeight="1">
      <c r="A120" s="171" t="s">
        <v>826</v>
      </c>
      <c r="B120" s="198" t="s">
        <v>827</v>
      </c>
      <c r="C120" s="377"/>
      <c r="D120" s="264"/>
      <c r="E120" s="378"/>
      <c r="F120" s="379"/>
      <c r="G120" s="316" t="s">
        <v>828</v>
      </c>
      <c r="H120" s="52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ht="12.75" customHeight="1">
      <c r="A121" s="137" t="s">
        <v>829</v>
      </c>
      <c r="B121" s="198" t="s">
        <v>830</v>
      </c>
      <c r="C121" s="377"/>
      <c r="D121" s="264"/>
      <c r="E121" s="378"/>
      <c r="F121" s="379"/>
      <c r="G121" s="295"/>
      <c r="H121" s="52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ht="12.75" customHeight="1">
      <c r="A122" s="171" t="s">
        <v>831</v>
      </c>
      <c r="B122" s="198" t="s">
        <v>832</v>
      </c>
      <c r="C122" s="377"/>
      <c r="D122" s="264"/>
      <c r="E122" s="378"/>
      <c r="F122" s="379"/>
      <c r="G122" s="295"/>
      <c r="H122" s="52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ht="12.75" customHeight="1">
      <c r="A123" s="171" t="s">
        <v>833</v>
      </c>
      <c r="B123" s="198" t="s">
        <v>834</v>
      </c>
      <c r="C123" s="297"/>
      <c r="D123" s="132"/>
      <c r="E123" s="246"/>
      <c r="F123" s="298"/>
      <c r="G123" s="295"/>
      <c r="H123" s="52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ht="12.75" customHeight="1">
      <c r="A124" s="171" t="s">
        <v>835</v>
      </c>
      <c r="B124" s="136" t="s">
        <v>836</v>
      </c>
      <c r="C124" s="297"/>
      <c r="D124" s="132"/>
      <c r="E124" s="246"/>
      <c r="F124" s="298"/>
      <c r="G124" s="316"/>
      <c r="H124" s="52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ht="12.75" customHeight="1">
      <c r="A125" s="171" t="s">
        <v>837</v>
      </c>
      <c r="B125" s="380"/>
      <c r="C125" s="297"/>
      <c r="D125" s="132"/>
      <c r="E125" s="246"/>
      <c r="F125" s="298"/>
      <c r="G125" s="316"/>
      <c r="H125" s="52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ht="12.75" customHeight="1">
      <c r="A126" s="381"/>
      <c r="B126" s="380"/>
      <c r="C126" s="297"/>
      <c r="D126" s="132"/>
      <c r="E126" s="246"/>
      <c r="F126" s="298"/>
      <c r="G126" s="316"/>
      <c r="H126" s="52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ht="12.75" customHeight="1">
      <c r="A127" s="128" t="s">
        <v>316</v>
      </c>
      <c r="B127" s="380"/>
      <c r="C127" s="297"/>
      <c r="D127" s="132"/>
      <c r="E127" s="246"/>
      <c r="F127" s="298"/>
      <c r="G127" s="316"/>
      <c r="H127" s="52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ht="18.75" customHeight="1">
      <c r="A128" s="142"/>
      <c r="B128" s="382"/>
      <c r="C128" s="361">
        <f t="shared" ref="C128:F128" si="12">SUM(C113:C127)</f>
        <v>12036</v>
      </c>
      <c r="D128" s="146">
        <f t="shared" si="12"/>
        <v>319860.83</v>
      </c>
      <c r="E128" s="250">
        <f t="shared" si="12"/>
        <v>329685.83</v>
      </c>
      <c r="F128" s="306">
        <f t="shared" si="12"/>
        <v>335710.83</v>
      </c>
      <c r="G128" s="307"/>
      <c r="H128" s="52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ht="40.5" customHeight="1">
      <c r="A129" s="383" t="s">
        <v>838</v>
      </c>
      <c r="B129" s="384"/>
      <c r="C129" s="370" t="s">
        <v>299</v>
      </c>
      <c r="D129" s="113" t="s">
        <v>9</v>
      </c>
      <c r="E129" s="284" t="s">
        <v>635</v>
      </c>
      <c r="F129" s="309" t="s">
        <v>636</v>
      </c>
      <c r="G129" s="311" t="s">
        <v>11</v>
      </c>
      <c r="H129" s="52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ht="12.75" customHeight="1">
      <c r="A130" s="194" t="s">
        <v>319</v>
      </c>
      <c r="B130" s="195"/>
      <c r="C130" s="189"/>
      <c r="D130" s="183"/>
      <c r="E130" s="183"/>
      <c r="F130" s="261"/>
      <c r="G130" s="290" t="s">
        <v>13</v>
      </c>
      <c r="H130" s="52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ht="12.75" customHeight="1">
      <c r="A131" s="122" t="s">
        <v>303</v>
      </c>
      <c r="B131" s="123" t="s">
        <v>304</v>
      </c>
      <c r="C131" s="191"/>
      <c r="D131" s="186"/>
      <c r="E131" s="186"/>
      <c r="F131" s="261"/>
      <c r="G131" s="295" t="s">
        <v>839</v>
      </c>
      <c r="H131" s="52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ht="12.75" customHeight="1">
      <c r="A132" s="200" t="s">
        <v>308</v>
      </c>
      <c r="B132" s="201" t="s">
        <v>309</v>
      </c>
      <c r="C132" s="192">
        <v>3614.0</v>
      </c>
      <c r="D132" s="132">
        <v>94461.23</v>
      </c>
      <c r="E132" s="132">
        <v>96563.68</v>
      </c>
      <c r="F132" s="246">
        <v>98363.68</v>
      </c>
      <c r="G132" s="300" t="s">
        <v>840</v>
      </c>
      <c r="H132" s="52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ht="12.75" customHeight="1">
      <c r="A133" s="385"/>
      <c r="B133" s="369"/>
      <c r="C133" s="192"/>
      <c r="D133" s="132"/>
      <c r="E133" s="132"/>
      <c r="F133" s="246"/>
      <c r="G133" s="300" t="s">
        <v>715</v>
      </c>
      <c r="H133" s="52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ht="12.75" customHeight="1">
      <c r="A134" s="171" t="s">
        <v>841</v>
      </c>
      <c r="B134" s="198" t="s">
        <v>842</v>
      </c>
      <c r="C134" s="192"/>
      <c r="D134" s="132"/>
      <c r="E134" s="132"/>
      <c r="F134" s="246"/>
      <c r="G134" s="300" t="s">
        <v>843</v>
      </c>
      <c r="H134" s="52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ht="12.75" customHeight="1">
      <c r="A135" s="171" t="s">
        <v>844</v>
      </c>
      <c r="B135" s="198" t="s">
        <v>845</v>
      </c>
      <c r="C135" s="192"/>
      <c r="D135" s="132"/>
      <c r="E135" s="132"/>
      <c r="F135" s="246"/>
      <c r="G135" s="295" t="s">
        <v>846</v>
      </c>
      <c r="H135" s="52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ht="12.75" customHeight="1">
      <c r="A136" s="171" t="s">
        <v>847</v>
      </c>
      <c r="B136" s="198" t="s">
        <v>848</v>
      </c>
      <c r="C136" s="192"/>
      <c r="D136" s="132"/>
      <c r="E136" s="132"/>
      <c r="F136" s="246"/>
      <c r="G136" s="295" t="s">
        <v>849</v>
      </c>
      <c r="H136" s="52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ht="12.75" customHeight="1">
      <c r="A137" s="171" t="s">
        <v>850</v>
      </c>
      <c r="B137" s="386"/>
      <c r="C137" s="192"/>
      <c r="D137" s="132"/>
      <c r="E137" s="132"/>
      <c r="F137" s="246"/>
      <c r="G137" s="316" t="s">
        <v>851</v>
      </c>
      <c r="H137" s="52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ht="12.75" customHeight="1">
      <c r="A138" s="137"/>
      <c r="B138" s="386"/>
      <c r="C138" s="192"/>
      <c r="D138" s="132"/>
      <c r="E138" s="132"/>
      <c r="F138" s="246"/>
      <c r="G138" s="316"/>
      <c r="H138" s="52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ht="12.75" customHeight="1">
      <c r="A139" s="137" t="s">
        <v>316</v>
      </c>
      <c r="B139" s="386"/>
      <c r="C139" s="192"/>
      <c r="D139" s="132"/>
      <c r="E139" s="132"/>
      <c r="F139" s="246"/>
      <c r="G139" s="316"/>
      <c r="H139" s="52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ht="18.75" customHeight="1">
      <c r="A140" s="203"/>
      <c r="B140" s="143"/>
      <c r="C140" s="355">
        <f t="shared" ref="C140:F140" si="13">SUM(C130:C139)</f>
        <v>3614</v>
      </c>
      <c r="D140" s="146">
        <f t="shared" si="13"/>
        <v>94461.23</v>
      </c>
      <c r="E140" s="146">
        <f t="shared" si="13"/>
        <v>96563.68</v>
      </c>
      <c r="F140" s="146">
        <f t="shared" si="13"/>
        <v>98363.68</v>
      </c>
      <c r="G140" s="307"/>
      <c r="H140" s="52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ht="42.75" customHeight="1">
      <c r="A141" s="281" t="s">
        <v>852</v>
      </c>
      <c r="B141" s="282"/>
      <c r="C141" s="112" t="s">
        <v>299</v>
      </c>
      <c r="D141" s="113" t="s">
        <v>9</v>
      </c>
      <c r="E141" s="284" t="s">
        <v>635</v>
      </c>
      <c r="F141" s="309" t="s">
        <v>636</v>
      </c>
      <c r="G141" s="387" t="s">
        <v>11</v>
      </c>
      <c r="H141" s="52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ht="12.75" customHeight="1">
      <c r="A142" s="194" t="s">
        <v>319</v>
      </c>
      <c r="B142" s="286"/>
      <c r="C142" s="287"/>
      <c r="D142" s="183"/>
      <c r="E142" s="183"/>
      <c r="F142" s="261"/>
      <c r="G142" s="356" t="s">
        <v>853</v>
      </c>
      <c r="H142" s="52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ht="12.75" customHeight="1">
      <c r="A143" s="122" t="s">
        <v>303</v>
      </c>
      <c r="B143" s="123" t="s">
        <v>304</v>
      </c>
      <c r="C143" s="292"/>
      <c r="D143" s="186"/>
      <c r="E143" s="186"/>
      <c r="F143" s="261"/>
      <c r="G143" s="357" t="s">
        <v>854</v>
      </c>
      <c r="H143" s="52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ht="12.75" customHeight="1">
      <c r="A144" s="200" t="s">
        <v>639</v>
      </c>
      <c r="B144" s="201" t="s">
        <v>361</v>
      </c>
      <c r="C144" s="297">
        <v>2058.0</v>
      </c>
      <c r="D144" s="132">
        <v>54148.29</v>
      </c>
      <c r="E144" s="132">
        <v>55794.69</v>
      </c>
      <c r="F144" s="246">
        <v>56819.69</v>
      </c>
      <c r="G144" s="357" t="s">
        <v>715</v>
      </c>
      <c r="H144" s="52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ht="12.75" customHeight="1">
      <c r="A145" s="200"/>
      <c r="B145" s="134"/>
      <c r="C145" s="297"/>
      <c r="D145" s="132"/>
      <c r="E145" s="132"/>
      <c r="F145" s="246"/>
      <c r="G145" s="357" t="s">
        <v>855</v>
      </c>
      <c r="H145" s="52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ht="12.75" customHeight="1">
      <c r="A146" s="200" t="s">
        <v>856</v>
      </c>
      <c r="B146" s="198" t="s">
        <v>857</v>
      </c>
      <c r="C146" s="297"/>
      <c r="D146" s="132"/>
      <c r="E146" s="132"/>
      <c r="F146" s="246"/>
      <c r="G146" s="356" t="s">
        <v>858</v>
      </c>
      <c r="H146" s="52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ht="12.75" customHeight="1">
      <c r="A147" s="200"/>
      <c r="B147" s="123"/>
      <c r="C147" s="297"/>
      <c r="D147" s="132"/>
      <c r="E147" s="132"/>
      <c r="F147" s="246"/>
      <c r="G147" s="356" t="s">
        <v>859</v>
      </c>
      <c r="H147" s="52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ht="12.75" customHeight="1">
      <c r="A148" s="137" t="s">
        <v>316</v>
      </c>
      <c r="B148" s="123"/>
      <c r="C148" s="297"/>
      <c r="D148" s="132"/>
      <c r="E148" s="132"/>
      <c r="F148" s="246"/>
      <c r="G148" s="360" t="s">
        <v>860</v>
      </c>
      <c r="H148" s="52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ht="18.75" customHeight="1">
      <c r="A149" s="142"/>
      <c r="B149" s="143"/>
      <c r="C149" s="361">
        <f t="shared" ref="C149:F149" si="14">SUM(C142:C148)</f>
        <v>2058</v>
      </c>
      <c r="D149" s="146">
        <f t="shared" si="14"/>
        <v>54148.29</v>
      </c>
      <c r="E149" s="146">
        <f t="shared" si="14"/>
        <v>55794.69</v>
      </c>
      <c r="F149" s="146">
        <f t="shared" si="14"/>
        <v>56819.69</v>
      </c>
      <c r="G149" s="358"/>
      <c r="H149" s="52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ht="45.0" customHeight="1">
      <c r="A150" s="179" t="s">
        <v>861</v>
      </c>
      <c r="B150" s="149"/>
      <c r="C150" s="362" t="s">
        <v>299</v>
      </c>
      <c r="D150" s="113" t="s">
        <v>9</v>
      </c>
      <c r="E150" s="284" t="s">
        <v>635</v>
      </c>
      <c r="F150" s="309" t="s">
        <v>636</v>
      </c>
      <c r="G150" s="354" t="s">
        <v>11</v>
      </c>
      <c r="H150" s="52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ht="15.75" customHeight="1">
      <c r="A151" s="36" t="s">
        <v>523</v>
      </c>
      <c r="B151" s="363"/>
      <c r="C151" s="345"/>
      <c r="D151" s="120"/>
      <c r="E151" s="120"/>
      <c r="F151" s="243"/>
      <c r="G151" s="290" t="s">
        <v>13</v>
      </c>
      <c r="H151" s="52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ht="15.75" customHeight="1">
      <c r="A152" s="153" t="s">
        <v>303</v>
      </c>
      <c r="B152" s="106" t="s">
        <v>304</v>
      </c>
      <c r="C152" s="364"/>
      <c r="D152" s="126"/>
      <c r="E152" s="126"/>
      <c r="F152" s="243"/>
      <c r="G152" s="295" t="s">
        <v>862</v>
      </c>
      <c r="H152" s="52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ht="12.75" customHeight="1">
      <c r="A153" s="200" t="s">
        <v>712</v>
      </c>
      <c r="B153" s="201" t="s">
        <v>15</v>
      </c>
      <c r="C153" s="297">
        <v>1029.0</v>
      </c>
      <c r="D153" s="132">
        <v>28017.0</v>
      </c>
      <c r="E153" s="132">
        <v>28891.65</v>
      </c>
      <c r="F153" s="246">
        <v>29414.75</v>
      </c>
      <c r="G153" s="300" t="s">
        <v>863</v>
      </c>
      <c r="H153" s="52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ht="12.75" customHeight="1">
      <c r="A154" s="200" t="s">
        <v>714</v>
      </c>
      <c r="B154" s="201" t="s">
        <v>15</v>
      </c>
      <c r="C154" s="297">
        <v>974.0</v>
      </c>
      <c r="D154" s="132">
        <v>25895.83</v>
      </c>
      <c r="E154" s="132">
        <v>26335.97</v>
      </c>
      <c r="F154" s="246">
        <v>26812.87</v>
      </c>
      <c r="G154" s="300" t="s">
        <v>715</v>
      </c>
      <c r="H154" s="52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ht="12.75" customHeight="1">
      <c r="A155" s="160"/>
      <c r="B155" s="136"/>
      <c r="C155" s="297"/>
      <c r="D155" s="132"/>
      <c r="E155" s="132"/>
      <c r="F155" s="246"/>
      <c r="G155" s="300" t="s">
        <v>864</v>
      </c>
      <c r="H155" s="52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ht="12.75" customHeight="1">
      <c r="A156" s="200" t="s">
        <v>865</v>
      </c>
      <c r="B156" s="198" t="s">
        <v>866</v>
      </c>
      <c r="C156" s="297"/>
      <c r="D156" s="132"/>
      <c r="E156" s="132"/>
      <c r="F156" s="246"/>
      <c r="G156" s="295" t="s">
        <v>867</v>
      </c>
      <c r="H156" s="52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ht="15.0" customHeight="1">
      <c r="A157" s="162" t="s">
        <v>868</v>
      </c>
      <c r="B157" s="380"/>
      <c r="C157" s="297"/>
      <c r="D157" s="132"/>
      <c r="E157" s="132"/>
      <c r="F157" s="246"/>
      <c r="G157" s="295" t="s">
        <v>869</v>
      </c>
      <c r="H157" s="52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ht="18.75" customHeight="1">
      <c r="A158" s="160"/>
      <c r="B158" s="135"/>
      <c r="C158" s="350"/>
      <c r="D158" s="140"/>
      <c r="E158" s="140"/>
      <c r="F158" s="253"/>
      <c r="G158" s="316" t="s">
        <v>870</v>
      </c>
      <c r="H158" s="52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ht="18.75" customHeight="1">
      <c r="A159" s="160" t="s">
        <v>316</v>
      </c>
      <c r="B159" s="135"/>
      <c r="C159" s="350"/>
      <c r="D159" s="140"/>
      <c r="E159" s="140"/>
      <c r="F159" s="253"/>
      <c r="G159" s="316"/>
      <c r="H159" s="52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ht="18.75" customHeight="1">
      <c r="A160" s="177"/>
      <c r="B160" s="388"/>
      <c r="C160" s="361">
        <f t="shared" ref="C160:D160" si="15">SUM(C153:C157)</f>
        <v>2003</v>
      </c>
      <c r="D160" s="146">
        <f t="shared" si="15"/>
        <v>53912.83</v>
      </c>
      <c r="E160" s="146">
        <f t="shared" ref="E160:F160" si="16">SUM(E151:E157)</f>
        <v>55227.62</v>
      </c>
      <c r="F160" s="146">
        <f t="shared" si="16"/>
        <v>56227.62</v>
      </c>
      <c r="G160" s="307"/>
      <c r="H160" s="52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ht="45.75" customHeight="1">
      <c r="A161" s="179" t="s">
        <v>871</v>
      </c>
      <c r="B161" s="149"/>
      <c r="C161" s="362" t="s">
        <v>299</v>
      </c>
      <c r="D161" s="113" t="s">
        <v>9</v>
      </c>
      <c r="E161" s="284" t="s">
        <v>635</v>
      </c>
      <c r="F161" s="309" t="s">
        <v>636</v>
      </c>
      <c r="G161" s="311" t="s">
        <v>11</v>
      </c>
      <c r="H161" s="52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ht="15.75" customHeight="1">
      <c r="A162" s="36" t="s">
        <v>523</v>
      </c>
      <c r="B162" s="151"/>
      <c r="C162" s="345"/>
      <c r="D162" s="120"/>
      <c r="E162" s="120"/>
      <c r="F162" s="120"/>
      <c r="G162" s="290" t="s">
        <v>13</v>
      </c>
      <c r="H162" s="52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ht="15.75" customHeight="1">
      <c r="A163" s="122" t="s">
        <v>303</v>
      </c>
      <c r="B163" s="123" t="s">
        <v>304</v>
      </c>
      <c r="C163" s="364"/>
      <c r="D163" s="126"/>
      <c r="E163" s="126"/>
      <c r="F163" s="126"/>
      <c r="G163" s="295" t="s">
        <v>872</v>
      </c>
      <c r="H163" s="52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ht="12.75" customHeight="1">
      <c r="A164" s="200" t="s">
        <v>308</v>
      </c>
      <c r="B164" s="201" t="s">
        <v>309</v>
      </c>
      <c r="C164" s="297">
        <v>909.0</v>
      </c>
      <c r="D164" s="132">
        <v>23257.43</v>
      </c>
      <c r="E164" s="132">
        <v>24140.36</v>
      </c>
      <c r="F164" s="132">
        <v>24590.36</v>
      </c>
      <c r="G164" s="300" t="s">
        <v>873</v>
      </c>
      <c r="H164" s="52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ht="12.75" customHeight="1">
      <c r="A165" s="385"/>
      <c r="B165" s="369"/>
      <c r="C165" s="297"/>
      <c r="D165" s="132"/>
      <c r="E165" s="132"/>
      <c r="F165" s="132"/>
      <c r="G165" s="300" t="s">
        <v>715</v>
      </c>
      <c r="H165" s="52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ht="12.75" customHeight="1">
      <c r="A166" s="200" t="s">
        <v>874</v>
      </c>
      <c r="B166" s="136" t="s">
        <v>875</v>
      </c>
      <c r="C166" s="297"/>
      <c r="D166" s="132"/>
      <c r="E166" s="132"/>
      <c r="F166" s="132"/>
      <c r="G166" s="300" t="s">
        <v>876</v>
      </c>
      <c r="H166" s="52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ht="12.75" customHeight="1">
      <c r="A167" s="352"/>
      <c r="B167" s="135"/>
      <c r="C167" s="297"/>
      <c r="D167" s="132"/>
      <c r="E167" s="132"/>
      <c r="F167" s="132"/>
      <c r="G167" s="295" t="s">
        <v>762</v>
      </c>
      <c r="H167" s="52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ht="12.75" customHeight="1">
      <c r="A168" s="135" t="s">
        <v>316</v>
      </c>
      <c r="B168" s="135"/>
      <c r="C168" s="297"/>
      <c r="D168" s="132"/>
      <c r="E168" s="132"/>
      <c r="F168" s="132"/>
      <c r="G168" s="295" t="s">
        <v>877</v>
      </c>
      <c r="H168" s="52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ht="18.75" customHeight="1">
      <c r="A169" s="142"/>
      <c r="B169" s="143"/>
      <c r="C169" s="361">
        <f>SUM(C164:C168)</f>
        <v>909</v>
      </c>
      <c r="D169" s="146">
        <f t="shared" ref="D169:F169" si="17">SUM(D162:D168)</f>
        <v>23257.43</v>
      </c>
      <c r="E169" s="146">
        <f t="shared" si="17"/>
        <v>24140.36</v>
      </c>
      <c r="F169" s="146">
        <f t="shared" si="17"/>
        <v>24590.36</v>
      </c>
      <c r="G169" s="307" t="s">
        <v>878</v>
      </c>
      <c r="H169" s="52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ht="48.75" customHeight="1">
      <c r="A170" s="179" t="s">
        <v>879</v>
      </c>
      <c r="B170" s="149"/>
      <c r="C170" s="362" t="s">
        <v>299</v>
      </c>
      <c r="D170" s="113" t="s">
        <v>9</v>
      </c>
      <c r="E170" s="284" t="s">
        <v>635</v>
      </c>
      <c r="F170" s="309" t="s">
        <v>636</v>
      </c>
      <c r="G170" s="311" t="s">
        <v>11</v>
      </c>
      <c r="H170" s="52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ht="15.75" customHeight="1">
      <c r="A171" s="36" t="s">
        <v>523</v>
      </c>
      <c r="B171" s="151"/>
      <c r="C171" s="345"/>
      <c r="D171" s="120"/>
      <c r="E171" s="120"/>
      <c r="F171" s="120"/>
      <c r="G171" s="290" t="s">
        <v>13</v>
      </c>
      <c r="H171" s="52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ht="15.75" customHeight="1">
      <c r="A172" s="122" t="s">
        <v>303</v>
      </c>
      <c r="B172" s="123" t="s">
        <v>304</v>
      </c>
      <c r="C172" s="364"/>
      <c r="D172" s="126"/>
      <c r="E172" s="126"/>
      <c r="F172" s="126"/>
      <c r="G172" s="295" t="s">
        <v>880</v>
      </c>
      <c r="H172" s="52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ht="12.75" customHeight="1">
      <c r="A173" s="200" t="s">
        <v>639</v>
      </c>
      <c r="B173" s="201" t="s">
        <v>361</v>
      </c>
      <c r="C173" s="297">
        <v>1327.0</v>
      </c>
      <c r="D173" s="132">
        <v>34612.64</v>
      </c>
      <c r="E173" s="132">
        <v>35702.47</v>
      </c>
      <c r="F173" s="132">
        <v>36377.47</v>
      </c>
      <c r="G173" s="300" t="s">
        <v>881</v>
      </c>
      <c r="H173" s="52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ht="12.75" customHeight="1">
      <c r="A174" s="385"/>
      <c r="B174" s="369"/>
      <c r="C174" s="297"/>
      <c r="D174" s="132"/>
      <c r="E174" s="132"/>
      <c r="F174" s="132"/>
      <c r="G174" s="300" t="s">
        <v>715</v>
      </c>
      <c r="H174" s="52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ht="12.75" customHeight="1">
      <c r="A175" s="200" t="s">
        <v>882</v>
      </c>
      <c r="B175" s="198" t="s">
        <v>883</v>
      </c>
      <c r="C175" s="297"/>
      <c r="D175" s="132"/>
      <c r="E175" s="132"/>
      <c r="F175" s="132"/>
      <c r="G175" s="300" t="s">
        <v>884</v>
      </c>
      <c r="H175" s="52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ht="12.75" customHeight="1">
      <c r="A176" s="352"/>
      <c r="B176" s="389"/>
      <c r="C176" s="297"/>
      <c r="D176" s="132"/>
      <c r="E176" s="132"/>
      <c r="F176" s="132"/>
      <c r="G176" s="295" t="s">
        <v>885</v>
      </c>
      <c r="H176" s="52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ht="12.75" customHeight="1">
      <c r="A177" s="135" t="s">
        <v>316</v>
      </c>
      <c r="B177" s="135"/>
      <c r="C177" s="297"/>
      <c r="D177" s="132"/>
      <c r="E177" s="132"/>
      <c r="F177" s="132"/>
      <c r="G177" s="295" t="s">
        <v>886</v>
      </c>
      <c r="H177" s="52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ht="18.75" customHeight="1">
      <c r="A178" s="142"/>
      <c r="B178" s="143"/>
      <c r="C178" s="361">
        <f>SUM(C173:C177)</f>
        <v>1327</v>
      </c>
      <c r="D178" s="146">
        <f t="shared" ref="D178:F178" si="18">SUM(D171:D177)</f>
        <v>34612.64</v>
      </c>
      <c r="E178" s="146">
        <f t="shared" si="18"/>
        <v>35702.47</v>
      </c>
      <c r="F178" s="146">
        <f t="shared" si="18"/>
        <v>36377.47</v>
      </c>
      <c r="G178" s="307" t="s">
        <v>887</v>
      </c>
      <c r="H178" s="52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ht="46.5" customHeight="1">
      <c r="A179" s="179" t="s">
        <v>888</v>
      </c>
      <c r="B179" s="149"/>
      <c r="C179" s="112" t="s">
        <v>299</v>
      </c>
      <c r="D179" s="113" t="s">
        <v>9</v>
      </c>
      <c r="E179" s="284" t="s">
        <v>635</v>
      </c>
      <c r="F179" s="309" t="s">
        <v>636</v>
      </c>
      <c r="G179" s="311" t="s">
        <v>11</v>
      </c>
      <c r="H179" s="52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ht="12.75" customHeight="1">
      <c r="A180" s="194" t="s">
        <v>440</v>
      </c>
      <c r="B180" s="195"/>
      <c r="C180" s="287"/>
      <c r="D180" s="183"/>
      <c r="E180" s="183"/>
      <c r="F180" s="261"/>
      <c r="G180" s="290" t="s">
        <v>889</v>
      </c>
      <c r="H180" s="52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ht="12.75" customHeight="1">
      <c r="A181" s="122" t="s">
        <v>303</v>
      </c>
      <c r="B181" s="123" t="s">
        <v>304</v>
      </c>
      <c r="C181" s="292"/>
      <c r="D181" s="186"/>
      <c r="E181" s="186"/>
      <c r="F181" s="261"/>
      <c r="G181" s="300" t="s">
        <v>890</v>
      </c>
      <c r="H181" s="52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ht="12.75" customHeight="1">
      <c r="A182" s="200" t="s">
        <v>714</v>
      </c>
      <c r="B182" s="201" t="s">
        <v>15</v>
      </c>
      <c r="C182" s="297">
        <v>3745.0</v>
      </c>
      <c r="D182" s="132">
        <v>97283.05</v>
      </c>
      <c r="E182" s="132">
        <v>100402.64</v>
      </c>
      <c r="F182" s="246">
        <v>102277.64</v>
      </c>
      <c r="G182" s="300" t="s">
        <v>715</v>
      </c>
      <c r="H182" s="52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ht="12.75" customHeight="1">
      <c r="A183" s="385"/>
      <c r="B183" s="369"/>
      <c r="C183" s="297"/>
      <c r="D183" s="132"/>
      <c r="E183" s="132"/>
      <c r="F183" s="246"/>
      <c r="G183" s="300" t="s">
        <v>891</v>
      </c>
      <c r="H183" s="52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ht="12.75" customHeight="1">
      <c r="A184" s="200" t="s">
        <v>892</v>
      </c>
      <c r="B184" s="198" t="s">
        <v>893</v>
      </c>
      <c r="C184" s="297"/>
      <c r="D184" s="132"/>
      <c r="E184" s="132"/>
      <c r="F184" s="246"/>
      <c r="G184" s="295" t="s">
        <v>894</v>
      </c>
      <c r="H184" s="52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ht="12.75" customHeight="1">
      <c r="A185" s="200" t="s">
        <v>895</v>
      </c>
      <c r="B185" s="198" t="s">
        <v>896</v>
      </c>
      <c r="C185" s="297"/>
      <c r="D185" s="132"/>
      <c r="E185" s="132"/>
      <c r="F185" s="246"/>
      <c r="G185" s="295" t="s">
        <v>897</v>
      </c>
      <c r="H185" s="52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ht="12.75" customHeight="1">
      <c r="A186" s="200" t="s">
        <v>898</v>
      </c>
      <c r="B186" s="134"/>
      <c r="C186" s="297"/>
      <c r="D186" s="132"/>
      <c r="E186" s="132"/>
      <c r="F186" s="246"/>
      <c r="G186" s="316" t="s">
        <v>899</v>
      </c>
      <c r="H186" s="52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ht="12.75" customHeight="1">
      <c r="A187" s="128"/>
      <c r="B187" s="134"/>
      <c r="C187" s="297"/>
      <c r="D187" s="132"/>
      <c r="E187" s="132"/>
      <c r="F187" s="246"/>
      <c r="G187" s="295"/>
      <c r="H187" s="52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ht="12.75" customHeight="1">
      <c r="A188" s="128" t="s">
        <v>316</v>
      </c>
      <c r="B188" s="134"/>
      <c r="C188" s="297"/>
      <c r="D188" s="132"/>
      <c r="E188" s="132"/>
      <c r="F188" s="132"/>
      <c r="G188" s="295"/>
      <c r="H188" s="52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ht="18.75" customHeight="1">
      <c r="A189" s="142"/>
      <c r="B189" s="143"/>
      <c r="C189" s="355">
        <f t="shared" ref="C189:F189" si="19">SUM(C180:C188)</f>
        <v>3745</v>
      </c>
      <c r="D189" s="146">
        <f t="shared" si="19"/>
        <v>97283.05</v>
      </c>
      <c r="E189" s="146">
        <f t="shared" si="19"/>
        <v>100402.64</v>
      </c>
      <c r="F189" s="146">
        <f t="shared" si="19"/>
        <v>102277.64</v>
      </c>
      <c r="G189" s="307"/>
      <c r="H189" s="52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ht="44.25" customHeight="1">
      <c r="A190" s="179" t="s">
        <v>900</v>
      </c>
      <c r="B190" s="149"/>
      <c r="C190" s="112" t="s">
        <v>299</v>
      </c>
      <c r="D190" s="113" t="s">
        <v>9</v>
      </c>
      <c r="E190" s="284" t="s">
        <v>635</v>
      </c>
      <c r="F190" s="309" t="s">
        <v>636</v>
      </c>
      <c r="G190" s="311" t="s">
        <v>11</v>
      </c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ht="12.75" customHeight="1">
      <c r="A191" s="194" t="s">
        <v>440</v>
      </c>
      <c r="B191" s="195"/>
      <c r="C191" s="287"/>
      <c r="D191" s="390"/>
      <c r="E191" s="183"/>
      <c r="F191" s="289"/>
      <c r="G191" s="290" t="s">
        <v>901</v>
      </c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ht="12.75" customHeight="1">
      <c r="A192" s="122" t="s">
        <v>303</v>
      </c>
      <c r="B192" s="123" t="s">
        <v>304</v>
      </c>
      <c r="C192" s="292"/>
      <c r="D192" s="391"/>
      <c r="E192" s="186"/>
      <c r="F192" s="294"/>
      <c r="G192" s="300" t="s">
        <v>902</v>
      </c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ht="12.75" customHeight="1">
      <c r="A193" s="200" t="s">
        <v>308</v>
      </c>
      <c r="B193" s="201" t="s">
        <v>309</v>
      </c>
      <c r="C193" s="297">
        <v>1645.0</v>
      </c>
      <c r="D193" s="392">
        <v>42645.24</v>
      </c>
      <c r="E193" s="246">
        <v>43837.65</v>
      </c>
      <c r="F193" s="299">
        <v>44662.65</v>
      </c>
      <c r="G193" s="300" t="s">
        <v>715</v>
      </c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ht="12.75" customHeight="1">
      <c r="A194" s="200"/>
      <c r="B194" s="202"/>
      <c r="C194" s="297"/>
      <c r="D194" s="392"/>
      <c r="E194" s="132"/>
      <c r="F194" s="299"/>
      <c r="G194" s="300" t="s">
        <v>903</v>
      </c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ht="12.75" customHeight="1">
      <c r="A195" s="200" t="s">
        <v>904</v>
      </c>
      <c r="B195" s="198" t="s">
        <v>905</v>
      </c>
      <c r="C195" s="297"/>
      <c r="D195" s="392"/>
      <c r="E195" s="132"/>
      <c r="F195" s="299"/>
      <c r="G195" s="295" t="s">
        <v>906</v>
      </c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ht="12.75" customHeight="1">
      <c r="A196" s="200" t="s">
        <v>907</v>
      </c>
      <c r="B196" s="198" t="s">
        <v>908</v>
      </c>
      <c r="C196" s="297"/>
      <c r="D196" s="392"/>
      <c r="E196" s="132"/>
      <c r="F196" s="299"/>
      <c r="G196" s="295" t="s">
        <v>909</v>
      </c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ht="15.0" customHeight="1">
      <c r="A197" s="128"/>
      <c r="B197" s="123"/>
      <c r="C197" s="297"/>
      <c r="D197" s="392"/>
      <c r="E197" s="132"/>
      <c r="F197" s="299"/>
      <c r="G197" s="316" t="s">
        <v>910</v>
      </c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ht="15.0" customHeight="1">
      <c r="A198" s="128" t="s">
        <v>316</v>
      </c>
      <c r="B198" s="123"/>
      <c r="C198" s="297"/>
      <c r="D198" s="392"/>
      <c r="E198" s="132"/>
      <c r="F198" s="299"/>
      <c r="G198" s="316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ht="18.75" customHeight="1">
      <c r="A199" s="142"/>
      <c r="B199" s="143"/>
      <c r="C199" s="361">
        <f t="shared" ref="C199:F199" si="20">SUM(C191:C198)</f>
        <v>1645</v>
      </c>
      <c r="D199" s="393">
        <f t="shared" si="20"/>
        <v>42645.24</v>
      </c>
      <c r="E199" s="146">
        <f t="shared" si="20"/>
        <v>43837.65</v>
      </c>
      <c r="F199" s="146">
        <f t="shared" si="20"/>
        <v>44662.65</v>
      </c>
      <c r="G199" s="39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ht="18.75" customHeight="1">
      <c r="A200" s="203"/>
      <c r="B200" s="143"/>
      <c r="C200" s="144"/>
      <c r="D200" s="145"/>
      <c r="E200" s="146"/>
      <c r="F200" s="146"/>
      <c r="G200" s="147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ht="18.0" customHeight="1">
      <c r="A201" s="266"/>
      <c r="B201" s="267"/>
      <c r="C201" s="268" t="s">
        <v>292</v>
      </c>
      <c r="D201" s="269" t="s">
        <v>292</v>
      </c>
      <c r="E201" s="270" t="s">
        <v>292</v>
      </c>
      <c r="F201" s="270" t="s">
        <v>292</v>
      </c>
      <c r="G201" s="271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ht="18.75" customHeight="1">
      <c r="A202" s="272"/>
      <c r="B202" s="273"/>
      <c r="C202" s="274">
        <f t="shared" ref="C202:F202" si="21">SUM(C21+C31+C41+C51+C60+C70+C79+C91+C100+C111+C128+C140+C149+C160+C169+C178+C189+C199)</f>
        <v>56649</v>
      </c>
      <c r="D202" s="98">
        <f t="shared" si="21"/>
        <v>1463532.74</v>
      </c>
      <c r="E202" s="98">
        <f t="shared" si="21"/>
        <v>1509005.8</v>
      </c>
      <c r="F202" s="98">
        <f t="shared" si="21"/>
        <v>1537356.8</v>
      </c>
      <c r="G202" s="277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ht="12.75" customHeight="1">
      <c r="A203" s="4"/>
      <c r="B203" s="101"/>
      <c r="C203" s="4"/>
      <c r="D203" s="102"/>
      <c r="E203" s="103"/>
      <c r="F203" s="103"/>
      <c r="G203" s="10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ht="12.75" customHeight="1">
      <c r="A204" s="4"/>
      <c r="B204" s="101"/>
      <c r="C204" s="4"/>
      <c r="D204" s="102"/>
      <c r="E204" s="103"/>
      <c r="F204" s="103"/>
      <c r="G204" s="10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ht="12.75" customHeight="1">
      <c r="A205" s="4"/>
      <c r="B205" s="101"/>
      <c r="C205" s="4"/>
      <c r="D205" s="102"/>
      <c r="E205" s="103"/>
      <c r="F205" s="103"/>
      <c r="G205" s="10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ht="12.75" customHeight="1">
      <c r="A206" s="4"/>
      <c r="B206" s="101"/>
      <c r="C206" s="4"/>
      <c r="D206" s="102"/>
      <c r="E206" s="103"/>
      <c r="F206" s="103"/>
      <c r="G206" s="10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ht="12.75" customHeight="1">
      <c r="A207" s="4"/>
      <c r="B207" s="101"/>
      <c r="C207" s="4"/>
      <c r="D207" s="102"/>
      <c r="E207" s="103"/>
      <c r="F207" s="103"/>
      <c r="G207" s="10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ht="12.75" customHeight="1">
      <c r="A208" s="4"/>
      <c r="B208" s="101"/>
      <c r="C208" s="4"/>
      <c r="D208" s="102"/>
      <c r="E208" s="103"/>
      <c r="F208" s="103"/>
      <c r="G208" s="10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ht="12.75" customHeight="1">
      <c r="A209" s="4"/>
      <c r="B209" s="101"/>
      <c r="C209" s="4"/>
      <c r="D209" s="102"/>
      <c r="E209" s="103"/>
      <c r="F209" s="103"/>
      <c r="G209" s="10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ht="12.75" customHeight="1">
      <c r="A210" s="4"/>
      <c r="B210" s="101"/>
      <c r="C210" s="4"/>
      <c r="D210" s="102"/>
      <c r="E210" s="103"/>
      <c r="F210" s="103"/>
      <c r="G210" s="10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ht="12.75" customHeight="1">
      <c r="A211" s="4"/>
      <c r="B211" s="101"/>
      <c r="C211" s="4"/>
      <c r="D211" s="102"/>
      <c r="E211" s="103"/>
      <c r="F211" s="103"/>
      <c r="G211" s="10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ht="12.75" customHeight="1">
      <c r="A212" s="4"/>
      <c r="B212" s="101"/>
      <c r="C212" s="4"/>
      <c r="D212" s="102"/>
      <c r="E212" s="103"/>
      <c r="F212" s="103"/>
      <c r="G212" s="10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ht="12.75" customHeight="1">
      <c r="A213" s="4"/>
      <c r="B213" s="101"/>
      <c r="C213" s="4"/>
      <c r="D213" s="102"/>
      <c r="E213" s="103"/>
      <c r="F213" s="103"/>
      <c r="G213" s="10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ht="12.75" customHeight="1">
      <c r="A214" s="4"/>
      <c r="B214" s="101"/>
      <c r="C214" s="4"/>
      <c r="D214" s="102"/>
      <c r="E214" s="103"/>
      <c r="F214" s="103"/>
      <c r="G214" s="10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ht="12.75" customHeight="1">
      <c r="A215" s="4"/>
      <c r="B215" s="101"/>
      <c r="C215" s="4"/>
      <c r="D215" s="102"/>
      <c r="E215" s="103"/>
      <c r="F215" s="103"/>
      <c r="G215" s="10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ht="12.75" customHeight="1">
      <c r="A216" s="4"/>
      <c r="B216" s="101"/>
      <c r="C216" s="4"/>
      <c r="D216" s="102"/>
      <c r="E216" s="103"/>
      <c r="F216" s="103"/>
      <c r="G216" s="10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ht="12.75" customHeight="1">
      <c r="A217" s="4"/>
      <c r="B217" s="101"/>
      <c r="C217" s="4"/>
      <c r="D217" s="102"/>
      <c r="E217" s="103"/>
      <c r="F217" s="103"/>
      <c r="G217" s="10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ht="12.75" customHeight="1">
      <c r="A218" s="4"/>
      <c r="B218" s="101"/>
      <c r="C218" s="4"/>
      <c r="D218" s="102"/>
      <c r="E218" s="103"/>
      <c r="F218" s="103"/>
      <c r="G218" s="10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ht="12.75" customHeight="1">
      <c r="A219" s="4"/>
      <c r="B219" s="101"/>
      <c r="C219" s="4"/>
      <c r="D219" s="102"/>
      <c r="E219" s="103"/>
      <c r="F219" s="103"/>
      <c r="G219" s="10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ht="12.75" customHeight="1">
      <c r="A220" s="4"/>
      <c r="B220" s="101"/>
      <c r="C220" s="4"/>
      <c r="D220" s="102"/>
      <c r="E220" s="103"/>
      <c r="F220" s="103"/>
      <c r="G220" s="10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ht="12.75" customHeight="1">
      <c r="A221" s="4"/>
      <c r="B221" s="101"/>
      <c r="C221" s="4"/>
      <c r="D221" s="102"/>
      <c r="E221" s="103"/>
      <c r="F221" s="103"/>
      <c r="G221" s="10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ht="12.75" customHeight="1">
      <c r="A222" s="4"/>
      <c r="B222" s="101"/>
      <c r="C222" s="4"/>
      <c r="D222" s="102"/>
      <c r="E222" s="103"/>
      <c r="F222" s="103"/>
      <c r="G222" s="10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ht="12.75" customHeight="1">
      <c r="A223" s="4"/>
      <c r="B223" s="101"/>
      <c r="C223" s="4"/>
      <c r="D223" s="102"/>
      <c r="E223" s="103"/>
      <c r="F223" s="103"/>
      <c r="G223" s="10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ht="12.75" customHeight="1">
      <c r="A224" s="4"/>
      <c r="B224" s="101"/>
      <c r="C224" s="4"/>
      <c r="D224" s="102"/>
      <c r="E224" s="103"/>
      <c r="F224" s="103"/>
      <c r="G224" s="10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ht="12.75" customHeight="1">
      <c r="A225" s="4"/>
      <c r="B225" s="101"/>
      <c r="C225" s="4"/>
      <c r="D225" s="102"/>
      <c r="E225" s="103"/>
      <c r="F225" s="103"/>
      <c r="G225" s="10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ht="12.75" customHeight="1">
      <c r="A226" s="4"/>
      <c r="B226" s="101"/>
      <c r="C226" s="4"/>
      <c r="D226" s="102"/>
      <c r="E226" s="103"/>
      <c r="F226" s="103"/>
      <c r="G226" s="10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ht="12.75" customHeight="1">
      <c r="A227" s="4"/>
      <c r="B227" s="101"/>
      <c r="C227" s="4"/>
      <c r="D227" s="102"/>
      <c r="E227" s="103"/>
      <c r="F227" s="103"/>
      <c r="G227" s="10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ht="12.75" customHeight="1">
      <c r="A228" s="4"/>
      <c r="B228" s="101"/>
      <c r="C228" s="4"/>
      <c r="D228" s="102"/>
      <c r="E228" s="103"/>
      <c r="F228" s="103"/>
      <c r="G228" s="10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ht="12.75" customHeight="1">
      <c r="A229" s="4"/>
      <c r="B229" s="101"/>
      <c r="C229" s="4"/>
      <c r="D229" s="102"/>
      <c r="E229" s="103"/>
      <c r="F229" s="103"/>
      <c r="G229" s="10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ht="12.75" customHeight="1">
      <c r="A230" s="4"/>
      <c r="B230" s="101"/>
      <c r="C230" s="4"/>
      <c r="D230" s="102"/>
      <c r="E230" s="103"/>
      <c r="F230" s="103"/>
      <c r="G230" s="10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ht="12.75" customHeight="1">
      <c r="A231" s="4"/>
      <c r="B231" s="101"/>
      <c r="C231" s="4"/>
      <c r="D231" s="102"/>
      <c r="E231" s="103"/>
      <c r="F231" s="103"/>
      <c r="G231" s="10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ht="12.75" customHeight="1">
      <c r="A232" s="4"/>
      <c r="B232" s="101"/>
      <c r="C232" s="4"/>
      <c r="D232" s="102"/>
      <c r="E232" s="103"/>
      <c r="F232" s="103"/>
      <c r="G232" s="10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ht="12.75" customHeight="1">
      <c r="A233" s="4"/>
      <c r="B233" s="101"/>
      <c r="C233" s="4"/>
      <c r="D233" s="102"/>
      <c r="E233" s="103"/>
      <c r="F233" s="103"/>
      <c r="G233" s="10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ht="12.75" customHeight="1">
      <c r="A234" s="4"/>
      <c r="B234" s="101"/>
      <c r="C234" s="4"/>
      <c r="D234" s="102"/>
      <c r="E234" s="103"/>
      <c r="F234" s="103"/>
      <c r="G234" s="10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ht="12.75" customHeight="1">
      <c r="A235" s="4"/>
      <c r="B235" s="101"/>
      <c r="C235" s="4"/>
      <c r="D235" s="102"/>
      <c r="E235" s="103"/>
      <c r="F235" s="103"/>
      <c r="G235" s="10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ht="12.75" customHeight="1">
      <c r="A236" s="4"/>
      <c r="B236" s="101"/>
      <c r="C236" s="4"/>
      <c r="D236" s="102"/>
      <c r="E236" s="103"/>
      <c r="F236" s="103"/>
      <c r="G236" s="10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ht="12.75" customHeight="1">
      <c r="A237" s="4"/>
      <c r="B237" s="101"/>
      <c r="C237" s="4"/>
      <c r="D237" s="102"/>
      <c r="E237" s="103"/>
      <c r="F237" s="103"/>
      <c r="G237" s="10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ht="12.75" customHeight="1">
      <c r="A238" s="4"/>
      <c r="B238" s="101"/>
      <c r="C238" s="4"/>
      <c r="D238" s="102"/>
      <c r="E238" s="103"/>
      <c r="F238" s="103"/>
      <c r="G238" s="10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ht="12.75" customHeight="1">
      <c r="A239" s="4"/>
      <c r="B239" s="101"/>
      <c r="C239" s="4"/>
      <c r="D239" s="102"/>
      <c r="E239" s="103"/>
      <c r="F239" s="103"/>
      <c r="G239" s="10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ht="12.75" customHeight="1">
      <c r="A240" s="4"/>
      <c r="B240" s="101"/>
      <c r="C240" s="4"/>
      <c r="D240" s="102"/>
      <c r="E240" s="103"/>
      <c r="F240" s="103"/>
      <c r="G240" s="10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ht="12.75" customHeight="1">
      <c r="A241" s="4"/>
      <c r="B241" s="101"/>
      <c r="C241" s="4"/>
      <c r="D241" s="102"/>
      <c r="E241" s="103"/>
      <c r="F241" s="103"/>
      <c r="G241" s="10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ht="12.75" customHeight="1">
      <c r="A242" s="4"/>
      <c r="B242" s="101"/>
      <c r="C242" s="4"/>
      <c r="D242" s="102"/>
      <c r="E242" s="103"/>
      <c r="F242" s="103"/>
      <c r="G242" s="10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ht="12.75" customHeight="1">
      <c r="A243" s="4"/>
      <c r="B243" s="101"/>
      <c r="C243" s="4"/>
      <c r="D243" s="102"/>
      <c r="E243" s="103"/>
      <c r="F243" s="103"/>
      <c r="G243" s="10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ht="12.75" customHeight="1">
      <c r="A244" s="4"/>
      <c r="B244" s="101"/>
      <c r="C244" s="4"/>
      <c r="D244" s="102"/>
      <c r="E244" s="103"/>
      <c r="F244" s="103"/>
      <c r="G244" s="10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ht="12.75" customHeight="1">
      <c r="A245" s="4"/>
      <c r="B245" s="101"/>
      <c r="C245" s="4"/>
      <c r="D245" s="102"/>
      <c r="E245" s="103"/>
      <c r="F245" s="103"/>
      <c r="G245" s="10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ht="12.75" customHeight="1">
      <c r="A246" s="4"/>
      <c r="B246" s="101"/>
      <c r="C246" s="4"/>
      <c r="D246" s="102"/>
      <c r="E246" s="103"/>
      <c r="F246" s="103"/>
      <c r="G246" s="10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ht="12.75" customHeight="1">
      <c r="A247" s="4"/>
      <c r="B247" s="101"/>
      <c r="C247" s="4"/>
      <c r="D247" s="102"/>
      <c r="E247" s="103"/>
      <c r="F247" s="103"/>
      <c r="G247" s="10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ht="12.75" customHeight="1">
      <c r="A248" s="4"/>
      <c r="B248" s="101"/>
      <c r="C248" s="4"/>
      <c r="D248" s="102"/>
      <c r="E248" s="103"/>
      <c r="F248" s="103"/>
      <c r="G248" s="10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ht="12.75" customHeight="1">
      <c r="A249" s="4"/>
      <c r="B249" s="101"/>
      <c r="C249" s="4"/>
      <c r="D249" s="102"/>
      <c r="E249" s="103"/>
      <c r="F249" s="103"/>
      <c r="G249" s="10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ht="12.75" customHeight="1">
      <c r="A250" s="4"/>
      <c r="B250" s="101"/>
      <c r="C250" s="4"/>
      <c r="D250" s="102"/>
      <c r="E250" s="103"/>
      <c r="F250" s="103"/>
      <c r="G250" s="10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ht="12.75" customHeight="1">
      <c r="A251" s="4"/>
      <c r="B251" s="101"/>
      <c r="C251" s="4"/>
      <c r="D251" s="102"/>
      <c r="E251" s="103"/>
      <c r="F251" s="103"/>
      <c r="G251" s="10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ht="12.75" customHeight="1">
      <c r="A252" s="4"/>
      <c r="B252" s="101"/>
      <c r="C252" s="4"/>
      <c r="D252" s="102"/>
      <c r="E252" s="103"/>
      <c r="F252" s="103"/>
      <c r="G252" s="10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ht="12.75" customHeight="1">
      <c r="A253" s="4"/>
      <c r="B253" s="101"/>
      <c r="C253" s="4"/>
      <c r="D253" s="102"/>
      <c r="E253" s="103"/>
      <c r="F253" s="103"/>
      <c r="G253" s="10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ht="12.75" customHeight="1">
      <c r="A254" s="4"/>
      <c r="B254" s="101"/>
      <c r="C254" s="4"/>
      <c r="D254" s="102"/>
      <c r="E254" s="103"/>
      <c r="F254" s="103"/>
      <c r="G254" s="10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ht="12.75" customHeight="1">
      <c r="A255" s="4"/>
      <c r="B255" s="101"/>
      <c r="C255" s="4"/>
      <c r="D255" s="102"/>
      <c r="E255" s="103"/>
      <c r="F255" s="103"/>
      <c r="G255" s="10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ht="12.75" customHeight="1">
      <c r="A256" s="4"/>
      <c r="B256" s="101"/>
      <c r="C256" s="4"/>
      <c r="D256" s="102"/>
      <c r="E256" s="103"/>
      <c r="F256" s="103"/>
      <c r="G256" s="10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ht="12.75" customHeight="1">
      <c r="A257" s="4"/>
      <c r="B257" s="101"/>
      <c r="C257" s="4"/>
      <c r="D257" s="102"/>
      <c r="E257" s="103"/>
      <c r="F257" s="103"/>
      <c r="G257" s="10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ht="12.75" customHeight="1">
      <c r="A258" s="4"/>
      <c r="B258" s="101"/>
      <c r="C258" s="4"/>
      <c r="D258" s="102"/>
      <c r="E258" s="103"/>
      <c r="F258" s="103"/>
      <c r="G258" s="10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ht="12.75" customHeight="1">
      <c r="A259" s="4"/>
      <c r="B259" s="101"/>
      <c r="C259" s="4"/>
      <c r="D259" s="102"/>
      <c r="E259" s="103"/>
      <c r="F259" s="103"/>
      <c r="G259" s="10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ht="12.75" customHeight="1">
      <c r="A260" s="4"/>
      <c r="B260" s="101"/>
      <c r="C260" s="4"/>
      <c r="D260" s="102"/>
      <c r="E260" s="103"/>
      <c r="F260" s="103"/>
      <c r="G260" s="10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ht="12.75" customHeight="1">
      <c r="A261" s="4"/>
      <c r="B261" s="101"/>
      <c r="C261" s="4"/>
      <c r="D261" s="102"/>
      <c r="E261" s="103"/>
      <c r="F261" s="103"/>
      <c r="G261" s="10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ht="12.75" customHeight="1">
      <c r="A262" s="4"/>
      <c r="B262" s="101"/>
      <c r="C262" s="4"/>
      <c r="D262" s="102"/>
      <c r="E262" s="103"/>
      <c r="F262" s="103"/>
      <c r="G262" s="10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ht="12.75" customHeight="1">
      <c r="A263" s="4"/>
      <c r="B263" s="101"/>
      <c r="C263" s="4"/>
      <c r="D263" s="102"/>
      <c r="E263" s="103"/>
      <c r="F263" s="103"/>
      <c r="G263" s="10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ht="12.75" customHeight="1">
      <c r="A264" s="4"/>
      <c r="B264" s="101"/>
      <c r="C264" s="4"/>
      <c r="D264" s="102"/>
      <c r="E264" s="103"/>
      <c r="F264" s="103"/>
      <c r="G264" s="10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ht="12.75" customHeight="1">
      <c r="A265" s="4"/>
      <c r="B265" s="101"/>
      <c r="C265" s="4"/>
      <c r="D265" s="102"/>
      <c r="E265" s="103"/>
      <c r="F265" s="103"/>
      <c r="G265" s="10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ht="12.75" customHeight="1">
      <c r="A266" s="4"/>
      <c r="B266" s="101"/>
      <c r="C266" s="4"/>
      <c r="D266" s="102"/>
      <c r="E266" s="103"/>
      <c r="F266" s="103"/>
      <c r="G266" s="10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ht="12.75" customHeight="1">
      <c r="A267" s="4"/>
      <c r="B267" s="101"/>
      <c r="C267" s="4"/>
      <c r="D267" s="102"/>
      <c r="E267" s="103"/>
      <c r="F267" s="103"/>
      <c r="G267" s="10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ht="12.75" customHeight="1">
      <c r="A268" s="4"/>
      <c r="B268" s="101"/>
      <c r="C268" s="4"/>
      <c r="D268" s="102"/>
      <c r="E268" s="103"/>
      <c r="F268" s="103"/>
      <c r="G268" s="10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ht="12.75" customHeight="1">
      <c r="A269" s="4"/>
      <c r="B269" s="101"/>
      <c r="C269" s="4"/>
      <c r="D269" s="102"/>
      <c r="E269" s="103"/>
      <c r="F269" s="103"/>
      <c r="G269" s="10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ht="12.75" customHeight="1">
      <c r="A270" s="4"/>
      <c r="B270" s="101"/>
      <c r="C270" s="4"/>
      <c r="D270" s="102"/>
      <c r="E270" s="103"/>
      <c r="F270" s="103"/>
      <c r="G270" s="10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ht="12.75" customHeight="1">
      <c r="A271" s="4"/>
      <c r="B271" s="101"/>
      <c r="C271" s="4"/>
      <c r="D271" s="102"/>
      <c r="E271" s="103"/>
      <c r="F271" s="103"/>
      <c r="G271" s="10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ht="12.75" customHeight="1">
      <c r="A272" s="4"/>
      <c r="B272" s="101"/>
      <c r="C272" s="4"/>
      <c r="D272" s="102"/>
      <c r="E272" s="103"/>
      <c r="F272" s="103"/>
      <c r="G272" s="10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ht="12.75" customHeight="1">
      <c r="A273" s="4"/>
      <c r="B273" s="101"/>
      <c r="C273" s="4"/>
      <c r="D273" s="102"/>
      <c r="E273" s="103"/>
      <c r="F273" s="103"/>
      <c r="G273" s="10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ht="12.75" customHeight="1">
      <c r="A274" s="4"/>
      <c r="B274" s="101"/>
      <c r="C274" s="4"/>
      <c r="D274" s="102"/>
      <c r="E274" s="103"/>
      <c r="F274" s="103"/>
      <c r="G274" s="10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ht="12.75" customHeight="1">
      <c r="A275" s="4"/>
      <c r="B275" s="101"/>
      <c r="C275" s="4"/>
      <c r="D275" s="102"/>
      <c r="E275" s="103"/>
      <c r="F275" s="103"/>
      <c r="G275" s="10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ht="12.75" customHeight="1">
      <c r="A276" s="4"/>
      <c r="B276" s="101"/>
      <c r="C276" s="4"/>
      <c r="D276" s="102"/>
      <c r="E276" s="103"/>
      <c r="F276" s="103"/>
      <c r="G276" s="10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ht="12.75" customHeight="1">
      <c r="A277" s="4"/>
      <c r="B277" s="101"/>
      <c r="C277" s="4"/>
      <c r="D277" s="102"/>
      <c r="E277" s="103"/>
      <c r="F277" s="103"/>
      <c r="G277" s="10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ht="12.75" customHeight="1">
      <c r="A278" s="4"/>
      <c r="B278" s="101"/>
      <c r="C278" s="4"/>
      <c r="D278" s="102"/>
      <c r="E278" s="103"/>
      <c r="F278" s="103"/>
      <c r="G278" s="10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ht="12.75" customHeight="1">
      <c r="A279" s="4"/>
      <c r="B279" s="101"/>
      <c r="C279" s="4"/>
      <c r="D279" s="102"/>
      <c r="E279" s="103"/>
      <c r="F279" s="103"/>
      <c r="G279" s="10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ht="12.75" customHeight="1">
      <c r="A280" s="4"/>
      <c r="B280" s="101"/>
      <c r="C280" s="4"/>
      <c r="D280" s="102"/>
      <c r="E280" s="103"/>
      <c r="F280" s="103"/>
      <c r="G280" s="10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ht="12.75" customHeight="1">
      <c r="A281" s="4"/>
      <c r="B281" s="101"/>
      <c r="C281" s="4"/>
      <c r="D281" s="102"/>
      <c r="E281" s="103"/>
      <c r="F281" s="103"/>
      <c r="G281" s="10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ht="12.75" customHeight="1">
      <c r="A282" s="4"/>
      <c r="B282" s="101"/>
      <c r="C282" s="4"/>
      <c r="D282" s="102"/>
      <c r="E282" s="103"/>
      <c r="F282" s="103"/>
      <c r="G282" s="10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ht="12.75" customHeight="1">
      <c r="A283" s="4"/>
      <c r="B283" s="101"/>
      <c r="C283" s="4"/>
      <c r="D283" s="102"/>
      <c r="E283" s="103"/>
      <c r="F283" s="103"/>
      <c r="G283" s="10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ht="12.75" customHeight="1">
      <c r="A284" s="4"/>
      <c r="B284" s="101"/>
      <c r="C284" s="4"/>
      <c r="D284" s="102"/>
      <c r="E284" s="103"/>
      <c r="F284" s="103"/>
      <c r="G284" s="10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ht="12.75" customHeight="1">
      <c r="A285" s="4"/>
      <c r="B285" s="101"/>
      <c r="C285" s="4"/>
      <c r="D285" s="102"/>
      <c r="E285" s="103"/>
      <c r="F285" s="103"/>
      <c r="G285" s="10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ht="12.75" customHeight="1">
      <c r="A286" s="4"/>
      <c r="B286" s="101"/>
      <c r="C286" s="4"/>
      <c r="D286" s="102"/>
      <c r="E286" s="103"/>
      <c r="F286" s="103"/>
      <c r="G286" s="10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ht="12.75" customHeight="1">
      <c r="A287" s="4"/>
      <c r="B287" s="101"/>
      <c r="C287" s="4"/>
      <c r="D287" s="102"/>
      <c r="E287" s="103"/>
      <c r="F287" s="103"/>
      <c r="G287" s="10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ht="12.75" customHeight="1">
      <c r="A288" s="4"/>
      <c r="B288" s="101"/>
      <c r="C288" s="4"/>
      <c r="D288" s="102"/>
      <c r="E288" s="103"/>
      <c r="F288" s="103"/>
      <c r="G288" s="10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ht="12.75" customHeight="1">
      <c r="A289" s="4"/>
      <c r="B289" s="101"/>
      <c r="C289" s="4"/>
      <c r="D289" s="102"/>
      <c r="E289" s="103"/>
      <c r="F289" s="103"/>
      <c r="G289" s="10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 ht="12.75" customHeight="1">
      <c r="A290" s="4"/>
      <c r="B290" s="101"/>
      <c r="C290" s="4"/>
      <c r="D290" s="102"/>
      <c r="E290" s="103"/>
      <c r="F290" s="103"/>
      <c r="G290" s="10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 ht="12.75" customHeight="1">
      <c r="A291" s="4"/>
      <c r="B291" s="101"/>
      <c r="C291" s="4"/>
      <c r="D291" s="102"/>
      <c r="E291" s="103"/>
      <c r="F291" s="103"/>
      <c r="G291" s="10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 ht="12.75" customHeight="1">
      <c r="A292" s="4"/>
      <c r="B292" s="101"/>
      <c r="C292" s="4"/>
      <c r="D292" s="102"/>
      <c r="E292" s="103"/>
      <c r="F292" s="103"/>
      <c r="G292" s="10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 ht="12.75" customHeight="1">
      <c r="A293" s="4"/>
      <c r="B293" s="101"/>
      <c r="C293" s="4"/>
      <c r="D293" s="102"/>
      <c r="E293" s="103"/>
      <c r="F293" s="103"/>
      <c r="G293" s="10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ht="12.75" customHeight="1">
      <c r="A294" s="4"/>
      <c r="B294" s="101"/>
      <c r="C294" s="4"/>
      <c r="D294" s="102"/>
      <c r="E294" s="103"/>
      <c r="F294" s="103"/>
      <c r="G294" s="10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ht="12.75" customHeight="1">
      <c r="A295" s="4"/>
      <c r="B295" s="101"/>
      <c r="C295" s="4"/>
      <c r="D295" s="102"/>
      <c r="E295" s="103"/>
      <c r="F295" s="103"/>
      <c r="G295" s="10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ht="12.75" customHeight="1">
      <c r="A296" s="4"/>
      <c r="B296" s="101"/>
      <c r="C296" s="4"/>
      <c r="D296" s="102"/>
      <c r="E296" s="103"/>
      <c r="F296" s="103"/>
      <c r="G296" s="10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ht="12.75" customHeight="1">
      <c r="A297" s="4"/>
      <c r="B297" s="101"/>
      <c r="C297" s="4"/>
      <c r="D297" s="102"/>
      <c r="E297" s="103"/>
      <c r="F297" s="103"/>
      <c r="G297" s="10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 ht="12.75" customHeight="1">
      <c r="A298" s="4"/>
      <c r="B298" s="101"/>
      <c r="C298" s="4"/>
      <c r="D298" s="102"/>
      <c r="E298" s="103"/>
      <c r="F298" s="103"/>
      <c r="G298" s="10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 ht="12.75" customHeight="1">
      <c r="A299" s="4"/>
      <c r="B299" s="101"/>
      <c r="C299" s="4"/>
      <c r="D299" s="102"/>
      <c r="E299" s="103"/>
      <c r="F299" s="103"/>
      <c r="G299" s="10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 ht="12.75" customHeight="1">
      <c r="A300" s="4"/>
      <c r="B300" s="101"/>
      <c r="C300" s="4"/>
      <c r="D300" s="102"/>
      <c r="E300" s="103"/>
      <c r="F300" s="103"/>
      <c r="G300" s="10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ht="12.75" customHeight="1">
      <c r="A301" s="4"/>
      <c r="B301" s="101"/>
      <c r="C301" s="4"/>
      <c r="D301" s="102"/>
      <c r="E301" s="103"/>
      <c r="F301" s="103"/>
      <c r="G301" s="10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 ht="12.75" customHeight="1">
      <c r="A302" s="4"/>
      <c r="B302" s="101"/>
      <c r="C302" s="4"/>
      <c r="D302" s="102"/>
      <c r="E302" s="103"/>
      <c r="F302" s="103"/>
      <c r="G302" s="10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ht="12.75" customHeight="1">
      <c r="A303" s="4"/>
      <c r="B303" s="101"/>
      <c r="C303" s="4"/>
      <c r="D303" s="102"/>
      <c r="E303" s="103"/>
      <c r="F303" s="103"/>
      <c r="G303" s="10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ht="12.75" customHeight="1">
      <c r="A304" s="4"/>
      <c r="B304" s="101"/>
      <c r="C304" s="4"/>
      <c r="D304" s="102"/>
      <c r="E304" s="103"/>
      <c r="F304" s="103"/>
      <c r="G304" s="10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ht="12.75" customHeight="1">
      <c r="A305" s="4"/>
      <c r="B305" s="101"/>
      <c r="C305" s="4"/>
      <c r="D305" s="102"/>
      <c r="E305" s="103"/>
      <c r="F305" s="103"/>
      <c r="G305" s="10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ht="12.75" customHeight="1">
      <c r="A306" s="4"/>
      <c r="B306" s="101"/>
      <c r="C306" s="4"/>
      <c r="D306" s="102"/>
      <c r="E306" s="103"/>
      <c r="F306" s="103"/>
      <c r="G306" s="10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ht="12.75" customHeight="1">
      <c r="A307" s="4"/>
      <c r="B307" s="101"/>
      <c r="C307" s="4"/>
      <c r="D307" s="102"/>
      <c r="E307" s="103"/>
      <c r="F307" s="103"/>
      <c r="G307" s="10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 ht="12.75" customHeight="1">
      <c r="A308" s="4"/>
      <c r="B308" s="101"/>
      <c r="C308" s="4"/>
      <c r="D308" s="102"/>
      <c r="E308" s="103"/>
      <c r="F308" s="103"/>
      <c r="G308" s="10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ht="12.75" customHeight="1">
      <c r="A309" s="4"/>
      <c r="B309" s="101"/>
      <c r="C309" s="4"/>
      <c r="D309" s="102"/>
      <c r="E309" s="103"/>
      <c r="F309" s="103"/>
      <c r="G309" s="10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ht="12.75" customHeight="1">
      <c r="A310" s="4"/>
      <c r="B310" s="101"/>
      <c r="C310" s="4"/>
      <c r="D310" s="102"/>
      <c r="E310" s="103"/>
      <c r="F310" s="103"/>
      <c r="G310" s="10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ht="12.75" customHeight="1">
      <c r="A311" s="4"/>
      <c r="B311" s="101"/>
      <c r="C311" s="4"/>
      <c r="D311" s="102"/>
      <c r="E311" s="103"/>
      <c r="F311" s="103"/>
      <c r="G311" s="10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 ht="12.75" customHeight="1">
      <c r="A312" s="4"/>
      <c r="B312" s="101"/>
      <c r="C312" s="4"/>
      <c r="D312" s="102"/>
      <c r="E312" s="103"/>
      <c r="F312" s="103"/>
      <c r="G312" s="10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ht="12.75" customHeight="1">
      <c r="A313" s="4"/>
      <c r="B313" s="101"/>
      <c r="C313" s="4"/>
      <c r="D313" s="102"/>
      <c r="E313" s="103"/>
      <c r="F313" s="103"/>
      <c r="G313" s="10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ht="12.75" customHeight="1">
      <c r="A314" s="4"/>
      <c r="B314" s="101"/>
      <c r="C314" s="4"/>
      <c r="D314" s="102"/>
      <c r="E314" s="103"/>
      <c r="F314" s="103"/>
      <c r="G314" s="10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ht="12.75" customHeight="1">
      <c r="A315" s="4"/>
      <c r="B315" s="101"/>
      <c r="C315" s="4"/>
      <c r="D315" s="102"/>
      <c r="E315" s="103"/>
      <c r="F315" s="103"/>
      <c r="G315" s="10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ht="12.75" customHeight="1">
      <c r="A316" s="4"/>
      <c r="B316" s="101"/>
      <c r="C316" s="4"/>
      <c r="D316" s="102"/>
      <c r="E316" s="103"/>
      <c r="F316" s="103"/>
      <c r="G316" s="10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ht="12.75" customHeight="1">
      <c r="A317" s="4"/>
      <c r="B317" s="101"/>
      <c r="C317" s="4"/>
      <c r="D317" s="102"/>
      <c r="E317" s="103"/>
      <c r="F317" s="103"/>
      <c r="G317" s="10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ht="12.75" customHeight="1">
      <c r="A318" s="4"/>
      <c r="B318" s="101"/>
      <c r="C318" s="4"/>
      <c r="D318" s="102"/>
      <c r="E318" s="103"/>
      <c r="F318" s="103"/>
      <c r="G318" s="10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ht="12.75" customHeight="1">
      <c r="A319" s="4"/>
      <c r="B319" s="101"/>
      <c r="C319" s="4"/>
      <c r="D319" s="102"/>
      <c r="E319" s="103"/>
      <c r="F319" s="103"/>
      <c r="G319" s="10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ht="12.75" customHeight="1">
      <c r="A320" s="4"/>
      <c r="B320" s="101"/>
      <c r="C320" s="4"/>
      <c r="D320" s="102"/>
      <c r="E320" s="103"/>
      <c r="F320" s="103"/>
      <c r="G320" s="10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ht="12.75" customHeight="1">
      <c r="A321" s="4"/>
      <c r="B321" s="101"/>
      <c r="C321" s="4"/>
      <c r="D321" s="102"/>
      <c r="E321" s="103"/>
      <c r="F321" s="103"/>
      <c r="G321" s="10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ht="12.75" customHeight="1">
      <c r="A322" s="4"/>
      <c r="B322" s="101"/>
      <c r="C322" s="4"/>
      <c r="D322" s="102"/>
      <c r="E322" s="103"/>
      <c r="F322" s="103"/>
      <c r="G322" s="10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ht="12.75" customHeight="1">
      <c r="A323" s="4"/>
      <c r="B323" s="101"/>
      <c r="C323" s="4"/>
      <c r="D323" s="102"/>
      <c r="E323" s="103"/>
      <c r="F323" s="103"/>
      <c r="G323" s="10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 ht="12.75" customHeight="1">
      <c r="A324" s="4"/>
      <c r="B324" s="101"/>
      <c r="C324" s="4"/>
      <c r="D324" s="102"/>
      <c r="E324" s="103"/>
      <c r="F324" s="103"/>
      <c r="G324" s="10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ht="12.75" customHeight="1">
      <c r="A325" s="4"/>
      <c r="B325" s="101"/>
      <c r="C325" s="4"/>
      <c r="D325" s="102"/>
      <c r="E325" s="103"/>
      <c r="F325" s="103"/>
      <c r="G325" s="10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ht="12.75" customHeight="1">
      <c r="A326" s="4"/>
      <c r="B326" s="101"/>
      <c r="C326" s="4"/>
      <c r="D326" s="102"/>
      <c r="E326" s="103"/>
      <c r="F326" s="103"/>
      <c r="G326" s="10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 ht="12.75" customHeight="1">
      <c r="A327" s="4"/>
      <c r="B327" s="101"/>
      <c r="C327" s="4"/>
      <c r="D327" s="102"/>
      <c r="E327" s="103"/>
      <c r="F327" s="103"/>
      <c r="G327" s="10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 ht="12.75" customHeight="1">
      <c r="A328" s="4"/>
      <c r="B328" s="101"/>
      <c r="C328" s="4"/>
      <c r="D328" s="102"/>
      <c r="E328" s="103"/>
      <c r="F328" s="103"/>
      <c r="G328" s="10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ht="12.75" customHeight="1">
      <c r="A329" s="4"/>
      <c r="B329" s="101"/>
      <c r="C329" s="4"/>
      <c r="D329" s="102"/>
      <c r="E329" s="103"/>
      <c r="F329" s="103"/>
      <c r="G329" s="10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 ht="12.75" customHeight="1">
      <c r="A330" s="4"/>
      <c r="B330" s="101"/>
      <c r="C330" s="4"/>
      <c r="D330" s="102"/>
      <c r="E330" s="103"/>
      <c r="F330" s="103"/>
      <c r="G330" s="10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 ht="12.75" customHeight="1">
      <c r="A331" s="4"/>
      <c r="B331" s="101"/>
      <c r="C331" s="4"/>
      <c r="D331" s="102"/>
      <c r="E331" s="103"/>
      <c r="F331" s="103"/>
      <c r="G331" s="10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 ht="12.75" customHeight="1">
      <c r="A332" s="4"/>
      <c r="B332" s="101"/>
      <c r="C332" s="4"/>
      <c r="D332" s="102"/>
      <c r="E332" s="103"/>
      <c r="F332" s="103"/>
      <c r="G332" s="10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 ht="12.75" customHeight="1">
      <c r="A333" s="4"/>
      <c r="B333" s="101"/>
      <c r="C333" s="4"/>
      <c r="D333" s="102"/>
      <c r="E333" s="103"/>
      <c r="F333" s="103"/>
      <c r="G333" s="10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 ht="12.75" customHeight="1">
      <c r="A334" s="4"/>
      <c r="B334" s="101"/>
      <c r="C334" s="4"/>
      <c r="D334" s="102"/>
      <c r="E334" s="103"/>
      <c r="F334" s="103"/>
      <c r="G334" s="10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 ht="12.75" customHeight="1">
      <c r="A335" s="4"/>
      <c r="B335" s="101"/>
      <c r="C335" s="4"/>
      <c r="D335" s="102"/>
      <c r="E335" s="103"/>
      <c r="F335" s="103"/>
      <c r="G335" s="10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 ht="12.75" customHeight="1">
      <c r="A336" s="4"/>
      <c r="B336" s="101"/>
      <c r="C336" s="4"/>
      <c r="D336" s="102"/>
      <c r="E336" s="103"/>
      <c r="F336" s="103"/>
      <c r="G336" s="10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 ht="12.75" customHeight="1">
      <c r="A337" s="4"/>
      <c r="B337" s="101"/>
      <c r="C337" s="4"/>
      <c r="D337" s="102"/>
      <c r="E337" s="103"/>
      <c r="F337" s="103"/>
      <c r="G337" s="10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 ht="12.75" customHeight="1">
      <c r="A338" s="4"/>
      <c r="B338" s="101"/>
      <c r="C338" s="4"/>
      <c r="D338" s="102"/>
      <c r="E338" s="103"/>
      <c r="F338" s="103"/>
      <c r="G338" s="10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 ht="12.75" customHeight="1">
      <c r="A339" s="4"/>
      <c r="B339" s="101"/>
      <c r="C339" s="4"/>
      <c r="D339" s="102"/>
      <c r="E339" s="103"/>
      <c r="F339" s="103"/>
      <c r="G339" s="10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 ht="12.75" customHeight="1">
      <c r="A340" s="4"/>
      <c r="B340" s="101"/>
      <c r="C340" s="4"/>
      <c r="D340" s="102"/>
      <c r="E340" s="103"/>
      <c r="F340" s="103"/>
      <c r="G340" s="10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 ht="12.75" customHeight="1">
      <c r="A341" s="4"/>
      <c r="B341" s="101"/>
      <c r="C341" s="4"/>
      <c r="D341" s="102"/>
      <c r="E341" s="103"/>
      <c r="F341" s="103"/>
      <c r="G341" s="10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 ht="12.75" customHeight="1">
      <c r="A342" s="4"/>
      <c r="B342" s="101"/>
      <c r="C342" s="4"/>
      <c r="D342" s="102"/>
      <c r="E342" s="103"/>
      <c r="F342" s="103"/>
      <c r="G342" s="10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 ht="12.75" customHeight="1">
      <c r="A343" s="4"/>
      <c r="B343" s="101"/>
      <c r="C343" s="4"/>
      <c r="D343" s="102"/>
      <c r="E343" s="103"/>
      <c r="F343" s="103"/>
      <c r="G343" s="10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 ht="12.75" customHeight="1">
      <c r="A344" s="4"/>
      <c r="B344" s="101"/>
      <c r="C344" s="4"/>
      <c r="D344" s="102"/>
      <c r="E344" s="103"/>
      <c r="F344" s="103"/>
      <c r="G344" s="10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 ht="12.75" customHeight="1">
      <c r="A345" s="4"/>
      <c r="B345" s="101"/>
      <c r="C345" s="4"/>
      <c r="D345" s="102"/>
      <c r="E345" s="103"/>
      <c r="F345" s="103"/>
      <c r="G345" s="10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 ht="12.75" customHeight="1">
      <c r="A346" s="4"/>
      <c r="B346" s="101"/>
      <c r="C346" s="4"/>
      <c r="D346" s="102"/>
      <c r="E346" s="103"/>
      <c r="F346" s="103"/>
      <c r="G346" s="10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 ht="12.75" customHeight="1">
      <c r="A347" s="4"/>
      <c r="B347" s="101"/>
      <c r="C347" s="4"/>
      <c r="D347" s="102"/>
      <c r="E347" s="103"/>
      <c r="F347" s="103"/>
      <c r="G347" s="10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 ht="12.75" customHeight="1">
      <c r="A348" s="4"/>
      <c r="B348" s="101"/>
      <c r="C348" s="4"/>
      <c r="D348" s="102"/>
      <c r="E348" s="103"/>
      <c r="F348" s="103"/>
      <c r="G348" s="10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 ht="12.75" customHeight="1">
      <c r="A349" s="4"/>
      <c r="B349" s="101"/>
      <c r="C349" s="4"/>
      <c r="D349" s="102"/>
      <c r="E349" s="103"/>
      <c r="F349" s="103"/>
      <c r="G349" s="10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 ht="12.75" customHeight="1">
      <c r="A350" s="4"/>
      <c r="B350" s="101"/>
      <c r="C350" s="4"/>
      <c r="D350" s="102"/>
      <c r="E350" s="103"/>
      <c r="F350" s="103"/>
      <c r="G350" s="10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 ht="12.75" customHeight="1">
      <c r="A351" s="4"/>
      <c r="B351" s="101"/>
      <c r="C351" s="4"/>
      <c r="D351" s="102"/>
      <c r="E351" s="103"/>
      <c r="F351" s="103"/>
      <c r="G351" s="10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 ht="12.75" customHeight="1">
      <c r="A352" s="4"/>
      <c r="B352" s="101"/>
      <c r="C352" s="4"/>
      <c r="D352" s="102"/>
      <c r="E352" s="103"/>
      <c r="F352" s="103"/>
      <c r="G352" s="10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 ht="12.75" customHeight="1">
      <c r="A353" s="4"/>
      <c r="B353" s="101"/>
      <c r="C353" s="4"/>
      <c r="D353" s="102"/>
      <c r="E353" s="103"/>
      <c r="F353" s="103"/>
      <c r="G353" s="10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 ht="12.75" customHeight="1">
      <c r="A354" s="4"/>
      <c r="B354" s="101"/>
      <c r="C354" s="4"/>
      <c r="D354" s="102"/>
      <c r="E354" s="103"/>
      <c r="F354" s="103"/>
      <c r="G354" s="10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 ht="12.75" customHeight="1">
      <c r="A355" s="4"/>
      <c r="B355" s="101"/>
      <c r="C355" s="4"/>
      <c r="D355" s="102"/>
      <c r="E355" s="103"/>
      <c r="F355" s="103"/>
      <c r="G355" s="10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 ht="12.75" customHeight="1">
      <c r="A356" s="4"/>
      <c r="B356" s="101"/>
      <c r="C356" s="4"/>
      <c r="D356" s="102"/>
      <c r="E356" s="103"/>
      <c r="F356" s="103"/>
      <c r="G356" s="10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 ht="12.75" customHeight="1">
      <c r="A357" s="4"/>
      <c r="B357" s="101"/>
      <c r="C357" s="4"/>
      <c r="D357" s="102"/>
      <c r="E357" s="103"/>
      <c r="F357" s="103"/>
      <c r="G357" s="10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 ht="12.75" customHeight="1">
      <c r="A358" s="4"/>
      <c r="B358" s="101"/>
      <c r="C358" s="4"/>
      <c r="D358" s="102"/>
      <c r="E358" s="103"/>
      <c r="F358" s="103"/>
      <c r="G358" s="10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 ht="12.75" customHeight="1">
      <c r="A359" s="4"/>
      <c r="B359" s="101"/>
      <c r="C359" s="4"/>
      <c r="D359" s="102"/>
      <c r="E359" s="103"/>
      <c r="F359" s="103"/>
      <c r="G359" s="10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 ht="12.75" customHeight="1">
      <c r="A360" s="4"/>
      <c r="B360" s="101"/>
      <c r="C360" s="4"/>
      <c r="D360" s="102"/>
      <c r="E360" s="103"/>
      <c r="F360" s="103"/>
      <c r="G360" s="10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 ht="12.75" customHeight="1">
      <c r="A361" s="4"/>
      <c r="B361" s="101"/>
      <c r="C361" s="4"/>
      <c r="D361" s="102"/>
      <c r="E361" s="103"/>
      <c r="F361" s="103"/>
      <c r="G361" s="10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 ht="12.75" customHeight="1">
      <c r="A362" s="4"/>
      <c r="B362" s="101"/>
      <c r="C362" s="4"/>
      <c r="D362" s="102"/>
      <c r="E362" s="103"/>
      <c r="F362" s="103"/>
      <c r="G362" s="10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 ht="12.75" customHeight="1">
      <c r="A363" s="4"/>
      <c r="B363" s="101"/>
      <c r="C363" s="4"/>
      <c r="D363" s="102"/>
      <c r="E363" s="103"/>
      <c r="F363" s="103"/>
      <c r="G363" s="10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 ht="12.75" customHeight="1">
      <c r="A364" s="4"/>
      <c r="B364" s="101"/>
      <c r="C364" s="4"/>
      <c r="D364" s="102"/>
      <c r="E364" s="103"/>
      <c r="F364" s="103"/>
      <c r="G364" s="10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 ht="12.75" customHeight="1">
      <c r="A365" s="4"/>
      <c r="B365" s="101"/>
      <c r="C365" s="4"/>
      <c r="D365" s="102"/>
      <c r="E365" s="103"/>
      <c r="F365" s="103"/>
      <c r="G365" s="10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 ht="12.75" customHeight="1">
      <c r="A366" s="4"/>
      <c r="B366" s="101"/>
      <c r="C366" s="4"/>
      <c r="D366" s="102"/>
      <c r="E366" s="103"/>
      <c r="F366" s="103"/>
      <c r="G366" s="10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 ht="12.75" customHeight="1">
      <c r="A367" s="4"/>
      <c r="B367" s="101"/>
      <c r="C367" s="4"/>
      <c r="D367" s="102"/>
      <c r="E367" s="103"/>
      <c r="F367" s="103"/>
      <c r="G367" s="10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 ht="12.75" customHeight="1">
      <c r="A368" s="4"/>
      <c r="B368" s="101"/>
      <c r="C368" s="4"/>
      <c r="D368" s="102"/>
      <c r="E368" s="103"/>
      <c r="F368" s="103"/>
      <c r="G368" s="10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 ht="12.75" customHeight="1">
      <c r="A369" s="4"/>
      <c r="B369" s="101"/>
      <c r="C369" s="4"/>
      <c r="D369" s="102"/>
      <c r="E369" s="103"/>
      <c r="F369" s="103"/>
      <c r="G369" s="10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 ht="12.75" customHeight="1">
      <c r="A370" s="4"/>
      <c r="B370" s="101"/>
      <c r="C370" s="4"/>
      <c r="D370" s="102"/>
      <c r="E370" s="103"/>
      <c r="F370" s="103"/>
      <c r="G370" s="10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 ht="12.75" customHeight="1">
      <c r="A371" s="4"/>
      <c r="B371" s="101"/>
      <c r="C371" s="4"/>
      <c r="D371" s="102"/>
      <c r="E371" s="103"/>
      <c r="F371" s="103"/>
      <c r="G371" s="10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 ht="12.75" customHeight="1">
      <c r="A372" s="4"/>
      <c r="B372" s="101"/>
      <c r="C372" s="4"/>
      <c r="D372" s="102"/>
      <c r="E372" s="103"/>
      <c r="F372" s="103"/>
      <c r="G372" s="10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 ht="12.75" customHeight="1">
      <c r="A373" s="4"/>
      <c r="B373" s="101"/>
      <c r="C373" s="4"/>
      <c r="D373" s="102"/>
      <c r="E373" s="103"/>
      <c r="F373" s="103"/>
      <c r="G373" s="10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 ht="12.75" customHeight="1">
      <c r="A374" s="4"/>
      <c r="B374" s="101"/>
      <c r="C374" s="4"/>
      <c r="D374" s="102"/>
      <c r="E374" s="103"/>
      <c r="F374" s="103"/>
      <c r="G374" s="10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 ht="12.75" customHeight="1">
      <c r="A375" s="4"/>
      <c r="B375" s="101"/>
      <c r="C375" s="4"/>
      <c r="D375" s="102"/>
      <c r="E375" s="103"/>
      <c r="F375" s="103"/>
      <c r="G375" s="10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 ht="12.75" customHeight="1">
      <c r="A376" s="4"/>
      <c r="B376" s="101"/>
      <c r="C376" s="4"/>
      <c r="D376" s="102"/>
      <c r="E376" s="103"/>
      <c r="F376" s="103"/>
      <c r="G376" s="10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 ht="12.75" customHeight="1">
      <c r="A377" s="4"/>
      <c r="B377" s="101"/>
      <c r="C377" s="4"/>
      <c r="D377" s="102"/>
      <c r="E377" s="103"/>
      <c r="F377" s="103"/>
      <c r="G377" s="10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 ht="12.75" customHeight="1">
      <c r="A378" s="4"/>
      <c r="B378" s="101"/>
      <c r="C378" s="4"/>
      <c r="D378" s="102"/>
      <c r="E378" s="103"/>
      <c r="F378" s="103"/>
      <c r="G378" s="10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 ht="12.75" customHeight="1">
      <c r="A379" s="4"/>
      <c r="B379" s="101"/>
      <c r="C379" s="4"/>
      <c r="D379" s="102"/>
      <c r="E379" s="103"/>
      <c r="F379" s="103"/>
      <c r="G379" s="10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 ht="12.75" customHeight="1">
      <c r="A380" s="4"/>
      <c r="B380" s="101"/>
      <c r="C380" s="4"/>
      <c r="D380" s="102"/>
      <c r="E380" s="103"/>
      <c r="F380" s="103"/>
      <c r="G380" s="10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 ht="12.75" customHeight="1">
      <c r="A381" s="4"/>
      <c r="B381" s="101"/>
      <c r="C381" s="4"/>
      <c r="D381" s="102"/>
      <c r="E381" s="103"/>
      <c r="F381" s="103"/>
      <c r="G381" s="10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 ht="12.75" customHeight="1">
      <c r="A382" s="4"/>
      <c r="B382" s="101"/>
      <c r="C382" s="4"/>
      <c r="D382" s="102"/>
      <c r="E382" s="103"/>
      <c r="F382" s="103"/>
      <c r="G382" s="10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 ht="12.75" customHeight="1">
      <c r="A383" s="4"/>
      <c r="B383" s="101"/>
      <c r="C383" s="4"/>
      <c r="D383" s="102"/>
      <c r="E383" s="103"/>
      <c r="F383" s="103"/>
      <c r="G383" s="10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 ht="12.75" customHeight="1">
      <c r="A384" s="4"/>
      <c r="B384" s="101"/>
      <c r="C384" s="4"/>
      <c r="D384" s="102"/>
      <c r="E384" s="103"/>
      <c r="F384" s="103"/>
      <c r="G384" s="10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 ht="12.75" customHeight="1">
      <c r="A385" s="4"/>
      <c r="B385" s="101"/>
      <c r="C385" s="4"/>
      <c r="D385" s="102"/>
      <c r="E385" s="103"/>
      <c r="F385" s="103"/>
      <c r="G385" s="10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 ht="12.75" customHeight="1">
      <c r="A386" s="4"/>
      <c r="B386" s="101"/>
      <c r="C386" s="4"/>
      <c r="D386" s="102"/>
      <c r="E386" s="103"/>
      <c r="F386" s="103"/>
      <c r="G386" s="10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 ht="12.75" customHeight="1">
      <c r="A387" s="4"/>
      <c r="B387" s="101"/>
      <c r="C387" s="4"/>
      <c r="D387" s="102"/>
      <c r="E387" s="103"/>
      <c r="F387" s="103"/>
      <c r="G387" s="10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 ht="12.75" customHeight="1">
      <c r="A388" s="4"/>
      <c r="B388" s="101"/>
      <c r="C388" s="4"/>
      <c r="D388" s="102"/>
      <c r="E388" s="103"/>
      <c r="F388" s="103"/>
      <c r="G388" s="10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 ht="12.75" customHeight="1">
      <c r="A389" s="4"/>
      <c r="B389" s="101"/>
      <c r="C389" s="4"/>
      <c r="D389" s="102"/>
      <c r="E389" s="103"/>
      <c r="F389" s="103"/>
      <c r="G389" s="10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 ht="12.75" customHeight="1">
      <c r="A390" s="4"/>
      <c r="B390" s="101"/>
      <c r="C390" s="4"/>
      <c r="D390" s="102"/>
      <c r="E390" s="103"/>
      <c r="F390" s="103"/>
      <c r="G390" s="10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 ht="12.75" customHeight="1">
      <c r="A391" s="4"/>
      <c r="B391" s="101"/>
      <c r="C391" s="4"/>
      <c r="D391" s="102"/>
      <c r="E391" s="103"/>
      <c r="F391" s="103"/>
      <c r="G391" s="10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 ht="12.75" customHeight="1">
      <c r="A392" s="4"/>
      <c r="B392" s="101"/>
      <c r="C392" s="4"/>
      <c r="D392" s="102"/>
      <c r="E392" s="103"/>
      <c r="F392" s="103"/>
      <c r="G392" s="10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 ht="12.75" customHeight="1">
      <c r="A393" s="4"/>
      <c r="B393" s="101"/>
      <c r="C393" s="4"/>
      <c r="D393" s="102"/>
      <c r="E393" s="103"/>
      <c r="F393" s="103"/>
      <c r="G393" s="10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 ht="12.75" customHeight="1">
      <c r="A394" s="4"/>
      <c r="B394" s="101"/>
      <c r="C394" s="4"/>
      <c r="D394" s="102"/>
      <c r="E394" s="103"/>
      <c r="F394" s="103"/>
      <c r="G394" s="10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 ht="12.75" customHeight="1">
      <c r="A395" s="4"/>
      <c r="B395" s="101"/>
      <c r="C395" s="4"/>
      <c r="D395" s="102"/>
      <c r="E395" s="103"/>
      <c r="F395" s="103"/>
      <c r="G395" s="10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 ht="12.75" customHeight="1">
      <c r="A396" s="4"/>
      <c r="B396" s="101"/>
      <c r="C396" s="4"/>
      <c r="D396" s="102"/>
      <c r="E396" s="103"/>
      <c r="F396" s="103"/>
      <c r="G396" s="10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 ht="12.75" customHeight="1">
      <c r="A397" s="4"/>
      <c r="B397" s="101"/>
      <c r="C397" s="4"/>
      <c r="D397" s="102"/>
      <c r="E397" s="103"/>
      <c r="F397" s="103"/>
      <c r="G397" s="10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 ht="12.75" customHeight="1">
      <c r="A398" s="4"/>
      <c r="B398" s="101"/>
      <c r="C398" s="4"/>
      <c r="D398" s="102"/>
      <c r="E398" s="103"/>
      <c r="F398" s="103"/>
      <c r="G398" s="10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 ht="12.75" customHeight="1">
      <c r="A399" s="4"/>
      <c r="B399" s="101"/>
      <c r="C399" s="4"/>
      <c r="D399" s="102"/>
      <c r="E399" s="103"/>
      <c r="F399" s="103"/>
      <c r="G399" s="10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 ht="12.75" customHeight="1">
      <c r="A400" s="4"/>
      <c r="B400" s="101"/>
      <c r="C400" s="4"/>
      <c r="D400" s="102"/>
      <c r="E400" s="103"/>
      <c r="F400" s="103"/>
      <c r="G400" s="10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 ht="12.75" customHeight="1">
      <c r="A401" s="4"/>
      <c r="B401" s="101"/>
      <c r="C401" s="4"/>
      <c r="D401" s="102"/>
      <c r="E401" s="103"/>
      <c r="F401" s="103"/>
      <c r="G401" s="10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 ht="12.75" customHeight="1">
      <c r="A402" s="4"/>
      <c r="B402" s="101"/>
      <c r="C402" s="4"/>
      <c r="D402" s="102"/>
      <c r="E402" s="103"/>
      <c r="F402" s="103"/>
      <c r="G402" s="10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129:B129"/>
    <mergeCell ref="A141:B141"/>
    <mergeCell ref="A1:G1"/>
    <mergeCell ref="A2:G2"/>
    <mergeCell ref="A3:G3"/>
    <mergeCell ref="A4:G4"/>
    <mergeCell ref="D7:E7"/>
    <mergeCell ref="A9:G9"/>
    <mergeCell ref="A112:B112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2.63" defaultRowHeight="15.0"/>
  <cols>
    <col customWidth="1" min="1" max="1" width="62.5"/>
    <col customWidth="1" min="2" max="2" width="62.88"/>
    <col customWidth="1" min="3" max="3" width="14.88"/>
    <col customWidth="1" min="4" max="4" width="21.0"/>
    <col customWidth="1" min="5" max="5" width="21.63"/>
    <col customWidth="1" min="6" max="6" width="73.38"/>
    <col customWidth="1" min="7" max="7" width="50.13"/>
    <col customWidth="1" min="8" max="26" width="8.0"/>
  </cols>
  <sheetData>
    <row r="1" ht="12.75" customHeight="1">
      <c r="A1" s="1" t="s">
        <v>293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2.75" customHeight="1">
      <c r="A2" s="5" t="s">
        <v>707</v>
      </c>
      <c r="B2" s="6"/>
      <c r="C2" s="6"/>
      <c r="D2" s="6"/>
      <c r="E2" s="6"/>
      <c r="F2" s="7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2.75" customHeight="1">
      <c r="A3" s="5" t="s">
        <v>2</v>
      </c>
      <c r="B3" s="6"/>
      <c r="C3" s="6"/>
      <c r="D3" s="6"/>
      <c r="E3" s="6"/>
      <c r="F3" s="7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2.75" customHeight="1">
      <c r="A4" s="5" t="s">
        <v>3</v>
      </c>
      <c r="B4" s="6"/>
      <c r="C4" s="6"/>
      <c r="D4" s="6"/>
      <c r="E4" s="6"/>
      <c r="F4" s="7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2.75" customHeight="1">
      <c r="A5" s="8"/>
      <c r="B5" s="9"/>
      <c r="C5" s="10"/>
      <c r="D5" s="11"/>
      <c r="E5" s="11"/>
      <c r="F5" s="12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2.75" customHeight="1">
      <c r="A6" s="13"/>
      <c r="B6" s="9"/>
      <c r="C6" s="10"/>
      <c r="D6" s="14"/>
      <c r="E6" s="14"/>
      <c r="F6" s="15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30.0" customHeight="1">
      <c r="A7" s="16"/>
      <c r="B7" s="9"/>
      <c r="C7" s="17"/>
      <c r="D7" s="18"/>
      <c r="E7" s="19"/>
      <c r="F7" s="15" t="s">
        <v>911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0.0" customHeight="1">
      <c r="A8" s="20" t="s">
        <v>296</v>
      </c>
      <c r="B8" s="21"/>
      <c r="C8" s="22"/>
      <c r="D8" s="23"/>
      <c r="E8" s="23"/>
      <c r="F8" s="2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7.75" customHeight="1">
      <c r="A9" s="25" t="s">
        <v>912</v>
      </c>
      <c r="B9" s="26"/>
      <c r="C9" s="26"/>
      <c r="D9" s="26"/>
      <c r="E9" s="26"/>
      <c r="F9" s="27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8.5" customHeight="1">
      <c r="A10" s="105"/>
      <c r="B10" s="106"/>
      <c r="C10" s="107"/>
      <c r="D10" s="108"/>
      <c r="E10" s="108"/>
      <c r="F10" s="109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</row>
    <row r="11" ht="40.5" customHeight="1">
      <c r="A11" s="110" t="s">
        <v>913</v>
      </c>
      <c r="B11" s="111"/>
      <c r="C11" s="112" t="s">
        <v>299</v>
      </c>
      <c r="D11" s="113" t="s">
        <v>9</v>
      </c>
      <c r="E11" s="284" t="s">
        <v>10</v>
      </c>
      <c r="F11" s="311" t="s">
        <v>11</v>
      </c>
      <c r="G11" s="52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2.75" customHeight="1">
      <c r="A12" s="116" t="s">
        <v>637</v>
      </c>
      <c r="B12" s="117"/>
      <c r="C12" s="189"/>
      <c r="D12" s="183"/>
      <c r="E12" s="183"/>
      <c r="F12" s="290" t="s">
        <v>914</v>
      </c>
      <c r="G12" s="52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2.75" customHeight="1">
      <c r="A13" s="197" t="s">
        <v>303</v>
      </c>
      <c r="B13" s="198" t="s">
        <v>304</v>
      </c>
      <c r="C13" s="191"/>
      <c r="D13" s="186"/>
      <c r="E13" s="186"/>
      <c r="F13" s="300" t="s">
        <v>915</v>
      </c>
      <c r="G13" s="52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2.75" customHeight="1">
      <c r="A14" s="200" t="s">
        <v>916</v>
      </c>
      <c r="B14" s="201" t="s">
        <v>361</v>
      </c>
      <c r="C14" s="192">
        <v>952.0</v>
      </c>
      <c r="D14" s="132">
        <v>22338.88</v>
      </c>
      <c r="E14" s="132">
        <v>23548.94</v>
      </c>
      <c r="F14" s="300" t="s">
        <v>917</v>
      </c>
      <c r="G14" s="52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2.75" customHeight="1">
      <c r="A15" s="200"/>
      <c r="B15" s="202"/>
      <c r="C15" s="192"/>
      <c r="D15" s="132"/>
      <c r="E15" s="132"/>
      <c r="F15" s="300" t="s">
        <v>918</v>
      </c>
      <c r="G15" s="52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2.75" customHeight="1">
      <c r="A16" s="200" t="s">
        <v>919</v>
      </c>
      <c r="B16" s="198" t="s">
        <v>920</v>
      </c>
      <c r="C16" s="192"/>
      <c r="D16" s="132"/>
      <c r="E16" s="132"/>
      <c r="F16" s="295" t="s">
        <v>921</v>
      </c>
      <c r="G16" s="52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0" customHeight="1">
      <c r="A17" s="200"/>
      <c r="B17" s="225"/>
      <c r="C17" s="192"/>
      <c r="D17" s="132"/>
      <c r="E17" s="132"/>
      <c r="F17" s="295" t="s">
        <v>922</v>
      </c>
      <c r="G17" s="52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0" customHeight="1">
      <c r="A18" s="128" t="s">
        <v>316</v>
      </c>
      <c r="B18" s="395"/>
      <c r="C18" s="192"/>
      <c r="D18" s="132"/>
      <c r="E18" s="132"/>
      <c r="F18" s="316" t="s">
        <v>923</v>
      </c>
      <c r="G18" s="52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8.75" customHeight="1">
      <c r="A19" s="142"/>
      <c r="B19" s="143"/>
      <c r="C19" s="355">
        <f t="shared" ref="C19:E19" si="1">SUM(C12:C18)</f>
        <v>952</v>
      </c>
      <c r="D19" s="146">
        <f t="shared" si="1"/>
        <v>22338.88</v>
      </c>
      <c r="E19" s="146">
        <f t="shared" si="1"/>
        <v>23548.94</v>
      </c>
      <c r="F19" s="307"/>
      <c r="G19" s="52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40.5" customHeight="1">
      <c r="A20" s="110" t="s">
        <v>924</v>
      </c>
      <c r="B20" s="111"/>
      <c r="C20" s="112" t="s">
        <v>299</v>
      </c>
      <c r="D20" s="113" t="s">
        <v>9</v>
      </c>
      <c r="E20" s="284" t="s">
        <v>10</v>
      </c>
      <c r="F20" s="354" t="s">
        <v>11</v>
      </c>
      <c r="G20" s="52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2.75" customHeight="1">
      <c r="A21" s="116" t="s">
        <v>637</v>
      </c>
      <c r="B21" s="117"/>
      <c r="C21" s="189"/>
      <c r="D21" s="183"/>
      <c r="E21" s="183"/>
      <c r="F21" s="290" t="s">
        <v>925</v>
      </c>
      <c r="G21" s="52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2.75" customHeight="1">
      <c r="A22" s="197" t="s">
        <v>303</v>
      </c>
      <c r="B22" s="198" t="s">
        <v>304</v>
      </c>
      <c r="C22" s="191"/>
      <c r="D22" s="186"/>
      <c r="E22" s="186"/>
      <c r="F22" s="300" t="s">
        <v>926</v>
      </c>
      <c r="G22" s="52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2.75" customHeight="1">
      <c r="A23" s="200" t="s">
        <v>639</v>
      </c>
      <c r="B23" s="201" t="s">
        <v>361</v>
      </c>
      <c r="C23" s="192">
        <v>3745.0</v>
      </c>
      <c r="D23" s="132">
        <v>87847.46</v>
      </c>
      <c r="E23" s="132">
        <v>92551.2</v>
      </c>
      <c r="F23" s="300" t="s">
        <v>927</v>
      </c>
      <c r="G23" s="52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2.75" customHeight="1">
      <c r="A24" s="200"/>
      <c r="B24" s="202"/>
      <c r="C24" s="192"/>
      <c r="D24" s="132"/>
      <c r="E24" s="132"/>
      <c r="F24" s="300" t="s">
        <v>928</v>
      </c>
      <c r="G24" s="52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2.75" customHeight="1">
      <c r="A25" s="302" t="s">
        <v>929</v>
      </c>
      <c r="B25" s="247" t="s">
        <v>930</v>
      </c>
      <c r="C25" s="396"/>
      <c r="D25" s="132"/>
      <c r="E25" s="132"/>
      <c r="F25" s="295" t="s">
        <v>931</v>
      </c>
      <c r="G25" s="52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0" customHeight="1">
      <c r="A26" s="302" t="s">
        <v>932</v>
      </c>
      <c r="B26" s="247" t="s">
        <v>933</v>
      </c>
      <c r="C26" s="396"/>
      <c r="D26" s="132"/>
      <c r="E26" s="132"/>
      <c r="F26" s="295" t="s">
        <v>934</v>
      </c>
      <c r="G26" s="52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0" customHeight="1">
      <c r="A27" s="385"/>
      <c r="B27" s="170"/>
      <c r="C27" s="396"/>
      <c r="D27" s="132"/>
      <c r="E27" s="132"/>
      <c r="F27" s="316" t="s">
        <v>935</v>
      </c>
      <c r="G27" s="52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0" customHeight="1">
      <c r="A28" s="173" t="s">
        <v>936</v>
      </c>
      <c r="B28" s="123"/>
      <c r="C28" s="192"/>
      <c r="D28" s="132"/>
      <c r="E28" s="132"/>
      <c r="F28" s="316"/>
      <c r="G28" s="52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8.75" customHeight="1">
      <c r="A29" s="142"/>
      <c r="B29" s="143"/>
      <c r="C29" s="355">
        <f t="shared" ref="C29:E29" si="2">SUM(C21:C28)</f>
        <v>3745</v>
      </c>
      <c r="D29" s="146">
        <f t="shared" si="2"/>
        <v>87847.46</v>
      </c>
      <c r="E29" s="146">
        <f t="shared" si="2"/>
        <v>92551.2</v>
      </c>
      <c r="F29" s="307"/>
      <c r="G29" s="52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44.25" customHeight="1">
      <c r="A30" s="179" t="s">
        <v>937</v>
      </c>
      <c r="B30" s="149"/>
      <c r="C30" s="112" t="s">
        <v>299</v>
      </c>
      <c r="D30" s="113" t="s">
        <v>9</v>
      </c>
      <c r="E30" s="284" t="s">
        <v>10</v>
      </c>
      <c r="F30" s="354" t="s">
        <v>11</v>
      </c>
      <c r="G30" s="52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2.75" customHeight="1">
      <c r="A31" s="116" t="s">
        <v>572</v>
      </c>
      <c r="B31" s="117"/>
      <c r="C31" s="189"/>
      <c r="D31" s="183"/>
      <c r="E31" s="183"/>
      <c r="F31" s="290" t="s">
        <v>938</v>
      </c>
      <c r="G31" s="52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2.75" customHeight="1">
      <c r="A32" s="122" t="s">
        <v>303</v>
      </c>
      <c r="B32" s="123" t="s">
        <v>304</v>
      </c>
      <c r="C32" s="191"/>
      <c r="D32" s="186"/>
      <c r="E32" s="186"/>
      <c r="F32" s="300" t="s">
        <v>939</v>
      </c>
      <c r="G32" s="52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2.75" customHeight="1">
      <c r="A33" s="200" t="s">
        <v>639</v>
      </c>
      <c r="B33" s="201" t="s">
        <v>361</v>
      </c>
      <c r="C33" s="192">
        <v>9693.0</v>
      </c>
      <c r="D33" s="132">
        <v>251517.9</v>
      </c>
      <c r="E33" s="132">
        <v>262885.7</v>
      </c>
      <c r="F33" s="300" t="s">
        <v>940</v>
      </c>
      <c r="G33" s="52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2.75" customHeight="1">
      <c r="A34" s="200"/>
      <c r="B34" s="202"/>
      <c r="C34" s="192"/>
      <c r="D34" s="132"/>
      <c r="E34" s="132"/>
      <c r="F34" s="300" t="s">
        <v>941</v>
      </c>
      <c r="G34" s="52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2.75" customHeight="1">
      <c r="A35" s="200" t="s">
        <v>942</v>
      </c>
      <c r="B35" s="198" t="s">
        <v>943</v>
      </c>
      <c r="C35" s="192"/>
      <c r="D35" s="132"/>
      <c r="E35" s="132"/>
      <c r="F35" s="295" t="s">
        <v>944</v>
      </c>
      <c r="G35" s="52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2.75" customHeight="1">
      <c r="A36" s="200" t="s">
        <v>945</v>
      </c>
      <c r="B36" s="198" t="s">
        <v>946</v>
      </c>
      <c r="C36" s="192"/>
      <c r="D36" s="132"/>
      <c r="E36" s="132"/>
      <c r="F36" s="295" t="s">
        <v>947</v>
      </c>
      <c r="G36" s="52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2.75" customHeight="1">
      <c r="A37" s="200" t="s">
        <v>948</v>
      </c>
      <c r="B37" s="198" t="s">
        <v>949</v>
      </c>
      <c r="C37" s="192"/>
      <c r="D37" s="132"/>
      <c r="E37" s="132"/>
      <c r="F37" s="316" t="s">
        <v>950</v>
      </c>
      <c r="G37" s="52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2.75" customHeight="1">
      <c r="A38" s="200" t="s">
        <v>951</v>
      </c>
      <c r="B38" s="198" t="s">
        <v>952</v>
      </c>
      <c r="C38" s="192"/>
      <c r="D38" s="132"/>
      <c r="E38" s="132"/>
      <c r="F38" s="295"/>
      <c r="G38" s="52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2.75" customHeight="1">
      <c r="A39" s="200" t="s">
        <v>953</v>
      </c>
      <c r="B39" s="198"/>
      <c r="C39" s="192"/>
      <c r="D39" s="132"/>
      <c r="E39" s="132"/>
      <c r="F39" s="295"/>
      <c r="G39" s="52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2.75" customHeight="1">
      <c r="A40" s="128"/>
      <c r="B40" s="123"/>
      <c r="C40" s="192"/>
      <c r="D40" s="132"/>
      <c r="E40" s="132"/>
      <c r="F40" s="316"/>
      <c r="G40" s="52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2.75" customHeight="1">
      <c r="A41" s="128" t="s">
        <v>316</v>
      </c>
      <c r="B41" s="123"/>
      <c r="C41" s="192"/>
      <c r="D41" s="132"/>
      <c r="E41" s="132"/>
      <c r="F41" s="316"/>
      <c r="G41" s="52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8.75" customHeight="1">
      <c r="A42" s="142"/>
      <c r="B42" s="143"/>
      <c r="C42" s="355">
        <f t="shared" ref="C42:E42" si="3">SUM(C31:C41)</f>
        <v>9693</v>
      </c>
      <c r="D42" s="146">
        <f t="shared" si="3"/>
        <v>251517.9</v>
      </c>
      <c r="E42" s="146">
        <f t="shared" si="3"/>
        <v>262885.7</v>
      </c>
      <c r="F42" s="307"/>
      <c r="G42" s="52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42.75" customHeight="1">
      <c r="A43" s="281" t="s">
        <v>954</v>
      </c>
      <c r="B43" s="282"/>
      <c r="C43" s="112" t="s">
        <v>299</v>
      </c>
      <c r="D43" s="113" t="s">
        <v>9</v>
      </c>
      <c r="E43" s="284" t="s">
        <v>10</v>
      </c>
      <c r="F43" s="387" t="s">
        <v>11</v>
      </c>
      <c r="G43" s="52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2.75" customHeight="1">
      <c r="A44" s="194" t="s">
        <v>319</v>
      </c>
      <c r="B44" s="286"/>
      <c r="C44" s="287"/>
      <c r="D44" s="183"/>
      <c r="E44" s="183"/>
      <c r="F44" s="290" t="s">
        <v>955</v>
      </c>
      <c r="G44" s="52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2.75" customHeight="1">
      <c r="A45" s="122" t="s">
        <v>303</v>
      </c>
      <c r="B45" s="123" t="s">
        <v>304</v>
      </c>
      <c r="C45" s="292"/>
      <c r="D45" s="186"/>
      <c r="E45" s="186"/>
      <c r="F45" s="300" t="s">
        <v>956</v>
      </c>
      <c r="G45" s="52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2.75" customHeight="1">
      <c r="A46" s="200" t="s">
        <v>639</v>
      </c>
      <c r="B46" s="201" t="s">
        <v>361</v>
      </c>
      <c r="C46" s="297">
        <v>3194.0</v>
      </c>
      <c r="D46" s="132">
        <v>83825.92</v>
      </c>
      <c r="E46" s="132">
        <v>87767.12</v>
      </c>
      <c r="F46" s="300" t="s">
        <v>957</v>
      </c>
      <c r="G46" s="52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2.75" customHeight="1">
      <c r="A47" s="200"/>
      <c r="B47" s="134"/>
      <c r="C47" s="297"/>
      <c r="D47" s="132"/>
      <c r="E47" s="132"/>
      <c r="F47" s="300" t="s">
        <v>958</v>
      </c>
      <c r="G47" s="52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2.75" customHeight="1">
      <c r="A48" s="200" t="s">
        <v>959</v>
      </c>
      <c r="B48" s="198" t="s">
        <v>960</v>
      </c>
      <c r="C48" s="297"/>
      <c r="D48" s="132"/>
      <c r="E48" s="132"/>
      <c r="F48" s="295" t="s">
        <v>961</v>
      </c>
      <c r="G48" s="52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2.75" customHeight="1">
      <c r="A49" s="200" t="s">
        <v>962</v>
      </c>
      <c r="B49" s="123"/>
      <c r="C49" s="297"/>
      <c r="D49" s="132"/>
      <c r="E49" s="132"/>
      <c r="F49" s="295" t="s">
        <v>963</v>
      </c>
      <c r="G49" s="52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2.75" customHeight="1">
      <c r="A50" s="137"/>
      <c r="B50" s="123"/>
      <c r="C50" s="297"/>
      <c r="D50" s="132"/>
      <c r="E50" s="132"/>
      <c r="F50" s="316" t="s">
        <v>964</v>
      </c>
      <c r="G50" s="52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2.75" customHeight="1">
      <c r="A51" s="137" t="s">
        <v>316</v>
      </c>
      <c r="B51" s="123"/>
      <c r="C51" s="297"/>
      <c r="D51" s="132"/>
      <c r="E51" s="132"/>
      <c r="F51" s="360"/>
      <c r="G51" s="52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8.75" customHeight="1">
      <c r="A52" s="142"/>
      <c r="B52" s="143"/>
      <c r="C52" s="361">
        <f t="shared" ref="C52:E52" si="4">SUM(C44:C51)</f>
        <v>3194</v>
      </c>
      <c r="D52" s="146">
        <f t="shared" si="4"/>
        <v>83825.92</v>
      </c>
      <c r="E52" s="146">
        <f t="shared" si="4"/>
        <v>87767.12</v>
      </c>
      <c r="F52" s="358"/>
      <c r="G52" s="52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48.75" customHeight="1">
      <c r="A53" s="179" t="s">
        <v>965</v>
      </c>
      <c r="B53" s="149"/>
      <c r="C53" s="362" t="s">
        <v>299</v>
      </c>
      <c r="D53" s="113" t="s">
        <v>9</v>
      </c>
      <c r="E53" s="284" t="s">
        <v>10</v>
      </c>
      <c r="F53" s="311" t="s">
        <v>11</v>
      </c>
      <c r="G53" s="52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36" t="s">
        <v>523</v>
      </c>
      <c r="B54" s="151"/>
      <c r="C54" s="345"/>
      <c r="D54" s="120"/>
      <c r="E54" s="120"/>
      <c r="F54" s="290" t="s">
        <v>966</v>
      </c>
      <c r="G54" s="52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122" t="s">
        <v>303</v>
      </c>
      <c r="B55" s="123" t="s">
        <v>304</v>
      </c>
      <c r="C55" s="364"/>
      <c r="D55" s="126"/>
      <c r="E55" s="126"/>
      <c r="F55" s="300" t="s">
        <v>967</v>
      </c>
      <c r="G55" s="52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2.75" customHeight="1">
      <c r="A56" s="200" t="s">
        <v>639</v>
      </c>
      <c r="B56" s="201" t="s">
        <v>361</v>
      </c>
      <c r="C56" s="297">
        <v>5307.0</v>
      </c>
      <c r="D56" s="132">
        <v>139386.18</v>
      </c>
      <c r="E56" s="132">
        <v>145623.43</v>
      </c>
      <c r="F56" s="300" t="s">
        <v>968</v>
      </c>
      <c r="G56" s="52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2.75" customHeight="1">
      <c r="A57" s="385"/>
      <c r="B57" s="369"/>
      <c r="C57" s="297"/>
      <c r="D57" s="132"/>
      <c r="E57" s="132"/>
      <c r="F57" s="300" t="s">
        <v>969</v>
      </c>
      <c r="G57" s="52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2.75" customHeight="1">
      <c r="A58" s="302" t="s">
        <v>970</v>
      </c>
      <c r="B58" s="198" t="s">
        <v>971</v>
      </c>
      <c r="C58" s="297"/>
      <c r="D58" s="132"/>
      <c r="E58" s="132"/>
      <c r="F58" s="295" t="s">
        <v>972</v>
      </c>
      <c r="G58" s="52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2.75" customHeight="1">
      <c r="A59" s="302" t="s">
        <v>973</v>
      </c>
      <c r="B59" s="198" t="s">
        <v>974</v>
      </c>
      <c r="C59" s="297"/>
      <c r="D59" s="132"/>
      <c r="E59" s="132"/>
      <c r="F59" s="295" t="s">
        <v>975</v>
      </c>
      <c r="G59" s="52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2.75" customHeight="1">
      <c r="A60" s="302" t="s">
        <v>976</v>
      </c>
      <c r="B60" s="198"/>
      <c r="C60" s="297"/>
      <c r="D60" s="132"/>
      <c r="E60" s="132"/>
      <c r="F60" s="316" t="s">
        <v>977</v>
      </c>
      <c r="G60" s="52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2.75" customHeight="1">
      <c r="A61" s="200"/>
      <c r="B61" s="135"/>
      <c r="C61" s="297"/>
      <c r="D61" s="132"/>
      <c r="E61" s="132"/>
      <c r="F61" s="397"/>
      <c r="G61" s="52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2.75" customHeight="1">
      <c r="A62" s="135" t="s">
        <v>316</v>
      </c>
      <c r="B62" s="135"/>
      <c r="C62" s="297"/>
      <c r="D62" s="132"/>
      <c r="E62" s="132"/>
      <c r="F62" s="295"/>
      <c r="G62" s="52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8.75" customHeight="1">
      <c r="A63" s="142"/>
      <c r="B63" s="143"/>
      <c r="C63" s="361">
        <f>SUM(C56:C62)</f>
        <v>5307</v>
      </c>
      <c r="D63" s="146">
        <f t="shared" ref="D63:E63" si="5">SUM(D54:D62)</f>
        <v>139386.18</v>
      </c>
      <c r="E63" s="146">
        <f t="shared" si="5"/>
        <v>145623.43</v>
      </c>
      <c r="F63" s="307"/>
      <c r="G63" s="52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38.25" customHeight="1">
      <c r="A64" s="179" t="s">
        <v>978</v>
      </c>
      <c r="B64" s="149"/>
      <c r="C64" s="112" t="s">
        <v>299</v>
      </c>
      <c r="D64" s="113" t="s">
        <v>9</v>
      </c>
      <c r="E64" s="284" t="s">
        <v>10</v>
      </c>
      <c r="F64" s="354" t="s">
        <v>11</v>
      </c>
      <c r="G64" s="52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2.75" customHeight="1">
      <c r="A65" s="194" t="s">
        <v>385</v>
      </c>
      <c r="B65" s="195"/>
      <c r="C65" s="189"/>
      <c r="D65" s="183"/>
      <c r="E65" s="183"/>
      <c r="F65" s="290" t="s">
        <v>979</v>
      </c>
      <c r="G65" s="52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2.75" customHeight="1">
      <c r="A66" s="197" t="s">
        <v>303</v>
      </c>
      <c r="B66" s="198" t="s">
        <v>304</v>
      </c>
      <c r="C66" s="191"/>
      <c r="D66" s="186"/>
      <c r="E66" s="186"/>
      <c r="F66" s="300" t="s">
        <v>980</v>
      </c>
      <c r="G66" s="52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2.75" customHeight="1">
      <c r="A67" s="169" t="s">
        <v>336</v>
      </c>
      <c r="B67" s="398" t="s">
        <v>337</v>
      </c>
      <c r="C67" s="192">
        <v>1155.0</v>
      </c>
      <c r="D67" s="132">
        <v>24386.9</v>
      </c>
      <c r="E67" s="132">
        <v>25940.75</v>
      </c>
      <c r="F67" s="300" t="s">
        <v>981</v>
      </c>
      <c r="G67" s="52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2.75" customHeight="1">
      <c r="A68" s="302"/>
      <c r="B68" s="202"/>
      <c r="C68" s="192"/>
      <c r="D68" s="132"/>
      <c r="E68" s="186"/>
      <c r="F68" s="300" t="s">
        <v>982</v>
      </c>
      <c r="G68" s="52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2.75" customHeight="1">
      <c r="A69" s="302" t="s">
        <v>983</v>
      </c>
      <c r="B69" s="202"/>
      <c r="C69" s="192"/>
      <c r="D69" s="132"/>
      <c r="E69" s="186"/>
      <c r="F69" s="295" t="s">
        <v>921</v>
      </c>
      <c r="G69" s="52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2.75" customHeight="1">
      <c r="A70" s="302"/>
      <c r="B70" s="202"/>
      <c r="C70" s="192"/>
      <c r="D70" s="132"/>
      <c r="E70" s="132"/>
      <c r="F70" s="295" t="s">
        <v>984</v>
      </c>
      <c r="G70" s="52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2.75" customHeight="1">
      <c r="A71" s="302" t="s">
        <v>382</v>
      </c>
      <c r="B71" s="225"/>
      <c r="C71" s="192"/>
      <c r="D71" s="132"/>
      <c r="E71" s="132"/>
      <c r="F71" s="316" t="s">
        <v>985</v>
      </c>
      <c r="G71" s="52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8.75" customHeight="1">
      <c r="A72" s="203"/>
      <c r="B72" s="143"/>
      <c r="C72" s="355">
        <f t="shared" ref="C72:E72" si="6">SUM(C65:C71)</f>
        <v>1155</v>
      </c>
      <c r="D72" s="146">
        <f t="shared" si="6"/>
        <v>24386.9</v>
      </c>
      <c r="E72" s="146">
        <f t="shared" si="6"/>
        <v>25940.75</v>
      </c>
      <c r="F72" s="307"/>
      <c r="G72" s="52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42.75" customHeight="1">
      <c r="A73" s="281" t="s">
        <v>986</v>
      </c>
      <c r="B73" s="282"/>
      <c r="C73" s="112" t="s">
        <v>299</v>
      </c>
      <c r="D73" s="113" t="s">
        <v>9</v>
      </c>
      <c r="E73" s="284" t="s">
        <v>10</v>
      </c>
      <c r="F73" s="387" t="s">
        <v>11</v>
      </c>
      <c r="G73" s="52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2.75" customHeight="1">
      <c r="A74" s="194" t="s">
        <v>319</v>
      </c>
      <c r="B74" s="286"/>
      <c r="C74" s="287"/>
      <c r="D74" s="183"/>
      <c r="E74" s="183"/>
      <c r="F74" s="290" t="s">
        <v>987</v>
      </c>
      <c r="G74" s="52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75" customHeight="1">
      <c r="A75" s="122" t="s">
        <v>303</v>
      </c>
      <c r="B75" s="123" t="s">
        <v>304</v>
      </c>
      <c r="C75" s="292"/>
      <c r="D75" s="186"/>
      <c r="E75" s="186"/>
      <c r="F75" s="300" t="s">
        <v>988</v>
      </c>
      <c r="G75" s="52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2.75" customHeight="1">
      <c r="A76" s="169" t="s">
        <v>336</v>
      </c>
      <c r="B76" s="398" t="s">
        <v>337</v>
      </c>
      <c r="C76" s="377">
        <v>1977.0</v>
      </c>
      <c r="D76" s="132">
        <v>49028.75</v>
      </c>
      <c r="E76" s="132">
        <v>51490.4</v>
      </c>
      <c r="F76" s="300" t="s">
        <v>989</v>
      </c>
      <c r="G76" s="52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75" customHeight="1">
      <c r="A77" s="302"/>
      <c r="B77" s="134"/>
      <c r="C77" s="297"/>
      <c r="D77" s="132"/>
      <c r="E77" s="132"/>
      <c r="F77" s="300" t="s">
        <v>990</v>
      </c>
      <c r="G77" s="52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2.75" customHeight="1">
      <c r="A78" s="302" t="s">
        <v>991</v>
      </c>
      <c r="B78" s="198" t="s">
        <v>992</v>
      </c>
      <c r="C78" s="297"/>
      <c r="D78" s="132"/>
      <c r="E78" s="132"/>
      <c r="F78" s="295" t="s">
        <v>993</v>
      </c>
      <c r="G78" s="52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2.75" customHeight="1">
      <c r="A79" s="302"/>
      <c r="B79" s="123"/>
      <c r="C79" s="297"/>
      <c r="D79" s="132"/>
      <c r="E79" s="132"/>
      <c r="F79" s="295" t="s">
        <v>994</v>
      </c>
      <c r="G79" s="52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2.75" customHeight="1">
      <c r="A80" s="137" t="s">
        <v>316</v>
      </c>
      <c r="B80" s="123"/>
      <c r="C80" s="297"/>
      <c r="D80" s="132"/>
      <c r="E80" s="132"/>
      <c r="F80" s="316" t="s">
        <v>995</v>
      </c>
      <c r="G80" s="52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8.75" customHeight="1">
      <c r="A81" s="142"/>
      <c r="B81" s="143"/>
      <c r="C81" s="361">
        <f t="shared" ref="C81:E81" si="7">SUM(C74:C80)</f>
        <v>1977</v>
      </c>
      <c r="D81" s="146">
        <f t="shared" si="7"/>
        <v>49028.75</v>
      </c>
      <c r="E81" s="146">
        <f t="shared" si="7"/>
        <v>51490.4</v>
      </c>
      <c r="F81" s="358"/>
      <c r="G81" s="52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48.75" customHeight="1">
      <c r="A82" s="179" t="s">
        <v>996</v>
      </c>
      <c r="B82" s="149"/>
      <c r="C82" s="362" t="s">
        <v>299</v>
      </c>
      <c r="D82" s="113" t="s">
        <v>9</v>
      </c>
      <c r="E82" s="284" t="s">
        <v>10</v>
      </c>
      <c r="F82" s="311" t="s">
        <v>11</v>
      </c>
      <c r="G82" s="52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36" t="s">
        <v>523</v>
      </c>
      <c r="B83" s="151"/>
      <c r="C83" s="345"/>
      <c r="D83" s="120"/>
      <c r="E83" s="120"/>
      <c r="F83" s="290" t="s">
        <v>997</v>
      </c>
      <c r="G83" s="52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122" t="s">
        <v>303</v>
      </c>
      <c r="B84" s="123" t="s">
        <v>304</v>
      </c>
      <c r="C84" s="364"/>
      <c r="D84" s="126"/>
      <c r="E84" s="126"/>
      <c r="F84" s="300" t="s">
        <v>998</v>
      </c>
      <c r="G84" s="52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2.75" customHeight="1">
      <c r="A85" s="169" t="s">
        <v>336</v>
      </c>
      <c r="B85" s="398" t="s">
        <v>337</v>
      </c>
      <c r="C85" s="297">
        <v>1148.0</v>
      </c>
      <c r="D85" s="132">
        <v>25009.02</v>
      </c>
      <c r="E85" s="132">
        <v>26332.02</v>
      </c>
      <c r="F85" s="300" t="s">
        <v>999</v>
      </c>
      <c r="G85" s="52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2.75" customHeight="1">
      <c r="A86" s="385"/>
      <c r="B86" s="369"/>
      <c r="C86" s="297"/>
      <c r="D86" s="132"/>
      <c r="E86" s="132"/>
      <c r="F86" s="300" t="s">
        <v>1000</v>
      </c>
      <c r="G86" s="52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2.75" customHeight="1">
      <c r="A87" s="200" t="s">
        <v>1001</v>
      </c>
      <c r="B87" s="198"/>
      <c r="C87" s="297"/>
      <c r="D87" s="132"/>
      <c r="E87" s="132"/>
      <c r="F87" s="295" t="s">
        <v>921</v>
      </c>
      <c r="G87" s="52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2.75" customHeight="1">
      <c r="A88" s="200"/>
      <c r="B88" s="198"/>
      <c r="C88" s="297"/>
      <c r="D88" s="132"/>
      <c r="E88" s="132"/>
      <c r="F88" s="295" t="s">
        <v>1002</v>
      </c>
      <c r="G88" s="52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2.75" customHeight="1">
      <c r="A89" s="135" t="s">
        <v>316</v>
      </c>
      <c r="B89" s="198"/>
      <c r="C89" s="297"/>
      <c r="D89" s="132"/>
      <c r="E89" s="132"/>
      <c r="F89" s="316" t="s">
        <v>1003</v>
      </c>
      <c r="G89" s="52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8.75" customHeight="1">
      <c r="A90" s="142"/>
      <c r="B90" s="143"/>
      <c r="C90" s="361">
        <f>SUM(C85:C89)</f>
        <v>1148</v>
      </c>
      <c r="D90" s="146">
        <f t="shared" ref="D90:E90" si="8">SUM(D83:D89)</f>
        <v>25009.02</v>
      </c>
      <c r="E90" s="146">
        <f t="shared" si="8"/>
        <v>26332.02</v>
      </c>
      <c r="F90" s="307"/>
      <c r="G90" s="52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44.25" customHeight="1">
      <c r="A91" s="179" t="s">
        <v>1004</v>
      </c>
      <c r="B91" s="149"/>
      <c r="C91" s="112" t="s">
        <v>299</v>
      </c>
      <c r="D91" s="113" t="s">
        <v>9</v>
      </c>
      <c r="E91" s="284" t="s">
        <v>10</v>
      </c>
      <c r="F91" s="311" t="s">
        <v>11</v>
      </c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2.75" customHeight="1">
      <c r="A92" s="194" t="s">
        <v>440</v>
      </c>
      <c r="B92" s="195"/>
      <c r="C92" s="287"/>
      <c r="D92" s="390"/>
      <c r="E92" s="183"/>
      <c r="F92" s="290" t="s">
        <v>1005</v>
      </c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2.75" customHeight="1">
      <c r="A93" s="122" t="s">
        <v>303</v>
      </c>
      <c r="B93" s="123" t="s">
        <v>304</v>
      </c>
      <c r="C93" s="292"/>
      <c r="D93" s="391"/>
      <c r="E93" s="186"/>
      <c r="F93" s="300" t="s">
        <v>1006</v>
      </c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2.75" customHeight="1">
      <c r="A94" s="169" t="s">
        <v>336</v>
      </c>
      <c r="B94" s="398" t="s">
        <v>337</v>
      </c>
      <c r="C94" s="297">
        <v>1204.0</v>
      </c>
      <c r="D94" s="392">
        <v>25033.42</v>
      </c>
      <c r="E94" s="246">
        <v>26920.62</v>
      </c>
      <c r="F94" s="300" t="s">
        <v>1007</v>
      </c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2.75" customHeight="1">
      <c r="A95" s="200"/>
      <c r="B95" s="202"/>
      <c r="C95" s="297"/>
      <c r="D95" s="392"/>
      <c r="E95" s="132"/>
      <c r="F95" s="300" t="s">
        <v>1008</v>
      </c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2.75" customHeight="1">
      <c r="A96" s="200" t="s">
        <v>1009</v>
      </c>
      <c r="B96" s="198" t="s">
        <v>1010</v>
      </c>
      <c r="C96" s="297"/>
      <c r="D96" s="392"/>
      <c r="E96" s="132"/>
      <c r="F96" s="295" t="s">
        <v>1011</v>
      </c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2.75" customHeight="1">
      <c r="A97" s="200"/>
      <c r="B97" s="198"/>
      <c r="C97" s="297"/>
      <c r="D97" s="392"/>
      <c r="E97" s="132"/>
      <c r="F97" s="295" t="s">
        <v>1012</v>
      </c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0" customHeight="1">
      <c r="A98" s="128" t="s">
        <v>316</v>
      </c>
      <c r="B98" s="134"/>
      <c r="C98" s="297"/>
      <c r="D98" s="392"/>
      <c r="E98" s="132"/>
      <c r="F98" s="316" t="s">
        <v>1013</v>
      </c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8.75" customHeight="1">
      <c r="A99" s="142"/>
      <c r="B99" s="143"/>
      <c r="C99" s="361">
        <f t="shared" ref="C99:E99" si="9">SUM(C92:C98)</f>
        <v>1204</v>
      </c>
      <c r="D99" s="393">
        <f t="shared" si="9"/>
        <v>25033.42</v>
      </c>
      <c r="E99" s="146">
        <f t="shared" si="9"/>
        <v>26920.62</v>
      </c>
      <c r="F99" s="39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40.5" customHeight="1">
      <c r="A100" s="179" t="s">
        <v>1014</v>
      </c>
      <c r="B100" s="149"/>
      <c r="C100" s="112" t="s">
        <v>299</v>
      </c>
      <c r="D100" s="113" t="s">
        <v>9</v>
      </c>
      <c r="E100" s="284" t="s">
        <v>10</v>
      </c>
      <c r="F100" s="311" t="s">
        <v>11</v>
      </c>
      <c r="G100" s="52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0" customHeight="1">
      <c r="A101" s="116" t="s">
        <v>486</v>
      </c>
      <c r="B101" s="117"/>
      <c r="C101" s="189"/>
      <c r="D101" s="183"/>
      <c r="E101" s="183"/>
      <c r="F101" s="290" t="s">
        <v>1015</v>
      </c>
      <c r="G101" s="52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0" customHeight="1">
      <c r="A102" s="122" t="s">
        <v>303</v>
      </c>
      <c r="B102" s="123" t="s">
        <v>304</v>
      </c>
      <c r="C102" s="359"/>
      <c r="D102" s="186"/>
      <c r="E102" s="186"/>
      <c r="F102" s="300" t="s">
        <v>1016</v>
      </c>
      <c r="G102" s="52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0" customHeight="1">
      <c r="A103" s="302" t="s">
        <v>712</v>
      </c>
      <c r="B103" s="201" t="s">
        <v>15</v>
      </c>
      <c r="C103" s="297">
        <v>682.0</v>
      </c>
      <c r="D103" s="132">
        <v>18554.11</v>
      </c>
      <c r="E103" s="132">
        <v>19499.09</v>
      </c>
      <c r="F103" s="300" t="s">
        <v>1017</v>
      </c>
      <c r="G103" s="52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customHeight="1">
      <c r="A104" s="200"/>
      <c r="B104" s="198"/>
      <c r="C104" s="297"/>
      <c r="D104" s="132"/>
      <c r="E104" s="132"/>
      <c r="F104" s="300" t="s">
        <v>1018</v>
      </c>
      <c r="G104" s="52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6.5" customHeight="1">
      <c r="A105" s="200" t="s">
        <v>1019</v>
      </c>
      <c r="B105" s="198"/>
      <c r="C105" s="297"/>
      <c r="D105" s="132"/>
      <c r="E105" s="132"/>
      <c r="F105" s="295" t="s">
        <v>1020</v>
      </c>
      <c r="G105" s="52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0" customHeight="1">
      <c r="A106" s="200"/>
      <c r="B106" s="198"/>
      <c r="C106" s="297"/>
      <c r="D106" s="132"/>
      <c r="E106" s="132"/>
      <c r="F106" s="295" t="s">
        <v>1021</v>
      </c>
      <c r="G106" s="52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2.75" customHeight="1">
      <c r="A107" s="137" t="s">
        <v>316</v>
      </c>
      <c r="B107" s="134"/>
      <c r="C107" s="297"/>
      <c r="D107" s="132"/>
      <c r="E107" s="132"/>
      <c r="F107" s="316" t="s">
        <v>1022</v>
      </c>
      <c r="G107" s="52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21.75" customHeight="1">
      <c r="A108" s="142"/>
      <c r="B108" s="143"/>
      <c r="C108" s="361">
        <f t="shared" ref="C108:E108" si="10">SUM(C101:C107)</f>
        <v>682</v>
      </c>
      <c r="D108" s="146">
        <f t="shared" si="10"/>
        <v>18554.11</v>
      </c>
      <c r="E108" s="146">
        <f t="shared" si="10"/>
        <v>19499.09</v>
      </c>
      <c r="F108" s="358"/>
      <c r="G108" s="52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44.25" customHeight="1">
      <c r="A109" s="281" t="s">
        <v>1023</v>
      </c>
      <c r="B109" s="282"/>
      <c r="C109" s="370" t="s">
        <v>299</v>
      </c>
      <c r="D109" s="113" t="s">
        <v>9</v>
      </c>
      <c r="E109" s="284" t="s">
        <v>10</v>
      </c>
      <c r="F109" s="354" t="s">
        <v>11</v>
      </c>
      <c r="G109" s="52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194" t="s">
        <v>319</v>
      </c>
      <c r="B110" s="286"/>
      <c r="C110" s="371"/>
      <c r="D110" s="262"/>
      <c r="E110" s="372"/>
      <c r="F110" s="290" t="s">
        <v>1024</v>
      </c>
      <c r="G110" s="52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197" t="s">
        <v>303</v>
      </c>
      <c r="B111" s="291" t="s">
        <v>304</v>
      </c>
      <c r="C111" s="374"/>
      <c r="D111" s="263"/>
      <c r="E111" s="375"/>
      <c r="F111" s="300" t="s">
        <v>1025</v>
      </c>
      <c r="G111" s="52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2.75" customHeight="1">
      <c r="A112" s="200" t="s">
        <v>712</v>
      </c>
      <c r="B112" s="201" t="s">
        <v>15</v>
      </c>
      <c r="C112" s="377">
        <v>414.0</v>
      </c>
      <c r="D112" s="264">
        <v>10931.6</v>
      </c>
      <c r="E112" s="378">
        <v>11503.5</v>
      </c>
      <c r="F112" s="300" t="s">
        <v>1026</v>
      </c>
      <c r="G112" s="52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2.75" customHeight="1">
      <c r="A113" s="200"/>
      <c r="B113" s="135"/>
      <c r="C113" s="377"/>
      <c r="D113" s="264"/>
      <c r="E113" s="378"/>
      <c r="F113" s="300" t="s">
        <v>1027</v>
      </c>
      <c r="G113" s="52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2.75" customHeight="1">
      <c r="A114" s="171" t="s">
        <v>1028</v>
      </c>
      <c r="B114" s="135"/>
      <c r="C114" s="377"/>
      <c r="D114" s="264"/>
      <c r="E114" s="378"/>
      <c r="F114" s="295" t="s">
        <v>1029</v>
      </c>
      <c r="G114" s="52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2.75" customHeight="1">
      <c r="A115" s="171"/>
      <c r="B115" s="136"/>
      <c r="C115" s="377"/>
      <c r="D115" s="264"/>
      <c r="E115" s="378"/>
      <c r="F115" s="295" t="s">
        <v>1030</v>
      </c>
      <c r="G115" s="52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2.75" customHeight="1">
      <c r="A116" s="128" t="s">
        <v>316</v>
      </c>
      <c r="B116" s="136"/>
      <c r="C116" s="377"/>
      <c r="D116" s="264"/>
      <c r="E116" s="378"/>
      <c r="F116" s="316" t="s">
        <v>1031</v>
      </c>
      <c r="G116" s="52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2.75" customHeight="1">
      <c r="A117" s="171"/>
      <c r="B117" s="136"/>
      <c r="C117" s="377"/>
      <c r="D117" s="264"/>
      <c r="E117" s="378"/>
      <c r="F117" s="316"/>
      <c r="G117" s="52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8.75" customHeight="1">
      <c r="A118" s="142"/>
      <c r="B118" s="382"/>
      <c r="C118" s="361">
        <f t="shared" ref="C118:E118" si="11">SUM(C110:C117)</f>
        <v>414</v>
      </c>
      <c r="D118" s="146">
        <f t="shared" si="11"/>
        <v>10931.6</v>
      </c>
      <c r="E118" s="250">
        <f t="shared" si="11"/>
        <v>11503.5</v>
      </c>
      <c r="F118" s="307"/>
      <c r="G118" s="52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41.25" customHeight="1">
      <c r="A119" s="110" t="s">
        <v>1032</v>
      </c>
      <c r="B119" s="111"/>
      <c r="C119" s="112" t="s">
        <v>299</v>
      </c>
      <c r="D119" s="113" t="s">
        <v>9</v>
      </c>
      <c r="E119" s="284" t="s">
        <v>10</v>
      </c>
      <c r="F119" s="311" t="s">
        <v>11</v>
      </c>
      <c r="G119" s="52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2.75" customHeight="1">
      <c r="A120" s="194" t="s">
        <v>385</v>
      </c>
      <c r="B120" s="195"/>
      <c r="C120" s="189"/>
      <c r="D120" s="183"/>
      <c r="E120" s="183"/>
      <c r="F120" s="290" t="s">
        <v>1033</v>
      </c>
      <c r="G120" s="52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75" customHeight="1">
      <c r="A121" s="197" t="s">
        <v>303</v>
      </c>
      <c r="B121" s="198" t="s">
        <v>304</v>
      </c>
      <c r="C121" s="191"/>
      <c r="D121" s="186"/>
      <c r="E121" s="186"/>
      <c r="F121" s="300" t="s">
        <v>1034</v>
      </c>
      <c r="G121" s="52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75" customHeight="1">
      <c r="A122" s="128" t="s">
        <v>308</v>
      </c>
      <c r="B122" s="129" t="s">
        <v>309</v>
      </c>
      <c r="C122" s="192">
        <v>443.0</v>
      </c>
      <c r="D122" s="132">
        <v>11173.51</v>
      </c>
      <c r="E122" s="186">
        <v>11924.3</v>
      </c>
      <c r="F122" s="300" t="s">
        <v>1035</v>
      </c>
      <c r="G122" s="52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2.75" customHeight="1">
      <c r="A123" s="302" t="s">
        <v>714</v>
      </c>
      <c r="B123" s="201" t="s">
        <v>15</v>
      </c>
      <c r="C123" s="192">
        <v>1743.0</v>
      </c>
      <c r="D123" s="132">
        <v>44877.92</v>
      </c>
      <c r="E123" s="132">
        <v>46924.38</v>
      </c>
      <c r="F123" s="300" t="s">
        <v>1036</v>
      </c>
      <c r="G123" s="52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2.75" customHeight="1">
      <c r="A124" s="200"/>
      <c r="B124" s="202"/>
      <c r="C124" s="192"/>
      <c r="D124" s="132"/>
      <c r="E124" s="132"/>
      <c r="F124" s="295" t="s">
        <v>1011</v>
      </c>
      <c r="G124" s="52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2.75" customHeight="1">
      <c r="A125" s="200" t="s">
        <v>1037</v>
      </c>
      <c r="B125" s="202" t="s">
        <v>1038</v>
      </c>
      <c r="C125" s="192"/>
      <c r="D125" s="132"/>
      <c r="E125" s="132"/>
      <c r="F125" s="295" t="s">
        <v>1039</v>
      </c>
      <c r="G125" s="52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2.75" customHeight="1">
      <c r="A126" s="200"/>
      <c r="B126" s="202"/>
      <c r="C126" s="192"/>
      <c r="D126" s="132"/>
      <c r="E126" s="132"/>
      <c r="F126" s="316" t="s">
        <v>1040</v>
      </c>
      <c r="G126" s="52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2.75" customHeight="1">
      <c r="A127" s="128" t="s">
        <v>316</v>
      </c>
      <c r="B127" s="134"/>
      <c r="C127" s="192"/>
      <c r="D127" s="132"/>
      <c r="E127" s="132"/>
      <c r="F127" s="316"/>
      <c r="G127" s="52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8.75" customHeight="1">
      <c r="A128" s="203"/>
      <c r="B128" s="143"/>
      <c r="C128" s="355">
        <f t="shared" ref="C128:E128" si="12">SUM(C120:C127)</f>
        <v>2186</v>
      </c>
      <c r="D128" s="146">
        <f t="shared" si="12"/>
        <v>56051.43</v>
      </c>
      <c r="E128" s="146">
        <f t="shared" si="12"/>
        <v>58848.68</v>
      </c>
      <c r="F128" s="358"/>
      <c r="G128" s="52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40.5" customHeight="1">
      <c r="A129" s="179" t="s">
        <v>1041</v>
      </c>
      <c r="B129" s="149"/>
      <c r="C129" s="112" t="s">
        <v>299</v>
      </c>
      <c r="D129" s="113" t="s">
        <v>9</v>
      </c>
      <c r="E129" s="284" t="s">
        <v>10</v>
      </c>
      <c r="F129" s="311" t="s">
        <v>11</v>
      </c>
      <c r="G129" s="52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0" customHeight="1">
      <c r="A130" s="116" t="s">
        <v>486</v>
      </c>
      <c r="B130" s="117"/>
      <c r="C130" s="189"/>
      <c r="D130" s="183"/>
      <c r="E130" s="183"/>
      <c r="F130" s="290" t="s">
        <v>1042</v>
      </c>
      <c r="G130" s="52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0" customHeight="1">
      <c r="A131" s="122" t="s">
        <v>303</v>
      </c>
      <c r="B131" s="123" t="s">
        <v>304</v>
      </c>
      <c r="C131" s="359"/>
      <c r="D131" s="186"/>
      <c r="E131" s="186"/>
      <c r="F131" s="300" t="s">
        <v>1043</v>
      </c>
      <c r="G131" s="52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0" customHeight="1">
      <c r="A132" s="302" t="s">
        <v>712</v>
      </c>
      <c r="B132" s="201" t="s">
        <v>15</v>
      </c>
      <c r="C132" s="297">
        <v>80.0</v>
      </c>
      <c r="D132" s="132">
        <v>2100.96</v>
      </c>
      <c r="E132" s="132">
        <v>2279.68</v>
      </c>
      <c r="F132" s="300" t="s">
        <v>1044</v>
      </c>
      <c r="G132" s="52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customHeight="1">
      <c r="A133" s="200"/>
      <c r="B133" s="198"/>
      <c r="C133" s="297"/>
      <c r="D133" s="132"/>
      <c r="E133" s="132"/>
      <c r="F133" s="300" t="s">
        <v>1045</v>
      </c>
      <c r="G133" s="52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6.5" customHeight="1">
      <c r="A134" s="200" t="s">
        <v>1046</v>
      </c>
      <c r="B134" s="198"/>
      <c r="C134" s="297"/>
      <c r="D134" s="132"/>
      <c r="E134" s="132"/>
      <c r="F134" s="295" t="s">
        <v>1047</v>
      </c>
      <c r="G134" s="52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0" customHeight="1">
      <c r="A135" s="200"/>
      <c r="B135" s="198"/>
      <c r="C135" s="297"/>
      <c r="D135" s="132"/>
      <c r="E135" s="132"/>
      <c r="F135" s="295" t="s">
        <v>1048</v>
      </c>
      <c r="G135" s="52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.75" customHeight="1">
      <c r="A136" s="137" t="s">
        <v>316</v>
      </c>
      <c r="B136" s="134"/>
      <c r="C136" s="297"/>
      <c r="D136" s="132"/>
      <c r="E136" s="132"/>
      <c r="F136" s="316" t="s">
        <v>1049</v>
      </c>
      <c r="G136" s="52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21.75" customHeight="1">
      <c r="A137" s="142"/>
      <c r="B137" s="143"/>
      <c r="C137" s="361">
        <f t="shared" ref="C137:E137" si="13">SUM(C130:C136)</f>
        <v>80</v>
      </c>
      <c r="D137" s="146">
        <f t="shared" si="13"/>
        <v>2100.96</v>
      </c>
      <c r="E137" s="146">
        <f t="shared" si="13"/>
        <v>2279.68</v>
      </c>
      <c r="F137" s="358"/>
      <c r="G137" s="52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44.25" customHeight="1">
      <c r="A138" s="281" t="s">
        <v>1050</v>
      </c>
      <c r="B138" s="282"/>
      <c r="C138" s="370" t="s">
        <v>299</v>
      </c>
      <c r="D138" s="113" t="s">
        <v>9</v>
      </c>
      <c r="E138" s="284" t="s">
        <v>10</v>
      </c>
      <c r="F138" s="354" t="s">
        <v>11</v>
      </c>
      <c r="G138" s="52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194" t="s">
        <v>319</v>
      </c>
      <c r="B139" s="286"/>
      <c r="C139" s="371"/>
      <c r="D139" s="262"/>
      <c r="E139" s="372"/>
      <c r="F139" s="290" t="s">
        <v>1051</v>
      </c>
      <c r="G139" s="52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197" t="s">
        <v>303</v>
      </c>
      <c r="B140" s="291" t="s">
        <v>304</v>
      </c>
      <c r="C140" s="374"/>
      <c r="D140" s="263"/>
      <c r="E140" s="375"/>
      <c r="F140" s="300" t="s">
        <v>1052</v>
      </c>
      <c r="G140" s="52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2.75" customHeight="1">
      <c r="A141" s="200" t="s">
        <v>308</v>
      </c>
      <c r="B141" s="201" t="s">
        <v>309</v>
      </c>
      <c r="C141" s="377">
        <v>4328.0</v>
      </c>
      <c r="D141" s="264">
        <v>112625.7</v>
      </c>
      <c r="E141" s="378">
        <v>117559.4</v>
      </c>
      <c r="F141" s="300" t="s">
        <v>1053</v>
      </c>
      <c r="G141" s="52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.75" customHeight="1">
      <c r="A142" s="200" t="s">
        <v>714</v>
      </c>
      <c r="B142" s="201" t="s">
        <v>15</v>
      </c>
      <c r="C142" s="377">
        <v>3724.0</v>
      </c>
      <c r="D142" s="264">
        <v>96273.63</v>
      </c>
      <c r="E142" s="378">
        <v>100971.48</v>
      </c>
      <c r="F142" s="300" t="s">
        <v>1054</v>
      </c>
      <c r="G142" s="52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.75" customHeight="1">
      <c r="A143" s="381"/>
      <c r="B143" s="380"/>
      <c r="C143" s="377"/>
      <c r="D143" s="264"/>
      <c r="E143" s="378" t="s">
        <v>614</v>
      </c>
      <c r="F143" s="295" t="s">
        <v>1055</v>
      </c>
      <c r="G143" s="52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.75" customHeight="1">
      <c r="A144" s="171" t="s">
        <v>1056</v>
      </c>
      <c r="B144" s="136" t="s">
        <v>1057</v>
      </c>
      <c r="C144" s="377"/>
      <c r="D144" s="264"/>
      <c r="E144" s="378"/>
      <c r="F144" s="295" t="s">
        <v>1058</v>
      </c>
      <c r="G144" s="52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.75" customHeight="1">
      <c r="A145" s="171" t="s">
        <v>1059</v>
      </c>
      <c r="B145" s="136" t="s">
        <v>1060</v>
      </c>
      <c r="C145" s="377"/>
      <c r="D145" s="264"/>
      <c r="E145" s="378"/>
      <c r="F145" s="316" t="s">
        <v>1061</v>
      </c>
      <c r="G145" s="52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2.75" customHeight="1">
      <c r="A146" s="171" t="s">
        <v>1062</v>
      </c>
      <c r="B146" s="136" t="s">
        <v>1063</v>
      </c>
      <c r="C146" s="377"/>
      <c r="D146" s="264"/>
      <c r="E146" s="378"/>
      <c r="F146" s="316"/>
      <c r="G146" s="52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75" customHeight="1">
      <c r="A147" s="171" t="s">
        <v>1064</v>
      </c>
      <c r="B147" s="136" t="s">
        <v>1065</v>
      </c>
      <c r="C147" s="377"/>
      <c r="D147" s="264"/>
      <c r="E147" s="378"/>
      <c r="F147" s="295"/>
      <c r="G147" s="52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75" customHeight="1">
      <c r="A148" s="171"/>
      <c r="B148" s="136"/>
      <c r="C148" s="377"/>
      <c r="D148" s="264"/>
      <c r="E148" s="378"/>
      <c r="F148" s="295"/>
      <c r="G148" s="52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2.75" customHeight="1">
      <c r="A149" s="128" t="s">
        <v>316</v>
      </c>
      <c r="B149" s="380"/>
      <c r="C149" s="297"/>
      <c r="D149" s="132"/>
      <c r="E149" s="246"/>
      <c r="F149" s="316"/>
      <c r="G149" s="52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8.75" customHeight="1">
      <c r="A150" s="142"/>
      <c r="B150" s="382"/>
      <c r="C150" s="361">
        <f t="shared" ref="C150:E150" si="14">SUM(C139:C149)</f>
        <v>8052</v>
      </c>
      <c r="D150" s="146">
        <f t="shared" si="14"/>
        <v>208899.33</v>
      </c>
      <c r="E150" s="250">
        <f t="shared" si="14"/>
        <v>218530.88</v>
      </c>
      <c r="F150" s="307"/>
      <c r="G150" s="52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46.5" customHeight="1">
      <c r="A151" s="179" t="s">
        <v>1066</v>
      </c>
      <c r="B151" s="149"/>
      <c r="C151" s="112" t="s">
        <v>299</v>
      </c>
      <c r="D151" s="113" t="s">
        <v>9</v>
      </c>
      <c r="E151" s="284" t="s">
        <v>10</v>
      </c>
      <c r="F151" s="311" t="s">
        <v>11</v>
      </c>
      <c r="G151" s="52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.75" customHeight="1">
      <c r="A152" s="194" t="s">
        <v>440</v>
      </c>
      <c r="B152" s="195"/>
      <c r="C152" s="287"/>
      <c r="D152" s="183"/>
      <c r="E152" s="183"/>
      <c r="F152" s="290" t="s">
        <v>1067</v>
      </c>
      <c r="G152" s="52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.75" customHeight="1">
      <c r="A153" s="122" t="s">
        <v>303</v>
      </c>
      <c r="B153" s="123" t="s">
        <v>304</v>
      </c>
      <c r="C153" s="292"/>
      <c r="D153" s="186"/>
      <c r="E153" s="186"/>
      <c r="F153" s="300" t="s">
        <v>1068</v>
      </c>
      <c r="G153" s="52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.75" customHeight="1">
      <c r="A154" s="200" t="s">
        <v>308</v>
      </c>
      <c r="B154" s="201" t="s">
        <v>309</v>
      </c>
      <c r="C154" s="297">
        <v>3895.0</v>
      </c>
      <c r="D154" s="132">
        <v>99279.37</v>
      </c>
      <c r="E154" s="132">
        <v>105626.702</v>
      </c>
      <c r="F154" s="300" t="s">
        <v>1069</v>
      </c>
      <c r="G154" s="52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.75" customHeight="1">
      <c r="A155" s="200" t="s">
        <v>714</v>
      </c>
      <c r="B155" s="201" t="s">
        <v>15</v>
      </c>
      <c r="C155" s="297">
        <v>3642.0</v>
      </c>
      <c r="D155" s="132">
        <v>96213.3</v>
      </c>
      <c r="E155" s="132">
        <v>98913.068</v>
      </c>
      <c r="F155" s="300" t="s">
        <v>1070</v>
      </c>
      <c r="G155" s="52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.75" customHeight="1">
      <c r="A156" s="200"/>
      <c r="B156" s="198"/>
      <c r="C156" s="297"/>
      <c r="D156" s="132"/>
      <c r="E156" s="132"/>
      <c r="F156" s="295" t="s">
        <v>1071</v>
      </c>
      <c r="G156" s="52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.75" customHeight="1">
      <c r="A157" s="200" t="s">
        <v>1072</v>
      </c>
      <c r="B157" s="198" t="s">
        <v>1073</v>
      </c>
      <c r="C157" s="297"/>
      <c r="D157" s="132"/>
      <c r="E157" s="132"/>
      <c r="F157" s="295" t="s">
        <v>1074</v>
      </c>
      <c r="G157" s="52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.75" customHeight="1">
      <c r="A158" s="200" t="s">
        <v>1075</v>
      </c>
      <c r="B158" s="198" t="s">
        <v>1076</v>
      </c>
      <c r="C158" s="297"/>
      <c r="D158" s="132"/>
      <c r="E158" s="132"/>
      <c r="F158" s="316" t="s">
        <v>1077</v>
      </c>
      <c r="G158" s="52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2.75" customHeight="1">
      <c r="A159" s="200" t="s">
        <v>1078</v>
      </c>
      <c r="B159" s="198" t="s">
        <v>1079</v>
      </c>
      <c r="C159" s="297"/>
      <c r="D159" s="132"/>
      <c r="E159" s="132"/>
      <c r="F159" s="316"/>
      <c r="G159" s="52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.75" customHeight="1">
      <c r="A160" s="200" t="s">
        <v>1080</v>
      </c>
      <c r="B160" s="134"/>
      <c r="C160" s="297"/>
      <c r="D160" s="132"/>
      <c r="E160" s="132"/>
      <c r="F160" s="295"/>
      <c r="G160" s="52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.75" customHeight="1">
      <c r="A161" s="128"/>
      <c r="B161" s="134"/>
      <c r="C161" s="297"/>
      <c r="D161" s="132"/>
      <c r="E161" s="132"/>
      <c r="F161" s="295"/>
      <c r="G161" s="52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75" customHeight="1">
      <c r="A162" s="128" t="s">
        <v>316</v>
      </c>
      <c r="B162" s="134"/>
      <c r="C162" s="297"/>
      <c r="D162" s="132"/>
      <c r="E162" s="132"/>
      <c r="F162" s="295"/>
      <c r="G162" s="52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8.75" customHeight="1">
      <c r="A163" s="142"/>
      <c r="B163" s="143"/>
      <c r="C163" s="355">
        <f t="shared" ref="C163:E163" si="15">SUM(C152:C162)</f>
        <v>7537</v>
      </c>
      <c r="D163" s="146">
        <f t="shared" si="15"/>
        <v>195492.67</v>
      </c>
      <c r="E163" s="146">
        <f t="shared" si="15"/>
        <v>204539.77</v>
      </c>
      <c r="F163" s="307"/>
      <c r="G163" s="52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8.75" customHeight="1">
      <c r="A164" s="203"/>
      <c r="B164" s="143"/>
      <c r="C164" s="144"/>
      <c r="D164" s="145"/>
      <c r="E164" s="146"/>
      <c r="F164" s="147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8.0" customHeight="1">
      <c r="A165" s="266"/>
      <c r="B165" s="267"/>
      <c r="C165" s="268" t="s">
        <v>292</v>
      </c>
      <c r="D165" s="269" t="s">
        <v>292</v>
      </c>
      <c r="E165" s="270" t="s">
        <v>292</v>
      </c>
      <c r="F165" s="271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8.75" customHeight="1">
      <c r="A166" s="272"/>
      <c r="B166" s="273"/>
      <c r="C166" s="274">
        <f t="shared" ref="C166:E166" si="16">SUM(C19+C29+C42+C52+C63+C72+C81+C90+C99+C108+C118+C128+C137+C150+C163)</f>
        <v>47326</v>
      </c>
      <c r="D166" s="98">
        <f t="shared" si="16"/>
        <v>1200404.53</v>
      </c>
      <c r="E166" s="98">
        <f t="shared" si="16"/>
        <v>1258261.78</v>
      </c>
      <c r="F166" s="277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.75" customHeight="1">
      <c r="A167" s="4"/>
      <c r="B167" s="101"/>
      <c r="C167" s="4"/>
      <c r="D167" s="102"/>
      <c r="E167" s="103"/>
      <c r="F167" s="10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75" customHeight="1">
      <c r="A168" s="4"/>
      <c r="B168" s="101"/>
      <c r="C168" s="4"/>
      <c r="D168" s="102"/>
      <c r="E168" s="103"/>
      <c r="F168" s="10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75" customHeight="1">
      <c r="A169" s="4"/>
      <c r="B169" s="101"/>
      <c r="C169" s="4"/>
      <c r="D169" s="102"/>
      <c r="E169" s="103"/>
      <c r="F169" s="10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75" customHeight="1">
      <c r="A170" s="4"/>
      <c r="B170" s="101"/>
      <c r="C170" s="4"/>
      <c r="D170" s="102"/>
      <c r="E170" s="103"/>
      <c r="F170" s="10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75" customHeight="1">
      <c r="A171" s="4"/>
      <c r="B171" s="101"/>
      <c r="C171" s="4"/>
      <c r="D171" s="102"/>
      <c r="E171" s="103"/>
      <c r="F171" s="10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75" customHeight="1">
      <c r="A172" s="4"/>
      <c r="B172" s="101"/>
      <c r="C172" s="4"/>
      <c r="D172" s="102"/>
      <c r="E172" s="103"/>
      <c r="F172" s="10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75" customHeight="1">
      <c r="A173" s="4"/>
      <c r="B173" s="101"/>
      <c r="C173" s="4"/>
      <c r="D173" s="102"/>
      <c r="E173" s="103"/>
      <c r="F173" s="10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75" customHeight="1">
      <c r="A174" s="4"/>
      <c r="B174" s="101"/>
      <c r="C174" s="4"/>
      <c r="D174" s="102"/>
      <c r="E174" s="103"/>
      <c r="F174" s="10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75" customHeight="1">
      <c r="A175" s="4"/>
      <c r="B175" s="101"/>
      <c r="C175" s="4"/>
      <c r="D175" s="102"/>
      <c r="E175" s="103"/>
      <c r="F175" s="10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75" customHeight="1">
      <c r="A176" s="4"/>
      <c r="B176" s="101"/>
      <c r="C176" s="4"/>
      <c r="D176" s="102"/>
      <c r="E176" s="103"/>
      <c r="F176" s="10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75" customHeight="1">
      <c r="A177" s="4"/>
      <c r="B177" s="101"/>
      <c r="C177" s="4"/>
      <c r="D177" s="102"/>
      <c r="E177" s="103"/>
      <c r="F177" s="10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75" customHeight="1">
      <c r="A178" s="4"/>
      <c r="B178" s="101"/>
      <c r="C178" s="4"/>
      <c r="D178" s="102"/>
      <c r="E178" s="103"/>
      <c r="F178" s="10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75" customHeight="1">
      <c r="A179" s="4"/>
      <c r="B179" s="101"/>
      <c r="C179" s="4"/>
      <c r="D179" s="102"/>
      <c r="E179" s="103"/>
      <c r="F179" s="10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75" customHeight="1">
      <c r="A180" s="4"/>
      <c r="B180" s="101"/>
      <c r="C180" s="4"/>
      <c r="D180" s="102"/>
      <c r="E180" s="103"/>
      <c r="F180" s="10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75" customHeight="1">
      <c r="A181" s="4"/>
      <c r="B181" s="101"/>
      <c r="C181" s="4"/>
      <c r="D181" s="102"/>
      <c r="E181" s="103"/>
      <c r="F181" s="10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75" customHeight="1">
      <c r="A182" s="4"/>
      <c r="B182" s="101"/>
      <c r="C182" s="4"/>
      <c r="D182" s="102"/>
      <c r="E182" s="103"/>
      <c r="F182" s="10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75" customHeight="1">
      <c r="A183" s="4"/>
      <c r="B183" s="101"/>
      <c r="C183" s="4"/>
      <c r="D183" s="102"/>
      <c r="E183" s="103"/>
      <c r="F183" s="10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75" customHeight="1">
      <c r="A184" s="4"/>
      <c r="B184" s="101"/>
      <c r="C184" s="4"/>
      <c r="D184" s="102"/>
      <c r="E184" s="103"/>
      <c r="F184" s="10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75" customHeight="1">
      <c r="A185" s="4"/>
      <c r="B185" s="101"/>
      <c r="C185" s="4"/>
      <c r="D185" s="102"/>
      <c r="E185" s="103"/>
      <c r="F185" s="10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75" customHeight="1">
      <c r="A186" s="4"/>
      <c r="B186" s="101"/>
      <c r="C186" s="4"/>
      <c r="D186" s="102"/>
      <c r="E186" s="103"/>
      <c r="F186" s="10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75" customHeight="1">
      <c r="A187" s="4"/>
      <c r="B187" s="101"/>
      <c r="C187" s="4"/>
      <c r="D187" s="102"/>
      <c r="E187" s="103"/>
      <c r="F187" s="10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75" customHeight="1">
      <c r="A188" s="4"/>
      <c r="B188" s="101"/>
      <c r="C188" s="4"/>
      <c r="D188" s="102"/>
      <c r="E188" s="103"/>
      <c r="F188" s="10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75" customHeight="1">
      <c r="A189" s="4"/>
      <c r="B189" s="101"/>
      <c r="C189" s="4"/>
      <c r="D189" s="102"/>
      <c r="E189" s="103"/>
      <c r="F189" s="10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75" customHeight="1">
      <c r="A190" s="4"/>
      <c r="B190" s="101"/>
      <c r="C190" s="4"/>
      <c r="D190" s="102"/>
      <c r="E190" s="103"/>
      <c r="F190" s="10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75" customHeight="1">
      <c r="A191" s="4"/>
      <c r="B191" s="101"/>
      <c r="C191" s="4"/>
      <c r="D191" s="102"/>
      <c r="E191" s="103"/>
      <c r="F191" s="10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75" customHeight="1">
      <c r="A192" s="4"/>
      <c r="B192" s="101"/>
      <c r="C192" s="4"/>
      <c r="D192" s="102"/>
      <c r="E192" s="103"/>
      <c r="F192" s="10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75" customHeight="1">
      <c r="A193" s="4"/>
      <c r="B193" s="101"/>
      <c r="C193" s="4"/>
      <c r="D193" s="102"/>
      <c r="E193" s="103"/>
      <c r="F193" s="10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75" customHeight="1">
      <c r="A194" s="4"/>
      <c r="B194" s="101"/>
      <c r="C194" s="4"/>
      <c r="D194" s="102"/>
      <c r="E194" s="103"/>
      <c r="F194" s="10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75" customHeight="1">
      <c r="A195" s="4"/>
      <c r="B195" s="101"/>
      <c r="C195" s="4"/>
      <c r="D195" s="102"/>
      <c r="E195" s="103"/>
      <c r="F195" s="10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75" customHeight="1">
      <c r="A196" s="4"/>
      <c r="B196" s="101"/>
      <c r="C196" s="4"/>
      <c r="D196" s="102"/>
      <c r="E196" s="103"/>
      <c r="F196" s="10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75" customHeight="1">
      <c r="A197" s="4"/>
      <c r="B197" s="101"/>
      <c r="C197" s="4"/>
      <c r="D197" s="102"/>
      <c r="E197" s="103"/>
      <c r="F197" s="10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75" customHeight="1">
      <c r="A198" s="4"/>
      <c r="B198" s="101"/>
      <c r="C198" s="4"/>
      <c r="D198" s="102"/>
      <c r="E198" s="103"/>
      <c r="F198" s="10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75" customHeight="1">
      <c r="A199" s="4"/>
      <c r="B199" s="101"/>
      <c r="C199" s="4"/>
      <c r="D199" s="102"/>
      <c r="E199" s="103"/>
      <c r="F199" s="10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75" customHeight="1">
      <c r="A200" s="4"/>
      <c r="B200" s="101"/>
      <c r="C200" s="4"/>
      <c r="D200" s="102"/>
      <c r="E200" s="103"/>
      <c r="F200" s="10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75" customHeight="1">
      <c r="A201" s="4"/>
      <c r="B201" s="101"/>
      <c r="C201" s="4"/>
      <c r="D201" s="102"/>
      <c r="E201" s="103"/>
      <c r="F201" s="10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.75" customHeight="1">
      <c r="A202" s="4"/>
      <c r="B202" s="101"/>
      <c r="C202" s="4"/>
      <c r="D202" s="102"/>
      <c r="E202" s="103"/>
      <c r="F202" s="10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75" customHeight="1">
      <c r="A203" s="4"/>
      <c r="B203" s="101"/>
      <c r="C203" s="4"/>
      <c r="D203" s="102"/>
      <c r="E203" s="103"/>
      <c r="F203" s="10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75" customHeight="1">
      <c r="A204" s="4"/>
      <c r="B204" s="101"/>
      <c r="C204" s="4"/>
      <c r="D204" s="102"/>
      <c r="E204" s="103"/>
      <c r="F204" s="10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75" customHeight="1">
      <c r="A205" s="4"/>
      <c r="B205" s="101"/>
      <c r="C205" s="4"/>
      <c r="D205" s="102"/>
      <c r="E205" s="103"/>
      <c r="F205" s="10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75" customHeight="1">
      <c r="A206" s="4"/>
      <c r="B206" s="101"/>
      <c r="C206" s="4"/>
      <c r="D206" s="102"/>
      <c r="E206" s="103"/>
      <c r="F206" s="10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75" customHeight="1">
      <c r="A207" s="4"/>
      <c r="B207" s="101"/>
      <c r="C207" s="4"/>
      <c r="D207" s="102"/>
      <c r="E207" s="103"/>
      <c r="F207" s="10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75" customHeight="1">
      <c r="A208" s="4"/>
      <c r="B208" s="101"/>
      <c r="C208" s="4"/>
      <c r="D208" s="102"/>
      <c r="E208" s="103"/>
      <c r="F208" s="10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75" customHeight="1">
      <c r="A209" s="4"/>
      <c r="B209" s="101"/>
      <c r="C209" s="4"/>
      <c r="D209" s="102"/>
      <c r="E209" s="103"/>
      <c r="F209" s="10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75" customHeight="1">
      <c r="A210" s="4"/>
      <c r="B210" s="101"/>
      <c r="C210" s="4"/>
      <c r="D210" s="102"/>
      <c r="E210" s="103"/>
      <c r="F210" s="10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.75" customHeight="1">
      <c r="A211" s="4"/>
      <c r="B211" s="101"/>
      <c r="C211" s="4"/>
      <c r="D211" s="102"/>
      <c r="E211" s="103"/>
      <c r="F211" s="10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75" customHeight="1">
      <c r="A212" s="4"/>
      <c r="B212" s="101"/>
      <c r="C212" s="4"/>
      <c r="D212" s="102"/>
      <c r="E212" s="103"/>
      <c r="F212" s="10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75" customHeight="1">
      <c r="A213" s="4"/>
      <c r="B213" s="101"/>
      <c r="C213" s="4"/>
      <c r="D213" s="102"/>
      <c r="E213" s="103"/>
      <c r="F213" s="10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75" customHeight="1">
      <c r="A214" s="4"/>
      <c r="B214" s="101"/>
      <c r="C214" s="4"/>
      <c r="D214" s="102"/>
      <c r="E214" s="103"/>
      <c r="F214" s="10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75" customHeight="1">
      <c r="A215" s="4"/>
      <c r="B215" s="101"/>
      <c r="C215" s="4"/>
      <c r="D215" s="102"/>
      <c r="E215" s="103"/>
      <c r="F215" s="10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75" customHeight="1">
      <c r="A216" s="4"/>
      <c r="B216" s="101"/>
      <c r="C216" s="4"/>
      <c r="D216" s="102"/>
      <c r="E216" s="103"/>
      <c r="F216" s="10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75" customHeight="1">
      <c r="A217" s="4"/>
      <c r="B217" s="101"/>
      <c r="C217" s="4"/>
      <c r="D217" s="102"/>
      <c r="E217" s="103"/>
      <c r="F217" s="10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75" customHeight="1">
      <c r="A218" s="4"/>
      <c r="B218" s="101"/>
      <c r="C218" s="4"/>
      <c r="D218" s="102"/>
      <c r="E218" s="103"/>
      <c r="F218" s="10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75" customHeight="1">
      <c r="A219" s="4"/>
      <c r="B219" s="101"/>
      <c r="C219" s="4"/>
      <c r="D219" s="102"/>
      <c r="E219" s="103"/>
      <c r="F219" s="10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75" customHeight="1">
      <c r="A220" s="4"/>
      <c r="B220" s="101"/>
      <c r="C220" s="4"/>
      <c r="D220" s="102"/>
      <c r="E220" s="103"/>
      <c r="F220" s="10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2.75" customHeight="1">
      <c r="A221" s="4"/>
      <c r="B221" s="101"/>
      <c r="C221" s="4"/>
      <c r="D221" s="102"/>
      <c r="E221" s="103"/>
      <c r="F221" s="10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2.75" customHeight="1">
      <c r="A222" s="4"/>
      <c r="B222" s="101"/>
      <c r="C222" s="4"/>
      <c r="D222" s="102"/>
      <c r="E222" s="103"/>
      <c r="F222" s="10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2.75" customHeight="1">
      <c r="A223" s="4"/>
      <c r="B223" s="101"/>
      <c r="C223" s="4"/>
      <c r="D223" s="102"/>
      <c r="E223" s="103"/>
      <c r="F223" s="10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2.75" customHeight="1">
      <c r="A224" s="4"/>
      <c r="B224" s="101"/>
      <c r="C224" s="4"/>
      <c r="D224" s="102"/>
      <c r="E224" s="103"/>
      <c r="F224" s="10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2.75" customHeight="1">
      <c r="A225" s="4"/>
      <c r="B225" s="101"/>
      <c r="C225" s="4"/>
      <c r="D225" s="102"/>
      <c r="E225" s="103"/>
      <c r="F225" s="10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2.75" customHeight="1">
      <c r="A226" s="4"/>
      <c r="B226" s="101"/>
      <c r="C226" s="4"/>
      <c r="D226" s="102"/>
      <c r="E226" s="103"/>
      <c r="F226" s="10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2.75" customHeight="1">
      <c r="A227" s="4"/>
      <c r="B227" s="101"/>
      <c r="C227" s="4"/>
      <c r="D227" s="102"/>
      <c r="E227" s="103"/>
      <c r="F227" s="10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2.75" customHeight="1">
      <c r="A228" s="4"/>
      <c r="B228" s="101"/>
      <c r="C228" s="4"/>
      <c r="D228" s="102"/>
      <c r="E228" s="103"/>
      <c r="F228" s="10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2.75" customHeight="1">
      <c r="A229" s="4"/>
      <c r="B229" s="101"/>
      <c r="C229" s="4"/>
      <c r="D229" s="102"/>
      <c r="E229" s="103"/>
      <c r="F229" s="10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2.75" customHeight="1">
      <c r="A230" s="4"/>
      <c r="B230" s="101"/>
      <c r="C230" s="4"/>
      <c r="D230" s="102"/>
      <c r="E230" s="103"/>
      <c r="F230" s="10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2.75" customHeight="1">
      <c r="A231" s="4"/>
      <c r="B231" s="101"/>
      <c r="C231" s="4"/>
      <c r="D231" s="102"/>
      <c r="E231" s="103"/>
      <c r="F231" s="10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2.75" customHeight="1">
      <c r="A232" s="4"/>
      <c r="B232" s="101"/>
      <c r="C232" s="4"/>
      <c r="D232" s="102"/>
      <c r="E232" s="103"/>
      <c r="F232" s="10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2.75" customHeight="1">
      <c r="A233" s="4"/>
      <c r="B233" s="101"/>
      <c r="C233" s="4"/>
      <c r="D233" s="102"/>
      <c r="E233" s="103"/>
      <c r="F233" s="10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2.75" customHeight="1">
      <c r="A234" s="4"/>
      <c r="B234" s="101"/>
      <c r="C234" s="4"/>
      <c r="D234" s="102"/>
      <c r="E234" s="103"/>
      <c r="F234" s="10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2.75" customHeight="1">
      <c r="A235" s="4"/>
      <c r="B235" s="101"/>
      <c r="C235" s="4"/>
      <c r="D235" s="102"/>
      <c r="E235" s="103"/>
      <c r="F235" s="10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2.75" customHeight="1">
      <c r="A236" s="4"/>
      <c r="B236" s="101"/>
      <c r="C236" s="4"/>
      <c r="D236" s="102"/>
      <c r="E236" s="103"/>
      <c r="F236" s="10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2.75" customHeight="1">
      <c r="A237" s="4"/>
      <c r="B237" s="101"/>
      <c r="C237" s="4"/>
      <c r="D237" s="102"/>
      <c r="E237" s="103"/>
      <c r="F237" s="10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2.75" customHeight="1">
      <c r="A238" s="4"/>
      <c r="B238" s="101"/>
      <c r="C238" s="4"/>
      <c r="D238" s="102"/>
      <c r="E238" s="103"/>
      <c r="F238" s="10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2.75" customHeight="1">
      <c r="A239" s="4"/>
      <c r="B239" s="101"/>
      <c r="C239" s="4"/>
      <c r="D239" s="102"/>
      <c r="E239" s="103"/>
      <c r="F239" s="10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2.75" customHeight="1">
      <c r="A240" s="4"/>
      <c r="B240" s="101"/>
      <c r="C240" s="4"/>
      <c r="D240" s="102"/>
      <c r="E240" s="103"/>
      <c r="F240" s="10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2.75" customHeight="1">
      <c r="A241" s="4"/>
      <c r="B241" s="101"/>
      <c r="C241" s="4"/>
      <c r="D241" s="102"/>
      <c r="E241" s="103"/>
      <c r="F241" s="10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2.75" customHeight="1">
      <c r="A242" s="4"/>
      <c r="B242" s="101"/>
      <c r="C242" s="4"/>
      <c r="D242" s="102"/>
      <c r="E242" s="103"/>
      <c r="F242" s="10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2.75" customHeight="1">
      <c r="A243" s="4"/>
      <c r="B243" s="101"/>
      <c r="C243" s="4"/>
      <c r="D243" s="102"/>
      <c r="E243" s="103"/>
      <c r="F243" s="10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2.75" customHeight="1">
      <c r="A244" s="4"/>
      <c r="B244" s="101"/>
      <c r="C244" s="4"/>
      <c r="D244" s="102"/>
      <c r="E244" s="103"/>
      <c r="F244" s="10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2.75" customHeight="1">
      <c r="A245" s="4"/>
      <c r="B245" s="101"/>
      <c r="C245" s="4"/>
      <c r="D245" s="102"/>
      <c r="E245" s="103"/>
      <c r="F245" s="10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2.75" customHeight="1">
      <c r="A246" s="4"/>
      <c r="B246" s="101"/>
      <c r="C246" s="4"/>
      <c r="D246" s="102"/>
      <c r="E246" s="103"/>
      <c r="F246" s="10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2.75" customHeight="1">
      <c r="A247" s="4"/>
      <c r="B247" s="101"/>
      <c r="C247" s="4"/>
      <c r="D247" s="102"/>
      <c r="E247" s="103"/>
      <c r="F247" s="10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2.75" customHeight="1">
      <c r="A248" s="4"/>
      <c r="B248" s="101"/>
      <c r="C248" s="4"/>
      <c r="D248" s="102"/>
      <c r="E248" s="103"/>
      <c r="F248" s="10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2.75" customHeight="1">
      <c r="A249" s="4"/>
      <c r="B249" s="101"/>
      <c r="C249" s="4"/>
      <c r="D249" s="102"/>
      <c r="E249" s="103"/>
      <c r="F249" s="10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2.75" customHeight="1">
      <c r="A250" s="4"/>
      <c r="B250" s="101"/>
      <c r="C250" s="4"/>
      <c r="D250" s="102"/>
      <c r="E250" s="103"/>
      <c r="F250" s="10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2.75" customHeight="1">
      <c r="A251" s="4"/>
      <c r="B251" s="101"/>
      <c r="C251" s="4"/>
      <c r="D251" s="102"/>
      <c r="E251" s="103"/>
      <c r="F251" s="10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2.75" customHeight="1">
      <c r="A252" s="4"/>
      <c r="B252" s="101"/>
      <c r="C252" s="4"/>
      <c r="D252" s="102"/>
      <c r="E252" s="103"/>
      <c r="F252" s="10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2.75" customHeight="1">
      <c r="A253" s="4"/>
      <c r="B253" s="101"/>
      <c r="C253" s="4"/>
      <c r="D253" s="102"/>
      <c r="E253" s="103"/>
      <c r="F253" s="10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2.75" customHeight="1">
      <c r="A254" s="4"/>
      <c r="B254" s="101"/>
      <c r="C254" s="4"/>
      <c r="D254" s="102"/>
      <c r="E254" s="103"/>
      <c r="F254" s="10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2.75" customHeight="1">
      <c r="A255" s="4"/>
      <c r="B255" s="101"/>
      <c r="C255" s="4"/>
      <c r="D255" s="102"/>
      <c r="E255" s="103"/>
      <c r="F255" s="10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2.75" customHeight="1">
      <c r="A256" s="4"/>
      <c r="B256" s="101"/>
      <c r="C256" s="4"/>
      <c r="D256" s="102"/>
      <c r="E256" s="103"/>
      <c r="F256" s="10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2.75" customHeight="1">
      <c r="A257" s="4"/>
      <c r="B257" s="101"/>
      <c r="C257" s="4"/>
      <c r="D257" s="102"/>
      <c r="E257" s="103"/>
      <c r="F257" s="10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2.75" customHeight="1">
      <c r="A258" s="4"/>
      <c r="B258" s="101"/>
      <c r="C258" s="4"/>
      <c r="D258" s="102"/>
      <c r="E258" s="103"/>
      <c r="F258" s="10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2.75" customHeight="1">
      <c r="A259" s="4"/>
      <c r="B259" s="101"/>
      <c r="C259" s="4"/>
      <c r="D259" s="102"/>
      <c r="E259" s="103"/>
      <c r="F259" s="10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2.75" customHeight="1">
      <c r="A260" s="4"/>
      <c r="B260" s="101"/>
      <c r="C260" s="4"/>
      <c r="D260" s="102"/>
      <c r="E260" s="103"/>
      <c r="F260" s="10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2.75" customHeight="1">
      <c r="A261" s="4"/>
      <c r="B261" s="101"/>
      <c r="C261" s="4"/>
      <c r="D261" s="102"/>
      <c r="E261" s="103"/>
      <c r="F261" s="10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2.75" customHeight="1">
      <c r="A262" s="4"/>
      <c r="B262" s="101"/>
      <c r="C262" s="4"/>
      <c r="D262" s="102"/>
      <c r="E262" s="103"/>
      <c r="F262" s="10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2.75" customHeight="1">
      <c r="A263" s="4"/>
      <c r="B263" s="101"/>
      <c r="C263" s="4"/>
      <c r="D263" s="102"/>
      <c r="E263" s="103"/>
      <c r="F263" s="10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2.75" customHeight="1">
      <c r="A264" s="4"/>
      <c r="B264" s="101"/>
      <c r="C264" s="4"/>
      <c r="D264" s="102"/>
      <c r="E264" s="103"/>
      <c r="F264" s="10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2.75" customHeight="1">
      <c r="A265" s="4"/>
      <c r="B265" s="101"/>
      <c r="C265" s="4"/>
      <c r="D265" s="102"/>
      <c r="E265" s="103"/>
      <c r="F265" s="10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2.75" customHeight="1">
      <c r="A266" s="4"/>
      <c r="B266" s="101"/>
      <c r="C266" s="4"/>
      <c r="D266" s="102"/>
      <c r="E266" s="103"/>
      <c r="F266" s="10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2.75" customHeight="1">
      <c r="A267" s="4"/>
      <c r="B267" s="101"/>
      <c r="C267" s="4"/>
      <c r="D267" s="102"/>
      <c r="E267" s="103"/>
      <c r="F267" s="10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2.75" customHeight="1">
      <c r="A268" s="4"/>
      <c r="B268" s="101"/>
      <c r="C268" s="4"/>
      <c r="D268" s="102"/>
      <c r="E268" s="103"/>
      <c r="F268" s="10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2.75" customHeight="1">
      <c r="A269" s="4"/>
      <c r="B269" s="101"/>
      <c r="C269" s="4"/>
      <c r="D269" s="102"/>
      <c r="E269" s="103"/>
      <c r="F269" s="10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2.75" customHeight="1">
      <c r="A270" s="4"/>
      <c r="B270" s="101"/>
      <c r="C270" s="4"/>
      <c r="D270" s="102"/>
      <c r="E270" s="103"/>
      <c r="F270" s="10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2.75" customHeight="1">
      <c r="A271" s="4"/>
      <c r="B271" s="101"/>
      <c r="C271" s="4"/>
      <c r="D271" s="102"/>
      <c r="E271" s="103"/>
      <c r="F271" s="10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2.75" customHeight="1">
      <c r="A272" s="4"/>
      <c r="B272" s="101"/>
      <c r="C272" s="4"/>
      <c r="D272" s="102"/>
      <c r="E272" s="103"/>
      <c r="F272" s="10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2.75" customHeight="1">
      <c r="A273" s="4"/>
      <c r="B273" s="101"/>
      <c r="C273" s="4"/>
      <c r="D273" s="102"/>
      <c r="E273" s="103"/>
      <c r="F273" s="10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2.75" customHeight="1">
      <c r="A274" s="4"/>
      <c r="B274" s="101"/>
      <c r="C274" s="4"/>
      <c r="D274" s="102"/>
      <c r="E274" s="103"/>
      <c r="F274" s="10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2.75" customHeight="1">
      <c r="A275" s="4"/>
      <c r="B275" s="101"/>
      <c r="C275" s="4"/>
      <c r="D275" s="102"/>
      <c r="E275" s="103"/>
      <c r="F275" s="10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2.75" customHeight="1">
      <c r="A276" s="4"/>
      <c r="B276" s="101"/>
      <c r="C276" s="4"/>
      <c r="D276" s="102"/>
      <c r="E276" s="103"/>
      <c r="F276" s="10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2.75" customHeight="1">
      <c r="A277" s="4"/>
      <c r="B277" s="101"/>
      <c r="C277" s="4"/>
      <c r="D277" s="102"/>
      <c r="E277" s="103"/>
      <c r="F277" s="10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2.75" customHeight="1">
      <c r="A278" s="4"/>
      <c r="B278" s="101"/>
      <c r="C278" s="4"/>
      <c r="D278" s="102"/>
      <c r="E278" s="103"/>
      <c r="F278" s="10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2.75" customHeight="1">
      <c r="A279" s="4"/>
      <c r="B279" s="101"/>
      <c r="C279" s="4"/>
      <c r="D279" s="102"/>
      <c r="E279" s="103"/>
      <c r="F279" s="10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2.75" customHeight="1">
      <c r="A280" s="4"/>
      <c r="B280" s="101"/>
      <c r="C280" s="4"/>
      <c r="D280" s="102"/>
      <c r="E280" s="103"/>
      <c r="F280" s="10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2.75" customHeight="1">
      <c r="A281" s="4"/>
      <c r="B281" s="101"/>
      <c r="C281" s="4"/>
      <c r="D281" s="102"/>
      <c r="E281" s="103"/>
      <c r="F281" s="10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2.75" customHeight="1">
      <c r="A282" s="4"/>
      <c r="B282" s="101"/>
      <c r="C282" s="4"/>
      <c r="D282" s="102"/>
      <c r="E282" s="103"/>
      <c r="F282" s="10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2.75" customHeight="1">
      <c r="A283" s="4"/>
      <c r="B283" s="101"/>
      <c r="C283" s="4"/>
      <c r="D283" s="102"/>
      <c r="E283" s="103"/>
      <c r="F283" s="10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2.75" customHeight="1">
      <c r="A284" s="4"/>
      <c r="B284" s="101"/>
      <c r="C284" s="4"/>
      <c r="D284" s="102"/>
      <c r="E284" s="103"/>
      <c r="F284" s="10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2.75" customHeight="1">
      <c r="A285" s="4"/>
      <c r="B285" s="101"/>
      <c r="C285" s="4"/>
      <c r="D285" s="102"/>
      <c r="E285" s="103"/>
      <c r="F285" s="10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2.75" customHeight="1">
      <c r="A286" s="4"/>
      <c r="B286" s="101"/>
      <c r="C286" s="4"/>
      <c r="D286" s="102"/>
      <c r="E286" s="103"/>
      <c r="F286" s="10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2.75" customHeight="1">
      <c r="A287" s="4"/>
      <c r="B287" s="101"/>
      <c r="C287" s="4"/>
      <c r="D287" s="102"/>
      <c r="E287" s="103"/>
      <c r="F287" s="10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2.75" customHeight="1">
      <c r="A288" s="4"/>
      <c r="B288" s="101"/>
      <c r="C288" s="4"/>
      <c r="D288" s="102"/>
      <c r="E288" s="103"/>
      <c r="F288" s="10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2.75" customHeight="1">
      <c r="A289" s="4"/>
      <c r="B289" s="101"/>
      <c r="C289" s="4"/>
      <c r="D289" s="102"/>
      <c r="E289" s="103"/>
      <c r="F289" s="10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2.75" customHeight="1">
      <c r="A290" s="4"/>
      <c r="B290" s="101"/>
      <c r="C290" s="4"/>
      <c r="D290" s="102"/>
      <c r="E290" s="103"/>
      <c r="F290" s="10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2.75" customHeight="1">
      <c r="A291" s="4"/>
      <c r="B291" s="101"/>
      <c r="C291" s="4"/>
      <c r="D291" s="102"/>
      <c r="E291" s="103"/>
      <c r="F291" s="10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2.75" customHeight="1">
      <c r="A292" s="4"/>
      <c r="B292" s="101"/>
      <c r="C292" s="4"/>
      <c r="D292" s="102"/>
      <c r="E292" s="103"/>
      <c r="F292" s="10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2.75" customHeight="1">
      <c r="A293" s="4"/>
      <c r="B293" s="101"/>
      <c r="C293" s="4"/>
      <c r="D293" s="102"/>
      <c r="E293" s="103"/>
      <c r="F293" s="10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2.75" customHeight="1">
      <c r="A294" s="4"/>
      <c r="B294" s="101"/>
      <c r="C294" s="4"/>
      <c r="D294" s="102"/>
      <c r="E294" s="103"/>
      <c r="F294" s="10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2.75" customHeight="1">
      <c r="A295" s="4"/>
      <c r="B295" s="101"/>
      <c r="C295" s="4"/>
      <c r="D295" s="102"/>
      <c r="E295" s="103"/>
      <c r="F295" s="10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2.75" customHeight="1">
      <c r="A296" s="4"/>
      <c r="B296" s="101"/>
      <c r="C296" s="4"/>
      <c r="D296" s="102"/>
      <c r="E296" s="103"/>
      <c r="F296" s="10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2.75" customHeight="1">
      <c r="A297" s="4"/>
      <c r="B297" s="101"/>
      <c r="C297" s="4"/>
      <c r="D297" s="102"/>
      <c r="E297" s="103"/>
      <c r="F297" s="10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2.75" customHeight="1">
      <c r="A298" s="4"/>
      <c r="B298" s="101"/>
      <c r="C298" s="4"/>
      <c r="D298" s="102"/>
      <c r="E298" s="103"/>
      <c r="F298" s="10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2.75" customHeight="1">
      <c r="A299" s="4"/>
      <c r="B299" s="101"/>
      <c r="C299" s="4"/>
      <c r="D299" s="102"/>
      <c r="E299" s="103"/>
      <c r="F299" s="10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2.75" customHeight="1">
      <c r="A300" s="4"/>
      <c r="B300" s="101"/>
      <c r="C300" s="4"/>
      <c r="D300" s="102"/>
      <c r="E300" s="103"/>
      <c r="F300" s="10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2.75" customHeight="1">
      <c r="A301" s="4"/>
      <c r="B301" s="101"/>
      <c r="C301" s="4"/>
      <c r="D301" s="102"/>
      <c r="E301" s="103"/>
      <c r="F301" s="10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2.75" customHeight="1">
      <c r="A302" s="4"/>
      <c r="B302" s="101"/>
      <c r="C302" s="4"/>
      <c r="D302" s="102"/>
      <c r="E302" s="103"/>
      <c r="F302" s="10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2.75" customHeight="1">
      <c r="A303" s="4"/>
      <c r="B303" s="101"/>
      <c r="C303" s="4"/>
      <c r="D303" s="102"/>
      <c r="E303" s="103"/>
      <c r="F303" s="10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2.75" customHeight="1">
      <c r="A304" s="4"/>
      <c r="B304" s="101"/>
      <c r="C304" s="4"/>
      <c r="D304" s="102"/>
      <c r="E304" s="103"/>
      <c r="F304" s="10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2.75" customHeight="1">
      <c r="A305" s="4"/>
      <c r="B305" s="101"/>
      <c r="C305" s="4"/>
      <c r="D305" s="102"/>
      <c r="E305" s="103"/>
      <c r="F305" s="10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2.75" customHeight="1">
      <c r="A306" s="4"/>
      <c r="B306" s="101"/>
      <c r="C306" s="4"/>
      <c r="D306" s="102"/>
      <c r="E306" s="103"/>
      <c r="F306" s="10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2.75" customHeight="1">
      <c r="A307" s="4"/>
      <c r="B307" s="101"/>
      <c r="C307" s="4"/>
      <c r="D307" s="102"/>
      <c r="E307" s="103"/>
      <c r="F307" s="10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2.75" customHeight="1">
      <c r="A308" s="4"/>
      <c r="B308" s="101"/>
      <c r="C308" s="4"/>
      <c r="D308" s="102"/>
      <c r="E308" s="103"/>
      <c r="F308" s="10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2.75" customHeight="1">
      <c r="A309" s="4"/>
      <c r="B309" s="101"/>
      <c r="C309" s="4"/>
      <c r="D309" s="102"/>
      <c r="E309" s="103"/>
      <c r="F309" s="10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2.75" customHeight="1">
      <c r="A310" s="4"/>
      <c r="B310" s="101"/>
      <c r="C310" s="4"/>
      <c r="D310" s="102"/>
      <c r="E310" s="103"/>
      <c r="F310" s="10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2.75" customHeight="1">
      <c r="A311" s="4"/>
      <c r="B311" s="101"/>
      <c r="C311" s="4"/>
      <c r="D311" s="102"/>
      <c r="E311" s="103"/>
      <c r="F311" s="10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2.75" customHeight="1">
      <c r="A312" s="4"/>
      <c r="B312" s="101"/>
      <c r="C312" s="4"/>
      <c r="D312" s="102"/>
      <c r="E312" s="103"/>
      <c r="F312" s="10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2.75" customHeight="1">
      <c r="A313" s="4"/>
      <c r="B313" s="101"/>
      <c r="C313" s="4"/>
      <c r="D313" s="102"/>
      <c r="E313" s="103"/>
      <c r="F313" s="10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2.75" customHeight="1">
      <c r="A314" s="4"/>
      <c r="B314" s="101"/>
      <c r="C314" s="4"/>
      <c r="D314" s="102"/>
      <c r="E314" s="103"/>
      <c r="F314" s="10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2.75" customHeight="1">
      <c r="A315" s="4"/>
      <c r="B315" s="101"/>
      <c r="C315" s="4"/>
      <c r="D315" s="102"/>
      <c r="E315" s="103"/>
      <c r="F315" s="10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2.75" customHeight="1">
      <c r="A316" s="4"/>
      <c r="B316" s="101"/>
      <c r="C316" s="4"/>
      <c r="D316" s="102"/>
      <c r="E316" s="103"/>
      <c r="F316" s="10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2.75" customHeight="1">
      <c r="A317" s="4"/>
      <c r="B317" s="101"/>
      <c r="C317" s="4"/>
      <c r="D317" s="102"/>
      <c r="E317" s="103"/>
      <c r="F317" s="10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2.75" customHeight="1">
      <c r="A318" s="4"/>
      <c r="B318" s="101"/>
      <c r="C318" s="4"/>
      <c r="D318" s="102"/>
      <c r="E318" s="103"/>
      <c r="F318" s="10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2.75" customHeight="1">
      <c r="A319" s="4"/>
      <c r="B319" s="101"/>
      <c r="C319" s="4"/>
      <c r="D319" s="102"/>
      <c r="E319" s="103"/>
      <c r="F319" s="10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2.75" customHeight="1">
      <c r="A320" s="4"/>
      <c r="B320" s="101"/>
      <c r="C320" s="4"/>
      <c r="D320" s="102"/>
      <c r="E320" s="103"/>
      <c r="F320" s="10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2.75" customHeight="1">
      <c r="A321" s="4"/>
      <c r="B321" s="101"/>
      <c r="C321" s="4"/>
      <c r="D321" s="102"/>
      <c r="E321" s="103"/>
      <c r="F321" s="10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2.75" customHeight="1">
      <c r="A322" s="4"/>
      <c r="B322" s="101"/>
      <c r="C322" s="4"/>
      <c r="D322" s="102"/>
      <c r="E322" s="103"/>
      <c r="F322" s="10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2.75" customHeight="1">
      <c r="A323" s="4"/>
      <c r="B323" s="101"/>
      <c r="C323" s="4"/>
      <c r="D323" s="102"/>
      <c r="E323" s="103"/>
      <c r="F323" s="10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2.75" customHeight="1">
      <c r="A324" s="4"/>
      <c r="B324" s="101"/>
      <c r="C324" s="4"/>
      <c r="D324" s="102"/>
      <c r="E324" s="103"/>
      <c r="F324" s="10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2.75" customHeight="1">
      <c r="A325" s="4"/>
      <c r="B325" s="101"/>
      <c r="C325" s="4"/>
      <c r="D325" s="102"/>
      <c r="E325" s="103"/>
      <c r="F325" s="10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2.75" customHeight="1">
      <c r="A326" s="4"/>
      <c r="B326" s="101"/>
      <c r="C326" s="4"/>
      <c r="D326" s="102"/>
      <c r="E326" s="103"/>
      <c r="F326" s="10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2.75" customHeight="1">
      <c r="A327" s="4"/>
      <c r="B327" s="101"/>
      <c r="C327" s="4"/>
      <c r="D327" s="102"/>
      <c r="E327" s="103"/>
      <c r="F327" s="10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2.75" customHeight="1">
      <c r="A328" s="4"/>
      <c r="B328" s="101"/>
      <c r="C328" s="4"/>
      <c r="D328" s="102"/>
      <c r="E328" s="103"/>
      <c r="F328" s="10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2.75" customHeight="1">
      <c r="A329" s="4"/>
      <c r="B329" s="101"/>
      <c r="C329" s="4"/>
      <c r="D329" s="102"/>
      <c r="E329" s="103"/>
      <c r="F329" s="10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2.75" customHeight="1">
      <c r="A330" s="4"/>
      <c r="B330" s="101"/>
      <c r="C330" s="4"/>
      <c r="D330" s="102"/>
      <c r="E330" s="103"/>
      <c r="F330" s="10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2.75" customHeight="1">
      <c r="A331" s="4"/>
      <c r="B331" s="101"/>
      <c r="C331" s="4"/>
      <c r="D331" s="102"/>
      <c r="E331" s="103"/>
      <c r="F331" s="10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2.75" customHeight="1">
      <c r="A332" s="4"/>
      <c r="B332" s="101"/>
      <c r="C332" s="4"/>
      <c r="D332" s="102"/>
      <c r="E332" s="103"/>
      <c r="F332" s="10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2.75" customHeight="1">
      <c r="A333" s="4"/>
      <c r="B333" s="101"/>
      <c r="C333" s="4"/>
      <c r="D333" s="102"/>
      <c r="E333" s="103"/>
      <c r="F333" s="10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2.75" customHeight="1">
      <c r="A334" s="4"/>
      <c r="B334" s="101"/>
      <c r="C334" s="4"/>
      <c r="D334" s="102"/>
      <c r="E334" s="103"/>
      <c r="F334" s="10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2.75" customHeight="1">
      <c r="A335" s="4"/>
      <c r="B335" s="101"/>
      <c r="C335" s="4"/>
      <c r="D335" s="102"/>
      <c r="E335" s="103"/>
      <c r="F335" s="10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2.75" customHeight="1">
      <c r="A336" s="4"/>
      <c r="B336" s="101"/>
      <c r="C336" s="4"/>
      <c r="D336" s="102"/>
      <c r="E336" s="103"/>
      <c r="F336" s="10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2.75" customHeight="1">
      <c r="A337" s="4"/>
      <c r="B337" s="101"/>
      <c r="C337" s="4"/>
      <c r="D337" s="102"/>
      <c r="E337" s="103"/>
      <c r="F337" s="10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2.75" customHeight="1">
      <c r="A338" s="4"/>
      <c r="B338" s="101"/>
      <c r="C338" s="4"/>
      <c r="D338" s="102"/>
      <c r="E338" s="103"/>
      <c r="F338" s="10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2.75" customHeight="1">
      <c r="A339" s="4"/>
      <c r="B339" s="101"/>
      <c r="C339" s="4"/>
      <c r="D339" s="102"/>
      <c r="E339" s="103"/>
      <c r="F339" s="10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2.75" customHeight="1">
      <c r="A340" s="4"/>
      <c r="B340" s="101"/>
      <c r="C340" s="4"/>
      <c r="D340" s="102"/>
      <c r="E340" s="103"/>
      <c r="F340" s="10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2.75" customHeight="1">
      <c r="A341" s="4"/>
      <c r="B341" s="101"/>
      <c r="C341" s="4"/>
      <c r="D341" s="102"/>
      <c r="E341" s="103"/>
      <c r="F341" s="10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2.75" customHeight="1">
      <c r="A342" s="4"/>
      <c r="B342" s="101"/>
      <c r="C342" s="4"/>
      <c r="D342" s="102"/>
      <c r="E342" s="103"/>
      <c r="F342" s="10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2.75" customHeight="1">
      <c r="A343" s="4"/>
      <c r="B343" s="101"/>
      <c r="C343" s="4"/>
      <c r="D343" s="102"/>
      <c r="E343" s="103"/>
      <c r="F343" s="10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2.75" customHeight="1">
      <c r="A344" s="4"/>
      <c r="B344" s="101"/>
      <c r="C344" s="4"/>
      <c r="D344" s="102"/>
      <c r="E344" s="103"/>
      <c r="F344" s="10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2.75" customHeight="1">
      <c r="A345" s="4"/>
      <c r="B345" s="101"/>
      <c r="C345" s="4"/>
      <c r="D345" s="102"/>
      <c r="E345" s="103"/>
      <c r="F345" s="10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2.75" customHeight="1">
      <c r="A346" s="4"/>
      <c r="B346" s="101"/>
      <c r="C346" s="4"/>
      <c r="D346" s="102"/>
      <c r="E346" s="103"/>
      <c r="F346" s="10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2.75" customHeight="1">
      <c r="A347" s="4"/>
      <c r="B347" s="101"/>
      <c r="C347" s="4"/>
      <c r="D347" s="102"/>
      <c r="E347" s="103"/>
      <c r="F347" s="10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2.75" customHeight="1">
      <c r="A348" s="4"/>
      <c r="B348" s="101"/>
      <c r="C348" s="4"/>
      <c r="D348" s="102"/>
      <c r="E348" s="103"/>
      <c r="F348" s="10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2.75" customHeight="1">
      <c r="A349" s="4"/>
      <c r="B349" s="101"/>
      <c r="C349" s="4"/>
      <c r="D349" s="102"/>
      <c r="E349" s="103"/>
      <c r="F349" s="10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2.75" customHeight="1">
      <c r="A350" s="4"/>
      <c r="B350" s="101"/>
      <c r="C350" s="4"/>
      <c r="D350" s="102"/>
      <c r="E350" s="103"/>
      <c r="F350" s="10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2.75" customHeight="1">
      <c r="A351" s="4"/>
      <c r="B351" s="101"/>
      <c r="C351" s="4"/>
      <c r="D351" s="102"/>
      <c r="E351" s="103"/>
      <c r="F351" s="10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2.75" customHeight="1">
      <c r="A352" s="4"/>
      <c r="B352" s="101"/>
      <c r="C352" s="4"/>
      <c r="D352" s="102"/>
      <c r="E352" s="103"/>
      <c r="F352" s="10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2.75" customHeight="1">
      <c r="A353" s="4"/>
      <c r="B353" s="101"/>
      <c r="C353" s="4"/>
      <c r="D353" s="102"/>
      <c r="E353" s="103"/>
      <c r="F353" s="10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2.75" customHeight="1">
      <c r="A354" s="4"/>
      <c r="B354" s="101"/>
      <c r="C354" s="4"/>
      <c r="D354" s="102"/>
      <c r="E354" s="103"/>
      <c r="F354" s="10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2.75" customHeight="1">
      <c r="A355" s="4"/>
      <c r="B355" s="101"/>
      <c r="C355" s="4"/>
      <c r="D355" s="102"/>
      <c r="E355" s="103"/>
      <c r="F355" s="10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2.75" customHeight="1">
      <c r="A356" s="4"/>
      <c r="B356" s="101"/>
      <c r="C356" s="4"/>
      <c r="D356" s="102"/>
      <c r="E356" s="103"/>
      <c r="F356" s="10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2.75" customHeight="1">
      <c r="A357" s="4"/>
      <c r="B357" s="101"/>
      <c r="C357" s="4"/>
      <c r="D357" s="102"/>
      <c r="E357" s="103"/>
      <c r="F357" s="10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2.75" customHeight="1">
      <c r="A358" s="4"/>
      <c r="B358" s="101"/>
      <c r="C358" s="4"/>
      <c r="D358" s="102"/>
      <c r="E358" s="103"/>
      <c r="F358" s="10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2.75" customHeight="1">
      <c r="A359" s="4"/>
      <c r="B359" s="101"/>
      <c r="C359" s="4"/>
      <c r="D359" s="102"/>
      <c r="E359" s="103"/>
      <c r="F359" s="10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2.75" customHeight="1">
      <c r="A360" s="4"/>
      <c r="B360" s="101"/>
      <c r="C360" s="4"/>
      <c r="D360" s="102"/>
      <c r="E360" s="103"/>
      <c r="F360" s="10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2.75" customHeight="1">
      <c r="A361" s="4"/>
      <c r="B361" s="101"/>
      <c r="C361" s="4"/>
      <c r="D361" s="102"/>
      <c r="E361" s="103"/>
      <c r="F361" s="10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2.75" customHeight="1">
      <c r="A362" s="4"/>
      <c r="B362" s="101"/>
      <c r="C362" s="4"/>
      <c r="D362" s="102"/>
      <c r="E362" s="103"/>
      <c r="F362" s="10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2.75" customHeight="1">
      <c r="A363" s="4"/>
      <c r="B363" s="101"/>
      <c r="C363" s="4"/>
      <c r="D363" s="102"/>
      <c r="E363" s="103"/>
      <c r="F363" s="10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2.75" customHeight="1">
      <c r="A364" s="4"/>
      <c r="B364" s="101"/>
      <c r="C364" s="4"/>
      <c r="D364" s="102"/>
      <c r="E364" s="103"/>
      <c r="F364" s="10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2.75" customHeight="1">
      <c r="A365" s="4"/>
      <c r="B365" s="101"/>
      <c r="C365" s="4"/>
      <c r="D365" s="102"/>
      <c r="E365" s="103"/>
      <c r="F365" s="10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2.75" customHeight="1">
      <c r="A366" s="4"/>
      <c r="B366" s="101"/>
      <c r="C366" s="4"/>
      <c r="D366" s="102"/>
      <c r="E366" s="103"/>
      <c r="F366" s="10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73:B73"/>
    <mergeCell ref="A109:B109"/>
    <mergeCell ref="A138:B138"/>
    <mergeCell ref="A1:F1"/>
    <mergeCell ref="A2:F2"/>
    <mergeCell ref="A3:F3"/>
    <mergeCell ref="A4:F4"/>
    <mergeCell ref="D7:E7"/>
    <mergeCell ref="A9:F9"/>
    <mergeCell ref="A43:B43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2.63" defaultRowHeight="15.0"/>
  <cols>
    <col customWidth="1" min="1" max="1" width="55.88"/>
    <col customWidth="1" min="2" max="2" width="62.88"/>
    <col customWidth="1" min="3" max="3" width="14.88"/>
    <col customWidth="1" min="4" max="4" width="21.0"/>
    <col customWidth="1" min="5" max="5" width="21.63"/>
    <col customWidth="1" min="6" max="6" width="73.38"/>
    <col customWidth="1" min="7" max="7" width="50.13"/>
    <col customWidth="1" min="8" max="26" width="8.0"/>
  </cols>
  <sheetData>
    <row r="1" ht="12.75" customHeight="1">
      <c r="A1" s="1" t="s">
        <v>293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2.75" customHeight="1">
      <c r="A2" s="5" t="s">
        <v>707</v>
      </c>
      <c r="B2" s="6"/>
      <c r="C2" s="6"/>
      <c r="D2" s="6"/>
      <c r="E2" s="6"/>
      <c r="F2" s="7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2.75" customHeight="1">
      <c r="A3" s="5" t="s">
        <v>2</v>
      </c>
      <c r="B3" s="6"/>
      <c r="C3" s="6"/>
      <c r="D3" s="6"/>
      <c r="E3" s="6"/>
      <c r="F3" s="7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2.75" customHeight="1">
      <c r="A4" s="5" t="s">
        <v>3</v>
      </c>
      <c r="B4" s="6"/>
      <c r="C4" s="6"/>
      <c r="D4" s="6"/>
      <c r="E4" s="6"/>
      <c r="F4" s="7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2.75" customHeight="1">
      <c r="A5" s="8"/>
      <c r="B5" s="9"/>
      <c r="C5" s="10"/>
      <c r="D5" s="11"/>
      <c r="E5" s="11"/>
      <c r="F5" s="12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2.75" customHeight="1">
      <c r="A6" s="13"/>
      <c r="B6" s="9"/>
      <c r="C6" s="10"/>
      <c r="D6" s="14"/>
      <c r="E6" s="14"/>
      <c r="F6" s="15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30.0" customHeight="1">
      <c r="A7" s="16"/>
      <c r="B7" s="9"/>
      <c r="C7" s="17"/>
      <c r="D7" s="18"/>
      <c r="E7" s="19"/>
      <c r="F7" s="15" t="s">
        <v>1081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0.0" customHeight="1">
      <c r="A8" s="20" t="s">
        <v>296</v>
      </c>
      <c r="B8" s="21"/>
      <c r="C8" s="22"/>
      <c r="D8" s="23"/>
      <c r="E8" s="23"/>
      <c r="F8" s="2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7.75" customHeight="1">
      <c r="A9" s="25" t="s">
        <v>297</v>
      </c>
      <c r="B9" s="26"/>
      <c r="C9" s="26"/>
      <c r="D9" s="26"/>
      <c r="E9" s="26"/>
      <c r="F9" s="27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8.5" customHeight="1">
      <c r="A10" s="105"/>
      <c r="B10" s="106"/>
      <c r="C10" s="107"/>
      <c r="D10" s="108"/>
      <c r="E10" s="108"/>
      <c r="F10" s="109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</row>
    <row r="11" ht="40.5" customHeight="1">
      <c r="A11" s="110" t="s">
        <v>1082</v>
      </c>
      <c r="B11" s="111"/>
      <c r="C11" s="112" t="s">
        <v>299</v>
      </c>
      <c r="D11" s="113" t="s">
        <v>9</v>
      </c>
      <c r="E11" s="284" t="s">
        <v>10</v>
      </c>
      <c r="F11" s="311" t="s">
        <v>11</v>
      </c>
      <c r="G11" s="52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2.75" customHeight="1">
      <c r="A12" s="116" t="s">
        <v>637</v>
      </c>
      <c r="B12" s="117"/>
      <c r="C12" s="189"/>
      <c r="D12" s="183"/>
      <c r="E12" s="183"/>
      <c r="F12" s="290" t="s">
        <v>1083</v>
      </c>
      <c r="G12" s="52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2.75" customHeight="1">
      <c r="A13" s="197" t="s">
        <v>303</v>
      </c>
      <c r="B13" s="198" t="s">
        <v>304</v>
      </c>
      <c r="C13" s="191"/>
      <c r="D13" s="186"/>
      <c r="E13" s="186"/>
      <c r="F13" s="300" t="s">
        <v>1084</v>
      </c>
      <c r="G13" s="52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2.75" customHeight="1">
      <c r="A14" s="128" t="s">
        <v>308</v>
      </c>
      <c r="B14" s="129" t="s">
        <v>309</v>
      </c>
      <c r="C14" s="192">
        <v>539.0</v>
      </c>
      <c r="D14" s="132">
        <v>12624.46</v>
      </c>
      <c r="E14" s="132">
        <v>13328.97</v>
      </c>
      <c r="F14" s="300" t="s">
        <v>1085</v>
      </c>
      <c r="G14" s="52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2.75" customHeight="1">
      <c r="A15" s="302" t="s">
        <v>1086</v>
      </c>
      <c r="B15" s="201" t="s">
        <v>15</v>
      </c>
      <c r="C15" s="192">
        <v>4204.0</v>
      </c>
      <c r="D15" s="132">
        <v>98624.01</v>
      </c>
      <c r="E15" s="132">
        <v>103866.95</v>
      </c>
      <c r="F15" s="300" t="s">
        <v>1087</v>
      </c>
      <c r="G15" s="52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2.75" customHeight="1">
      <c r="A16" s="200"/>
      <c r="B16" s="198"/>
      <c r="C16" s="192"/>
      <c r="D16" s="132"/>
      <c r="E16" s="132"/>
      <c r="F16" s="295" t="s">
        <v>1088</v>
      </c>
      <c r="G16" s="52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0" customHeight="1">
      <c r="A17" s="200" t="s">
        <v>1089</v>
      </c>
      <c r="B17" s="198" t="s">
        <v>1090</v>
      </c>
      <c r="C17" s="192"/>
      <c r="D17" s="132"/>
      <c r="E17" s="132"/>
      <c r="F17" s="295" t="s">
        <v>1091</v>
      </c>
      <c r="G17" s="52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0" customHeight="1">
      <c r="A18" s="200" t="s">
        <v>1092</v>
      </c>
      <c r="B18" s="198" t="s">
        <v>1093</v>
      </c>
      <c r="C18" s="192"/>
      <c r="D18" s="132"/>
      <c r="E18" s="132"/>
      <c r="F18" s="316" t="s">
        <v>1094</v>
      </c>
      <c r="G18" s="52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0" customHeight="1">
      <c r="A19" s="200"/>
      <c r="B19" s="395"/>
      <c r="C19" s="192"/>
      <c r="D19" s="132"/>
      <c r="E19" s="132"/>
      <c r="F19" s="316"/>
      <c r="G19" s="52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0" customHeight="1">
      <c r="A20" s="128" t="s">
        <v>316</v>
      </c>
      <c r="B20" s="395"/>
      <c r="C20" s="192"/>
      <c r="D20" s="132"/>
      <c r="E20" s="132"/>
      <c r="F20" s="316"/>
      <c r="G20" s="52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8.75" customHeight="1">
      <c r="A21" s="142"/>
      <c r="B21" s="143"/>
      <c r="C21" s="355">
        <f t="shared" ref="C21:E21" si="1">SUM(C12:C20)</f>
        <v>4743</v>
      </c>
      <c r="D21" s="146">
        <f t="shared" si="1"/>
        <v>111248.47</v>
      </c>
      <c r="E21" s="146">
        <f t="shared" si="1"/>
        <v>117195.92</v>
      </c>
      <c r="F21" s="307"/>
      <c r="G21" s="52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44.25" customHeight="1">
      <c r="A22" s="179" t="s">
        <v>1095</v>
      </c>
      <c r="B22" s="149"/>
      <c r="C22" s="112" t="s">
        <v>299</v>
      </c>
      <c r="D22" s="113" t="s">
        <v>9</v>
      </c>
      <c r="E22" s="284" t="s">
        <v>10</v>
      </c>
      <c r="F22" s="354" t="s">
        <v>11</v>
      </c>
      <c r="G22" s="52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2.75" customHeight="1">
      <c r="A23" s="116" t="s">
        <v>572</v>
      </c>
      <c r="B23" s="117"/>
      <c r="C23" s="189"/>
      <c r="D23" s="183"/>
      <c r="E23" s="183"/>
      <c r="F23" s="290" t="s">
        <v>1096</v>
      </c>
      <c r="G23" s="52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2.75" customHeight="1">
      <c r="A24" s="122" t="s">
        <v>303</v>
      </c>
      <c r="B24" s="123" t="s">
        <v>304</v>
      </c>
      <c r="C24" s="191"/>
      <c r="D24" s="186"/>
      <c r="E24" s="186"/>
      <c r="F24" s="300" t="s">
        <v>1097</v>
      </c>
      <c r="G24" s="52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2.75" customHeight="1">
      <c r="A25" s="128" t="s">
        <v>308</v>
      </c>
      <c r="B25" s="129" t="s">
        <v>309</v>
      </c>
      <c r="C25" s="192">
        <v>294.0</v>
      </c>
      <c r="D25" s="132">
        <v>7450.67</v>
      </c>
      <c r="E25" s="132">
        <v>7768.33</v>
      </c>
      <c r="F25" s="300" t="s">
        <v>1098</v>
      </c>
      <c r="G25" s="52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2.75" customHeight="1">
      <c r="A26" s="302" t="s">
        <v>1086</v>
      </c>
      <c r="B26" s="201" t="s">
        <v>15</v>
      </c>
      <c r="C26" s="192">
        <v>3046.0</v>
      </c>
      <c r="D26" s="132">
        <v>76338.65</v>
      </c>
      <c r="E26" s="132">
        <v>80367.99</v>
      </c>
      <c r="F26" s="300" t="s">
        <v>1099</v>
      </c>
      <c r="G26" s="52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2.75" customHeight="1">
      <c r="A27" s="200"/>
      <c r="B27" s="198"/>
      <c r="C27" s="192"/>
      <c r="D27" s="132"/>
      <c r="E27" s="132"/>
      <c r="F27" s="295" t="s">
        <v>1100</v>
      </c>
      <c r="G27" s="52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2.75" customHeight="1">
      <c r="A28" s="200" t="s">
        <v>1101</v>
      </c>
      <c r="B28" s="198" t="s">
        <v>1102</v>
      </c>
      <c r="C28" s="192"/>
      <c r="D28" s="132"/>
      <c r="E28" s="132"/>
      <c r="F28" s="295" t="s">
        <v>1103</v>
      </c>
      <c r="G28" s="52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2.75" customHeight="1">
      <c r="A29" s="200" t="s">
        <v>1104</v>
      </c>
      <c r="B29" s="198"/>
      <c r="C29" s="192"/>
      <c r="D29" s="132"/>
      <c r="E29" s="132"/>
      <c r="F29" s="316"/>
      <c r="G29" s="52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2.75" customHeight="1">
      <c r="A30" s="200"/>
      <c r="B30" s="198"/>
      <c r="C30" s="192"/>
      <c r="D30" s="132"/>
      <c r="E30" s="132"/>
      <c r="F30" s="316" t="s">
        <v>1105</v>
      </c>
      <c r="G30" s="52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2.75" customHeight="1">
      <c r="A31" s="128" t="s">
        <v>316</v>
      </c>
      <c r="B31" s="198"/>
      <c r="C31" s="192"/>
      <c r="D31" s="132"/>
      <c r="E31" s="132"/>
      <c r="F31" s="316"/>
      <c r="G31" s="52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8.75" customHeight="1">
      <c r="A32" s="142"/>
      <c r="B32" s="143"/>
      <c r="C32" s="355">
        <f t="shared" ref="C32:E32" si="2">SUM(C23:C31)</f>
        <v>3340</v>
      </c>
      <c r="D32" s="146">
        <f t="shared" si="2"/>
        <v>83789.32</v>
      </c>
      <c r="E32" s="146">
        <f t="shared" si="2"/>
        <v>88136.32</v>
      </c>
      <c r="F32" s="307"/>
      <c r="G32" s="52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48.75" customHeight="1">
      <c r="A33" s="179" t="s">
        <v>1106</v>
      </c>
      <c r="B33" s="149"/>
      <c r="C33" s="362" t="s">
        <v>299</v>
      </c>
      <c r="D33" s="113" t="s">
        <v>9</v>
      </c>
      <c r="E33" s="284" t="s">
        <v>10</v>
      </c>
      <c r="F33" s="311" t="s">
        <v>11</v>
      </c>
      <c r="G33" s="52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36" t="s">
        <v>523</v>
      </c>
      <c r="B34" s="151"/>
      <c r="C34" s="345"/>
      <c r="D34" s="120"/>
      <c r="E34" s="120"/>
      <c r="F34" s="290" t="s">
        <v>1107</v>
      </c>
      <c r="G34" s="52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122" t="s">
        <v>303</v>
      </c>
      <c r="B35" s="123" t="s">
        <v>304</v>
      </c>
      <c r="C35" s="364"/>
      <c r="D35" s="126"/>
      <c r="E35" s="126"/>
      <c r="F35" s="300" t="s">
        <v>1108</v>
      </c>
      <c r="G35" s="52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2.75" customHeight="1">
      <c r="A36" s="128" t="s">
        <v>308</v>
      </c>
      <c r="B36" s="129" t="s">
        <v>309</v>
      </c>
      <c r="C36" s="297">
        <v>980.0</v>
      </c>
      <c r="D36" s="132">
        <v>25213.13</v>
      </c>
      <c r="E36" s="132">
        <v>26708.855</v>
      </c>
      <c r="F36" s="300" t="s">
        <v>1109</v>
      </c>
      <c r="G36" s="52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2.75" customHeight="1">
      <c r="A37" s="302" t="s">
        <v>1086</v>
      </c>
      <c r="B37" s="201" t="s">
        <v>15</v>
      </c>
      <c r="C37" s="297">
        <v>1156.0</v>
      </c>
      <c r="D37" s="132">
        <v>30401.98</v>
      </c>
      <c r="E37" s="132">
        <v>31583.255</v>
      </c>
      <c r="F37" s="300" t="s">
        <v>1110</v>
      </c>
      <c r="G37" s="52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2.75" customHeight="1">
      <c r="A38" s="302"/>
      <c r="B38" s="198"/>
      <c r="C38" s="297"/>
      <c r="D38" s="132"/>
      <c r="E38" s="132"/>
      <c r="F38" s="295" t="s">
        <v>1111</v>
      </c>
      <c r="G38" s="52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2.75" customHeight="1">
      <c r="A39" s="302" t="s">
        <v>1112</v>
      </c>
      <c r="B39" s="247" t="s">
        <v>1113</v>
      </c>
      <c r="C39" s="297"/>
      <c r="D39" s="132"/>
      <c r="E39" s="132"/>
      <c r="F39" s="295" t="s">
        <v>1114</v>
      </c>
      <c r="G39" s="52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2.75" customHeight="1">
      <c r="A40" s="302"/>
      <c r="B40" s="198"/>
      <c r="C40" s="297"/>
      <c r="D40" s="132"/>
      <c r="E40" s="132"/>
      <c r="F40" s="316" t="s">
        <v>1115</v>
      </c>
      <c r="G40" s="52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2.75" customHeight="1">
      <c r="A41" s="128" t="s">
        <v>316</v>
      </c>
      <c r="B41" s="135"/>
      <c r="C41" s="297"/>
      <c r="D41" s="132"/>
      <c r="E41" s="132"/>
      <c r="F41" s="295"/>
      <c r="G41" s="52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8.75" customHeight="1">
      <c r="A42" s="399"/>
      <c r="B42" s="19"/>
      <c r="C42" s="361">
        <f t="shared" ref="C42:E42" si="3">SUM(C34:C41)</f>
        <v>2136</v>
      </c>
      <c r="D42" s="146">
        <f t="shared" si="3"/>
        <v>55615.11</v>
      </c>
      <c r="E42" s="146">
        <f t="shared" si="3"/>
        <v>58292.11</v>
      </c>
      <c r="F42" s="307"/>
      <c r="G42" s="52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42.0" customHeight="1">
      <c r="A43" s="281" t="s">
        <v>1116</v>
      </c>
      <c r="B43" s="282"/>
      <c r="C43" s="362" t="s">
        <v>299</v>
      </c>
      <c r="D43" s="113" t="s">
        <v>9</v>
      </c>
      <c r="E43" s="284" t="s">
        <v>10</v>
      </c>
      <c r="F43" s="311" t="s">
        <v>11</v>
      </c>
      <c r="G43" s="52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9.5" customHeight="1">
      <c r="A44" s="194" t="s">
        <v>319</v>
      </c>
      <c r="B44" s="286"/>
      <c r="C44" s="287"/>
      <c r="D44" s="183"/>
      <c r="E44" s="183"/>
      <c r="F44" s="290" t="s">
        <v>1117</v>
      </c>
      <c r="G44" s="52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2.75" customHeight="1">
      <c r="A45" s="122" t="s">
        <v>303</v>
      </c>
      <c r="B45" s="123" t="s">
        <v>304</v>
      </c>
      <c r="C45" s="292"/>
      <c r="D45" s="186"/>
      <c r="E45" s="186"/>
      <c r="F45" s="300" t="s">
        <v>1118</v>
      </c>
      <c r="G45" s="52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2.75" customHeight="1">
      <c r="A46" s="128" t="s">
        <v>308</v>
      </c>
      <c r="B46" s="129" t="s">
        <v>309</v>
      </c>
      <c r="C46" s="377">
        <v>4647.0</v>
      </c>
      <c r="D46" s="132">
        <v>119232.47</v>
      </c>
      <c r="E46" s="132">
        <v>125860.65</v>
      </c>
      <c r="F46" s="300" t="s">
        <v>1119</v>
      </c>
      <c r="G46" s="52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2.75" customHeight="1">
      <c r="A47" s="302" t="s">
        <v>1086</v>
      </c>
      <c r="B47" s="201" t="s">
        <v>15</v>
      </c>
      <c r="C47" s="297">
        <v>16009.0</v>
      </c>
      <c r="D47" s="132">
        <v>413242.38</v>
      </c>
      <c r="E47" s="132">
        <v>433806.75</v>
      </c>
      <c r="F47" s="300" t="s">
        <v>1120</v>
      </c>
      <c r="G47" s="52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2.75" customHeight="1">
      <c r="A48" s="302"/>
      <c r="B48" s="198"/>
      <c r="C48" s="297"/>
      <c r="D48" s="132"/>
      <c r="E48" s="132"/>
      <c r="F48" s="295" t="s">
        <v>1121</v>
      </c>
      <c r="G48" s="52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2.75" customHeight="1">
      <c r="A49" s="302" t="s">
        <v>1122</v>
      </c>
      <c r="B49" s="198" t="s">
        <v>1123</v>
      </c>
      <c r="C49" s="297"/>
      <c r="D49" s="132"/>
      <c r="E49" s="132"/>
      <c r="F49" s="295" t="s">
        <v>1124</v>
      </c>
      <c r="G49" s="52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2.75" customHeight="1">
      <c r="A50" s="302" t="s">
        <v>1125</v>
      </c>
      <c r="B50" s="198" t="s">
        <v>1126</v>
      </c>
      <c r="C50" s="297"/>
      <c r="D50" s="132"/>
      <c r="E50" s="132"/>
      <c r="F50" s="316" t="s">
        <v>1127</v>
      </c>
      <c r="G50" s="52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2.75" customHeight="1">
      <c r="A51" s="302" t="s">
        <v>1128</v>
      </c>
      <c r="B51" s="198" t="s">
        <v>1129</v>
      </c>
      <c r="C51" s="297"/>
      <c r="D51" s="132"/>
      <c r="E51" s="132"/>
      <c r="F51" s="295"/>
      <c r="G51" s="52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75" customHeight="1">
      <c r="A52" s="302" t="s">
        <v>1130</v>
      </c>
      <c r="B52" s="198" t="s">
        <v>1131</v>
      </c>
      <c r="C52" s="297"/>
      <c r="D52" s="132"/>
      <c r="E52" s="132"/>
      <c r="F52" s="295"/>
      <c r="G52" s="52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2.75" customHeight="1">
      <c r="A53" s="302" t="s">
        <v>1132</v>
      </c>
      <c r="B53" s="198" t="s">
        <v>1133</v>
      </c>
      <c r="C53" s="297"/>
      <c r="D53" s="132"/>
      <c r="E53" s="132"/>
      <c r="F53" s="295"/>
      <c r="G53" s="52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2.75" customHeight="1">
      <c r="A54" s="302" t="s">
        <v>1134</v>
      </c>
      <c r="B54" s="198" t="s">
        <v>1135</v>
      </c>
      <c r="C54" s="297"/>
      <c r="D54" s="132"/>
      <c r="E54" s="132"/>
      <c r="F54" s="295"/>
      <c r="G54" s="52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2.75" customHeight="1">
      <c r="A55" s="302" t="s">
        <v>1136</v>
      </c>
      <c r="B55" s="198" t="s">
        <v>1137</v>
      </c>
      <c r="C55" s="297"/>
      <c r="D55" s="132"/>
      <c r="E55" s="132"/>
      <c r="F55" s="295"/>
      <c r="G55" s="52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2.75" customHeight="1">
      <c r="A56" s="302" t="s">
        <v>1138</v>
      </c>
      <c r="B56" s="198" t="s">
        <v>1139</v>
      </c>
      <c r="C56" s="297"/>
      <c r="D56" s="132"/>
      <c r="E56" s="132"/>
      <c r="F56" s="316"/>
      <c r="G56" s="52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2.75" customHeight="1">
      <c r="A57" s="302" t="s">
        <v>1140</v>
      </c>
      <c r="B57" s="198" t="s">
        <v>1141</v>
      </c>
      <c r="C57" s="297"/>
      <c r="D57" s="132"/>
      <c r="E57" s="132"/>
      <c r="F57" s="316"/>
      <c r="G57" s="52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2.75" customHeight="1">
      <c r="A58" s="302" t="s">
        <v>1142</v>
      </c>
      <c r="B58" s="123"/>
      <c r="C58" s="297"/>
      <c r="D58" s="132"/>
      <c r="E58" s="132"/>
      <c r="F58" s="316"/>
      <c r="G58" s="52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2.75" customHeight="1">
      <c r="A59" s="135"/>
      <c r="B59" s="123"/>
      <c r="C59" s="297"/>
      <c r="D59" s="132"/>
      <c r="E59" s="132"/>
      <c r="F59" s="316"/>
      <c r="G59" s="52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2.75" customHeight="1">
      <c r="A60" s="135" t="s">
        <v>1143</v>
      </c>
      <c r="B60" s="123"/>
      <c r="C60" s="297"/>
      <c r="D60" s="132"/>
      <c r="E60" s="132"/>
      <c r="F60" s="316"/>
      <c r="G60" s="52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2.75" customHeight="1">
      <c r="A61" s="142"/>
      <c r="B61" s="143"/>
      <c r="C61" s="361">
        <f t="shared" ref="C61:E61" si="4">SUM(C44:C60)</f>
        <v>20656</v>
      </c>
      <c r="D61" s="146">
        <f t="shared" si="4"/>
        <v>532474.85</v>
      </c>
      <c r="E61" s="146">
        <f t="shared" si="4"/>
        <v>559667.4</v>
      </c>
      <c r="F61" s="358"/>
      <c r="G61" s="52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42.0" customHeight="1">
      <c r="A62" s="281" t="s">
        <v>1144</v>
      </c>
      <c r="B62" s="282"/>
      <c r="C62" s="362" t="s">
        <v>299</v>
      </c>
      <c r="D62" s="113" t="s">
        <v>9</v>
      </c>
      <c r="E62" s="284" t="s">
        <v>10</v>
      </c>
      <c r="F62" s="311" t="s">
        <v>11</v>
      </c>
      <c r="G62" s="52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9.5" customHeight="1">
      <c r="A63" s="194" t="s">
        <v>302</v>
      </c>
      <c r="B63" s="286"/>
      <c r="C63" s="287"/>
      <c r="D63" s="183"/>
      <c r="E63" s="183"/>
      <c r="F63" s="290" t="s">
        <v>1145</v>
      </c>
      <c r="G63" s="52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2.75" customHeight="1">
      <c r="A64" s="122" t="s">
        <v>303</v>
      </c>
      <c r="B64" s="123" t="s">
        <v>304</v>
      </c>
      <c r="C64" s="292"/>
      <c r="D64" s="186"/>
      <c r="E64" s="186"/>
      <c r="F64" s="300" t="s">
        <v>1146</v>
      </c>
      <c r="G64" s="52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2.75" customHeight="1">
      <c r="A65" s="128" t="s">
        <v>308</v>
      </c>
      <c r="B65" s="129" t="s">
        <v>309</v>
      </c>
      <c r="C65" s="377">
        <v>4986.0</v>
      </c>
      <c r="D65" s="132">
        <v>131077.69</v>
      </c>
      <c r="E65" s="132">
        <v>138374.405</v>
      </c>
      <c r="F65" s="300" t="s">
        <v>1147</v>
      </c>
      <c r="G65" s="52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2.75" customHeight="1">
      <c r="A66" s="302" t="s">
        <v>1086</v>
      </c>
      <c r="B66" s="201" t="s">
        <v>15</v>
      </c>
      <c r="C66" s="297">
        <v>5340.0</v>
      </c>
      <c r="D66" s="132">
        <v>147171.31</v>
      </c>
      <c r="E66" s="132">
        <v>152783.345</v>
      </c>
      <c r="F66" s="300" t="s">
        <v>1148</v>
      </c>
      <c r="G66" s="52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2.75" customHeight="1">
      <c r="A67" s="302"/>
      <c r="B67" s="198"/>
      <c r="C67" s="297"/>
      <c r="D67" s="132"/>
      <c r="E67" s="132"/>
      <c r="F67" s="295" t="s">
        <v>1149</v>
      </c>
      <c r="G67" s="52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2.75" customHeight="1">
      <c r="A68" s="302" t="s">
        <v>1150</v>
      </c>
      <c r="B68" s="198" t="s">
        <v>1151</v>
      </c>
      <c r="C68" s="297"/>
      <c r="D68" s="132"/>
      <c r="E68" s="132"/>
      <c r="F68" s="295" t="s">
        <v>1152</v>
      </c>
      <c r="G68" s="52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2.75" customHeight="1">
      <c r="A69" s="302" t="s">
        <v>1153</v>
      </c>
      <c r="B69" s="198" t="s">
        <v>1154</v>
      </c>
      <c r="C69" s="297"/>
      <c r="D69" s="132"/>
      <c r="E69" s="132"/>
      <c r="F69" s="316" t="s">
        <v>1155</v>
      </c>
      <c r="G69" s="52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2.75" customHeight="1">
      <c r="A70" s="302" t="s">
        <v>1156</v>
      </c>
      <c r="B70" s="198" t="s">
        <v>1157</v>
      </c>
      <c r="C70" s="297"/>
      <c r="D70" s="132"/>
      <c r="E70" s="132"/>
      <c r="F70" s="295"/>
      <c r="G70" s="52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2.75" customHeight="1">
      <c r="A71" s="302" t="s">
        <v>1158</v>
      </c>
      <c r="B71" s="198" t="s">
        <v>1159</v>
      </c>
      <c r="C71" s="297"/>
      <c r="D71" s="132"/>
      <c r="E71" s="132"/>
      <c r="F71" s="295"/>
      <c r="G71" s="52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75" customHeight="1">
      <c r="A72" s="302" t="s">
        <v>1160</v>
      </c>
      <c r="B72" s="198" t="s">
        <v>1161</v>
      </c>
      <c r="C72" s="297"/>
      <c r="D72" s="132"/>
      <c r="E72" s="132"/>
      <c r="F72" s="316"/>
      <c r="G72" s="52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.75" customHeight="1">
      <c r="A73" s="135"/>
      <c r="B73" s="123"/>
      <c r="C73" s="297"/>
      <c r="D73" s="132"/>
      <c r="E73" s="132"/>
      <c r="F73" s="316"/>
      <c r="G73" s="52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2.75" customHeight="1">
      <c r="A74" s="135" t="s">
        <v>1143</v>
      </c>
      <c r="B74" s="123"/>
      <c r="C74" s="297"/>
      <c r="D74" s="132"/>
      <c r="E74" s="132"/>
      <c r="F74" s="316"/>
      <c r="G74" s="52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75" customHeight="1">
      <c r="A75" s="142"/>
      <c r="B75" s="143"/>
      <c r="C75" s="361">
        <f t="shared" ref="C75:E75" si="5">SUM(C63:C74)</f>
        <v>10326</v>
      </c>
      <c r="D75" s="146">
        <f t="shared" si="5"/>
        <v>278249</v>
      </c>
      <c r="E75" s="146">
        <f t="shared" si="5"/>
        <v>291157.75</v>
      </c>
      <c r="F75" s="358"/>
      <c r="G75" s="52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44.25" customHeight="1">
      <c r="A76" s="179" t="s">
        <v>1162</v>
      </c>
      <c r="B76" s="149"/>
      <c r="C76" s="112" t="s">
        <v>299</v>
      </c>
      <c r="D76" s="113" t="s">
        <v>9</v>
      </c>
      <c r="E76" s="284" t="s">
        <v>10</v>
      </c>
      <c r="F76" s="311" t="s">
        <v>11</v>
      </c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75" customHeight="1">
      <c r="A77" s="194" t="s">
        <v>440</v>
      </c>
      <c r="B77" s="195"/>
      <c r="C77" s="287"/>
      <c r="D77" s="390"/>
      <c r="E77" s="183"/>
      <c r="F77" s="290" t="s">
        <v>1163</v>
      </c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2.75" customHeight="1">
      <c r="A78" s="122" t="s">
        <v>303</v>
      </c>
      <c r="B78" s="123" t="s">
        <v>304</v>
      </c>
      <c r="C78" s="292"/>
      <c r="D78" s="391"/>
      <c r="E78" s="186"/>
      <c r="F78" s="300" t="s">
        <v>1164</v>
      </c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2.75" customHeight="1">
      <c r="A79" s="128" t="s">
        <v>308</v>
      </c>
      <c r="B79" s="129" t="s">
        <v>309</v>
      </c>
      <c r="C79" s="297">
        <v>8977.0</v>
      </c>
      <c r="D79" s="392">
        <v>233659.4</v>
      </c>
      <c r="E79" s="246">
        <v>246389.54</v>
      </c>
      <c r="F79" s="300" t="s">
        <v>1165</v>
      </c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2.75" customHeight="1">
      <c r="A80" s="302" t="s">
        <v>1086</v>
      </c>
      <c r="B80" s="201" t="s">
        <v>15</v>
      </c>
      <c r="C80" s="297">
        <v>16038.0</v>
      </c>
      <c r="D80" s="392">
        <v>421393.51</v>
      </c>
      <c r="E80" s="132">
        <v>440491.33</v>
      </c>
      <c r="F80" s="300" t="s">
        <v>1166</v>
      </c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2.75" customHeight="1">
      <c r="A81" s="200"/>
      <c r="B81" s="198"/>
      <c r="C81" s="297"/>
      <c r="D81" s="392"/>
      <c r="E81" s="132"/>
      <c r="F81" s="295" t="s">
        <v>1167</v>
      </c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2.75" customHeight="1">
      <c r="A82" s="200" t="s">
        <v>1168</v>
      </c>
      <c r="B82" s="198" t="s">
        <v>1169</v>
      </c>
      <c r="C82" s="297"/>
      <c r="D82" s="392"/>
      <c r="E82" s="132"/>
      <c r="F82" s="295" t="s">
        <v>1170</v>
      </c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2.75" customHeight="1">
      <c r="A83" s="200" t="s">
        <v>1171</v>
      </c>
      <c r="B83" s="198" t="s">
        <v>1172</v>
      </c>
      <c r="C83" s="297"/>
      <c r="D83" s="392"/>
      <c r="E83" s="132"/>
      <c r="F83" s="316" t="s">
        <v>1173</v>
      </c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0" customHeight="1">
      <c r="A84" s="200" t="s">
        <v>1174</v>
      </c>
      <c r="B84" s="198" t="s">
        <v>1175</v>
      </c>
      <c r="C84" s="297"/>
      <c r="D84" s="392"/>
      <c r="E84" s="132"/>
      <c r="F84" s="316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0" customHeight="1">
      <c r="A85" s="200" t="s">
        <v>1176</v>
      </c>
      <c r="B85" s="198" t="s">
        <v>1177</v>
      </c>
      <c r="C85" s="297"/>
      <c r="D85" s="392"/>
      <c r="E85" s="132"/>
      <c r="F85" s="132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0" customHeight="1">
      <c r="A86" s="200" t="s">
        <v>1178</v>
      </c>
      <c r="B86" s="198" t="s">
        <v>1179</v>
      </c>
      <c r="C86" s="297"/>
      <c r="D86" s="392"/>
      <c r="E86" s="132"/>
      <c r="F86" s="316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0" customHeight="1">
      <c r="A87" s="200" t="s">
        <v>1180</v>
      </c>
      <c r="B87" s="198" t="s">
        <v>1181</v>
      </c>
      <c r="C87" s="297"/>
      <c r="D87" s="392"/>
      <c r="E87" s="132"/>
      <c r="F87" s="316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0" customHeight="1">
      <c r="A88" s="200" t="s">
        <v>1182</v>
      </c>
      <c r="B88" s="198" t="s">
        <v>1183</v>
      </c>
      <c r="C88" s="297"/>
      <c r="D88" s="392"/>
      <c r="E88" s="132"/>
      <c r="F88" s="316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0" customHeight="1">
      <c r="A89" s="200" t="s">
        <v>1184</v>
      </c>
      <c r="B89" s="198" t="s">
        <v>1185</v>
      </c>
      <c r="C89" s="297"/>
      <c r="D89" s="392"/>
      <c r="E89" s="132"/>
      <c r="F89" s="316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0" customHeight="1">
      <c r="A90" s="200" t="s">
        <v>1186</v>
      </c>
      <c r="B90" s="198" t="s">
        <v>1187</v>
      </c>
      <c r="C90" s="297"/>
      <c r="D90" s="392"/>
      <c r="E90" s="132"/>
      <c r="F90" s="316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0" customHeight="1">
      <c r="A91" s="200" t="s">
        <v>1188</v>
      </c>
      <c r="B91" s="198" t="s">
        <v>1189</v>
      </c>
      <c r="C91" s="297"/>
      <c r="D91" s="392"/>
      <c r="E91" s="132"/>
      <c r="F91" s="316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0" customHeight="1">
      <c r="A92" s="200" t="s">
        <v>1190</v>
      </c>
      <c r="B92" s="198" t="s">
        <v>1191</v>
      </c>
      <c r="C92" s="297"/>
      <c r="D92" s="392"/>
      <c r="E92" s="132"/>
      <c r="F92" s="316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0" customHeight="1">
      <c r="A93" s="200" t="s">
        <v>1192</v>
      </c>
      <c r="B93" s="134"/>
      <c r="C93" s="297"/>
      <c r="D93" s="392"/>
      <c r="E93" s="132"/>
      <c r="F93" s="316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0" customHeight="1">
      <c r="A94" s="200"/>
      <c r="B94" s="134"/>
      <c r="C94" s="297"/>
      <c r="D94" s="392"/>
      <c r="E94" s="132"/>
      <c r="F94" s="316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0" customHeight="1">
      <c r="A95" s="128" t="s">
        <v>316</v>
      </c>
      <c r="B95" s="134"/>
      <c r="C95" s="297"/>
      <c r="D95" s="392"/>
      <c r="E95" s="132"/>
      <c r="F95" s="316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8.75" customHeight="1">
      <c r="A96" s="142"/>
      <c r="B96" s="143"/>
      <c r="C96" s="361">
        <f t="shared" ref="C96:E96" si="6">SUM(C77:C95)</f>
        <v>25015</v>
      </c>
      <c r="D96" s="393">
        <f t="shared" si="6"/>
        <v>655052.91</v>
      </c>
      <c r="E96" s="146">
        <f t="shared" si="6"/>
        <v>686880.87</v>
      </c>
      <c r="F96" s="39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41.25" customHeight="1">
      <c r="A97" s="110" t="s">
        <v>1193</v>
      </c>
      <c r="B97" s="111"/>
      <c r="C97" s="112" t="s">
        <v>299</v>
      </c>
      <c r="D97" s="113" t="s">
        <v>9</v>
      </c>
      <c r="E97" s="284" t="s">
        <v>10</v>
      </c>
      <c r="F97" s="311" t="s">
        <v>11</v>
      </c>
      <c r="G97" s="52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2.75" customHeight="1">
      <c r="A98" s="194" t="s">
        <v>385</v>
      </c>
      <c r="B98" s="195"/>
      <c r="C98" s="189"/>
      <c r="D98" s="183"/>
      <c r="E98" s="183"/>
      <c r="F98" s="290" t="s">
        <v>1194</v>
      </c>
      <c r="G98" s="52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75" customHeight="1">
      <c r="A99" s="197" t="s">
        <v>303</v>
      </c>
      <c r="B99" s="198" t="s">
        <v>304</v>
      </c>
      <c r="C99" s="191"/>
      <c r="D99" s="186"/>
      <c r="E99" s="186"/>
      <c r="F99" s="300" t="s">
        <v>1195</v>
      </c>
      <c r="G99" s="52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.75" customHeight="1">
      <c r="A100" s="128" t="s">
        <v>308</v>
      </c>
      <c r="B100" s="129" t="s">
        <v>309</v>
      </c>
      <c r="C100" s="192">
        <v>33.0</v>
      </c>
      <c r="D100" s="132">
        <v>847.32</v>
      </c>
      <c r="E100" s="132">
        <v>880.82</v>
      </c>
      <c r="F100" s="300" t="s">
        <v>1196</v>
      </c>
      <c r="G100" s="52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2.75" customHeight="1">
      <c r="A101" s="302" t="s">
        <v>1086</v>
      </c>
      <c r="B101" s="201" t="s">
        <v>15</v>
      </c>
      <c r="C101" s="192">
        <v>4293.0</v>
      </c>
      <c r="D101" s="132">
        <v>109832.39</v>
      </c>
      <c r="E101" s="132">
        <v>115757.69</v>
      </c>
      <c r="F101" s="300" t="s">
        <v>1197</v>
      </c>
      <c r="G101" s="52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75" customHeight="1">
      <c r="A102" s="200"/>
      <c r="B102" s="202"/>
      <c r="C102" s="192"/>
      <c r="D102" s="132"/>
      <c r="E102" s="132"/>
      <c r="F102" s="295" t="s">
        <v>1198</v>
      </c>
      <c r="G102" s="52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.75" customHeight="1">
      <c r="A103" s="200" t="s">
        <v>1199</v>
      </c>
      <c r="B103" s="202" t="s">
        <v>1200</v>
      </c>
      <c r="C103" s="192"/>
      <c r="D103" s="132"/>
      <c r="E103" s="132"/>
      <c r="F103" s="295" t="s">
        <v>1201</v>
      </c>
      <c r="G103" s="52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2.75" customHeight="1">
      <c r="A104" s="200" t="s">
        <v>1202</v>
      </c>
      <c r="B104" s="202" t="s">
        <v>1203</v>
      </c>
      <c r="C104" s="192"/>
      <c r="D104" s="132"/>
      <c r="E104" s="132"/>
      <c r="F104" s="316" t="s">
        <v>1204</v>
      </c>
      <c r="G104" s="52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2.75" customHeight="1">
      <c r="A105" s="128"/>
      <c r="B105" s="202"/>
      <c r="C105" s="192"/>
      <c r="D105" s="132"/>
      <c r="E105" s="132"/>
      <c r="F105" s="316"/>
      <c r="G105" s="52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2.75" customHeight="1">
      <c r="A106" s="128" t="s">
        <v>316</v>
      </c>
      <c r="B106" s="202"/>
      <c r="C106" s="192"/>
      <c r="D106" s="132"/>
      <c r="E106" s="132"/>
      <c r="F106" s="316"/>
      <c r="G106" s="52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8.75" customHeight="1">
      <c r="A107" s="203"/>
      <c r="B107" s="143"/>
      <c r="C107" s="355">
        <f t="shared" ref="C107:E107" si="7">SUM(C98:C106)</f>
        <v>4326</v>
      </c>
      <c r="D107" s="146">
        <f t="shared" si="7"/>
        <v>110679.71</v>
      </c>
      <c r="E107" s="146">
        <f t="shared" si="7"/>
        <v>116638.51</v>
      </c>
      <c r="F107" s="358"/>
      <c r="G107" s="52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40.5" customHeight="1">
      <c r="A108" s="179" t="s">
        <v>1205</v>
      </c>
      <c r="B108" s="149"/>
      <c r="C108" s="112" t="s">
        <v>299</v>
      </c>
      <c r="D108" s="113" t="s">
        <v>9</v>
      </c>
      <c r="E108" s="284" t="s">
        <v>10</v>
      </c>
      <c r="F108" s="311" t="s">
        <v>11</v>
      </c>
      <c r="G108" s="52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0" customHeight="1">
      <c r="A109" s="116" t="s">
        <v>486</v>
      </c>
      <c r="B109" s="117"/>
      <c r="C109" s="189"/>
      <c r="D109" s="183"/>
      <c r="E109" s="183"/>
      <c r="F109" s="290" t="s">
        <v>1206</v>
      </c>
      <c r="G109" s="52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0" customHeight="1">
      <c r="A110" s="122" t="s">
        <v>303</v>
      </c>
      <c r="B110" s="123" t="s">
        <v>304</v>
      </c>
      <c r="C110" s="359"/>
      <c r="D110" s="186"/>
      <c r="E110" s="186"/>
      <c r="F110" s="300" t="s">
        <v>1207</v>
      </c>
      <c r="G110" s="52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0" customHeight="1">
      <c r="A111" s="302" t="s">
        <v>1086</v>
      </c>
      <c r="B111" s="201" t="s">
        <v>15</v>
      </c>
      <c r="C111" s="297">
        <v>6241.0</v>
      </c>
      <c r="D111" s="132">
        <v>166588.38</v>
      </c>
      <c r="E111" s="132">
        <v>174397.63</v>
      </c>
      <c r="F111" s="300" t="s">
        <v>1208</v>
      </c>
      <c r="G111" s="52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customHeight="1">
      <c r="A112" s="302"/>
      <c r="B112" s="202"/>
      <c r="C112" s="297"/>
      <c r="D112" s="132"/>
      <c r="E112" s="132"/>
      <c r="F112" s="300" t="s">
        <v>1209</v>
      </c>
      <c r="G112" s="52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6.5" customHeight="1">
      <c r="A113" s="200" t="s">
        <v>1210</v>
      </c>
      <c r="B113" s="202" t="s">
        <v>1211</v>
      </c>
      <c r="C113" s="297"/>
      <c r="D113" s="132"/>
      <c r="E113" s="132"/>
      <c r="F113" s="295" t="s">
        <v>1212</v>
      </c>
      <c r="G113" s="52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0" customHeight="1">
      <c r="A114" s="200" t="s">
        <v>1213</v>
      </c>
      <c r="B114" s="202" t="s">
        <v>1214</v>
      </c>
      <c r="C114" s="297"/>
      <c r="D114" s="132"/>
      <c r="E114" s="132"/>
      <c r="F114" s="295" t="s">
        <v>1215</v>
      </c>
      <c r="G114" s="52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2.75" customHeight="1">
      <c r="A115" s="200" t="s">
        <v>1216</v>
      </c>
      <c r="B115" s="202" t="s">
        <v>1217</v>
      </c>
      <c r="C115" s="297"/>
      <c r="D115" s="132"/>
      <c r="E115" s="132"/>
      <c r="F115" s="316" t="s">
        <v>1218</v>
      </c>
      <c r="G115" s="52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2.75" customHeight="1">
      <c r="A116" s="137"/>
      <c r="B116" s="134"/>
      <c r="C116" s="297"/>
      <c r="D116" s="132"/>
      <c r="E116" s="132"/>
      <c r="F116" s="316"/>
      <c r="G116" s="52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2.75" customHeight="1">
      <c r="A117" s="137" t="s">
        <v>316</v>
      </c>
      <c r="B117" s="134"/>
      <c r="C117" s="297"/>
      <c r="D117" s="132"/>
      <c r="E117" s="132"/>
      <c r="F117" s="316"/>
      <c r="G117" s="52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21.75" customHeight="1">
      <c r="A118" s="142"/>
      <c r="B118" s="143"/>
      <c r="C118" s="361">
        <f t="shared" ref="C118:E118" si="8">SUM(C109:C117)</f>
        <v>6241</v>
      </c>
      <c r="D118" s="146">
        <f t="shared" si="8"/>
        <v>166588.38</v>
      </c>
      <c r="E118" s="146">
        <f t="shared" si="8"/>
        <v>174397.63</v>
      </c>
      <c r="F118" s="358"/>
      <c r="G118" s="52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8.75" customHeight="1">
      <c r="A119" s="203"/>
      <c r="B119" s="143"/>
      <c r="C119" s="144"/>
      <c r="D119" s="145"/>
      <c r="E119" s="146"/>
      <c r="F119" s="147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8.0" customHeight="1">
      <c r="A120" s="266"/>
      <c r="B120" s="267"/>
      <c r="C120" s="268" t="s">
        <v>292</v>
      </c>
      <c r="D120" s="269" t="s">
        <v>292</v>
      </c>
      <c r="E120" s="270" t="s">
        <v>292</v>
      </c>
      <c r="F120" s="271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8.75" customHeight="1">
      <c r="A121" s="272"/>
      <c r="B121" s="273"/>
      <c r="C121" s="274">
        <f t="shared" ref="C121:E121" si="9">SUM(C21+C32+C42+C61++C75+C96+C107+C118)</f>
        <v>76783</v>
      </c>
      <c r="D121" s="98">
        <f t="shared" si="9"/>
        <v>1993697.75</v>
      </c>
      <c r="E121" s="98">
        <f t="shared" si="9"/>
        <v>2092366.51</v>
      </c>
      <c r="F121" s="277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75" customHeight="1">
      <c r="A122" s="4"/>
      <c r="B122" s="101"/>
      <c r="C122" s="4"/>
      <c r="D122" s="102"/>
      <c r="E122" s="103"/>
      <c r="F122" s="10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2.75" customHeight="1">
      <c r="A123" s="4"/>
      <c r="B123" s="101"/>
      <c r="C123" s="4"/>
      <c r="D123" s="102"/>
      <c r="E123" s="103"/>
      <c r="F123" s="10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2.75" customHeight="1">
      <c r="A124" s="4"/>
      <c r="B124" s="101"/>
      <c r="C124" s="4"/>
      <c r="D124" s="102"/>
      <c r="E124" s="103"/>
      <c r="F124" s="10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2.75" customHeight="1">
      <c r="A125" s="4"/>
      <c r="B125" s="101"/>
      <c r="C125" s="4"/>
      <c r="D125" s="102"/>
      <c r="E125" s="103"/>
      <c r="F125" s="10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2.75" customHeight="1">
      <c r="A126" s="4"/>
      <c r="B126" s="101"/>
      <c r="C126" s="4"/>
      <c r="D126" s="102"/>
      <c r="E126" s="103"/>
      <c r="F126" s="10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2.75" customHeight="1">
      <c r="A127" s="4"/>
      <c r="B127" s="101"/>
      <c r="C127" s="4"/>
      <c r="D127" s="102"/>
      <c r="E127" s="103"/>
      <c r="F127" s="10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2.75" customHeight="1">
      <c r="A128" s="4"/>
      <c r="B128" s="101"/>
      <c r="C128" s="4"/>
      <c r="D128" s="102"/>
      <c r="E128" s="103"/>
      <c r="F128" s="10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2.75" customHeight="1">
      <c r="A129" s="4"/>
      <c r="B129" s="101"/>
      <c r="C129" s="4"/>
      <c r="D129" s="102"/>
      <c r="E129" s="103"/>
      <c r="F129" s="10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2.75" customHeight="1">
      <c r="A130" s="4"/>
      <c r="B130" s="101"/>
      <c r="C130" s="4"/>
      <c r="D130" s="102"/>
      <c r="E130" s="103"/>
      <c r="F130" s="10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2.75" customHeight="1">
      <c r="A131" s="4"/>
      <c r="B131" s="101"/>
      <c r="C131" s="4"/>
      <c r="D131" s="102"/>
      <c r="E131" s="103"/>
      <c r="F131" s="10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2.75" customHeight="1">
      <c r="A132" s="4"/>
      <c r="B132" s="101"/>
      <c r="C132" s="4"/>
      <c r="D132" s="102"/>
      <c r="E132" s="103"/>
      <c r="F132" s="10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2.75" customHeight="1">
      <c r="A133" s="4"/>
      <c r="B133" s="101"/>
      <c r="C133" s="4"/>
      <c r="D133" s="102"/>
      <c r="E133" s="103"/>
      <c r="F133" s="10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75" customHeight="1">
      <c r="A134" s="4"/>
      <c r="B134" s="101"/>
      <c r="C134" s="4"/>
      <c r="D134" s="102"/>
      <c r="E134" s="103"/>
      <c r="F134" s="10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75" customHeight="1">
      <c r="A135" s="4"/>
      <c r="B135" s="101"/>
      <c r="C135" s="4"/>
      <c r="D135" s="102"/>
      <c r="E135" s="103"/>
      <c r="F135" s="10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.75" customHeight="1">
      <c r="A136" s="4"/>
      <c r="B136" s="101"/>
      <c r="C136" s="4"/>
      <c r="D136" s="102"/>
      <c r="E136" s="103"/>
      <c r="F136" s="10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.75" customHeight="1">
      <c r="A137" s="4"/>
      <c r="B137" s="101"/>
      <c r="C137" s="4"/>
      <c r="D137" s="102"/>
      <c r="E137" s="103"/>
      <c r="F137" s="10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2.75" customHeight="1">
      <c r="A138" s="4"/>
      <c r="B138" s="101"/>
      <c r="C138" s="4"/>
      <c r="D138" s="102"/>
      <c r="E138" s="103"/>
      <c r="F138" s="10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2.75" customHeight="1">
      <c r="A139" s="4"/>
      <c r="B139" s="101"/>
      <c r="C139" s="4"/>
      <c r="D139" s="102"/>
      <c r="E139" s="103"/>
      <c r="F139" s="10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2.75" customHeight="1">
      <c r="A140" s="4"/>
      <c r="B140" s="101"/>
      <c r="C140" s="4"/>
      <c r="D140" s="102"/>
      <c r="E140" s="103"/>
      <c r="F140" s="10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2.75" customHeight="1">
      <c r="A141" s="4"/>
      <c r="B141" s="101"/>
      <c r="C141" s="4"/>
      <c r="D141" s="102"/>
      <c r="E141" s="103"/>
      <c r="F141" s="10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.75" customHeight="1">
      <c r="A142" s="4"/>
      <c r="B142" s="101"/>
      <c r="C142" s="4"/>
      <c r="D142" s="102"/>
      <c r="E142" s="103"/>
      <c r="F142" s="10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.75" customHeight="1">
      <c r="A143" s="4"/>
      <c r="B143" s="101"/>
      <c r="C143" s="4"/>
      <c r="D143" s="102"/>
      <c r="E143" s="103"/>
      <c r="F143" s="10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.75" customHeight="1">
      <c r="A144" s="4"/>
      <c r="B144" s="101"/>
      <c r="C144" s="4"/>
      <c r="D144" s="102"/>
      <c r="E144" s="103"/>
      <c r="F144" s="10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.75" customHeight="1">
      <c r="A145" s="4"/>
      <c r="B145" s="101"/>
      <c r="C145" s="4"/>
      <c r="D145" s="102"/>
      <c r="E145" s="103"/>
      <c r="F145" s="10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2.75" customHeight="1">
      <c r="A146" s="4"/>
      <c r="B146" s="101"/>
      <c r="C146" s="4"/>
      <c r="D146" s="102"/>
      <c r="E146" s="103"/>
      <c r="F146" s="10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75" customHeight="1">
      <c r="A147" s="4"/>
      <c r="B147" s="101"/>
      <c r="C147" s="4"/>
      <c r="D147" s="102"/>
      <c r="E147" s="103"/>
      <c r="F147" s="10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75" customHeight="1">
      <c r="A148" s="4"/>
      <c r="B148" s="101"/>
      <c r="C148" s="4"/>
      <c r="D148" s="102"/>
      <c r="E148" s="103"/>
      <c r="F148" s="10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2.75" customHeight="1">
      <c r="A149" s="4"/>
      <c r="B149" s="101"/>
      <c r="C149" s="4"/>
      <c r="D149" s="102"/>
      <c r="E149" s="103"/>
      <c r="F149" s="10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2.75" customHeight="1">
      <c r="A150" s="4"/>
      <c r="B150" s="101"/>
      <c r="C150" s="4"/>
      <c r="D150" s="102"/>
      <c r="E150" s="103"/>
      <c r="F150" s="10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.75" customHeight="1">
      <c r="A151" s="4"/>
      <c r="B151" s="101"/>
      <c r="C151" s="4"/>
      <c r="D151" s="102"/>
      <c r="E151" s="103"/>
      <c r="F151" s="10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.75" customHeight="1">
      <c r="A152" s="4"/>
      <c r="B152" s="101"/>
      <c r="C152" s="4"/>
      <c r="D152" s="102"/>
      <c r="E152" s="103"/>
      <c r="F152" s="10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.75" customHeight="1">
      <c r="A153" s="4"/>
      <c r="B153" s="101"/>
      <c r="C153" s="4"/>
      <c r="D153" s="102"/>
      <c r="E153" s="103"/>
      <c r="F153" s="10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.75" customHeight="1">
      <c r="A154" s="4"/>
      <c r="B154" s="101"/>
      <c r="C154" s="4"/>
      <c r="D154" s="102"/>
      <c r="E154" s="103"/>
      <c r="F154" s="10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.75" customHeight="1">
      <c r="A155" s="4"/>
      <c r="B155" s="101"/>
      <c r="C155" s="4"/>
      <c r="D155" s="102"/>
      <c r="E155" s="103"/>
      <c r="F155" s="10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.75" customHeight="1">
      <c r="A156" s="4"/>
      <c r="B156" s="101"/>
      <c r="C156" s="4"/>
      <c r="D156" s="102"/>
      <c r="E156" s="103"/>
      <c r="F156" s="10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.75" customHeight="1">
      <c r="A157" s="4"/>
      <c r="B157" s="101"/>
      <c r="C157" s="4"/>
      <c r="D157" s="102"/>
      <c r="E157" s="103"/>
      <c r="F157" s="10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.75" customHeight="1">
      <c r="A158" s="4"/>
      <c r="B158" s="101"/>
      <c r="C158" s="4"/>
      <c r="D158" s="102"/>
      <c r="E158" s="103"/>
      <c r="F158" s="10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2.75" customHeight="1">
      <c r="A159" s="4"/>
      <c r="B159" s="101"/>
      <c r="C159" s="4"/>
      <c r="D159" s="102"/>
      <c r="E159" s="103"/>
      <c r="F159" s="10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.75" customHeight="1">
      <c r="A160" s="4"/>
      <c r="B160" s="101"/>
      <c r="C160" s="4"/>
      <c r="D160" s="102"/>
      <c r="E160" s="103"/>
      <c r="F160" s="10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.75" customHeight="1">
      <c r="A161" s="4"/>
      <c r="B161" s="101"/>
      <c r="C161" s="4"/>
      <c r="D161" s="102"/>
      <c r="E161" s="103"/>
      <c r="F161" s="10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75" customHeight="1">
      <c r="A162" s="4"/>
      <c r="B162" s="101"/>
      <c r="C162" s="4"/>
      <c r="D162" s="102"/>
      <c r="E162" s="103"/>
      <c r="F162" s="10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.75" customHeight="1">
      <c r="A163" s="4"/>
      <c r="B163" s="101"/>
      <c r="C163" s="4"/>
      <c r="D163" s="102"/>
      <c r="E163" s="103"/>
      <c r="F163" s="10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75" customHeight="1">
      <c r="A164" s="4"/>
      <c r="B164" s="101"/>
      <c r="C164" s="4"/>
      <c r="D164" s="102"/>
      <c r="E164" s="103"/>
      <c r="F164" s="10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75" customHeight="1">
      <c r="A165" s="4"/>
      <c r="B165" s="101"/>
      <c r="C165" s="4"/>
      <c r="D165" s="102"/>
      <c r="E165" s="103"/>
      <c r="F165" s="10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75" customHeight="1">
      <c r="A166" s="4"/>
      <c r="B166" s="101"/>
      <c r="C166" s="4"/>
      <c r="D166" s="102"/>
      <c r="E166" s="103"/>
      <c r="F166" s="10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.75" customHeight="1">
      <c r="A167" s="4"/>
      <c r="B167" s="101"/>
      <c r="C167" s="4"/>
      <c r="D167" s="102"/>
      <c r="E167" s="103"/>
      <c r="F167" s="10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75" customHeight="1">
      <c r="A168" s="4"/>
      <c r="B168" s="101"/>
      <c r="C168" s="4"/>
      <c r="D168" s="102"/>
      <c r="E168" s="103"/>
      <c r="F168" s="10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75" customHeight="1">
      <c r="A169" s="4"/>
      <c r="B169" s="101"/>
      <c r="C169" s="4"/>
      <c r="D169" s="102"/>
      <c r="E169" s="103"/>
      <c r="F169" s="10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75" customHeight="1">
      <c r="A170" s="4"/>
      <c r="B170" s="101"/>
      <c r="C170" s="4"/>
      <c r="D170" s="102"/>
      <c r="E170" s="103"/>
      <c r="F170" s="10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75" customHeight="1">
      <c r="A171" s="4"/>
      <c r="B171" s="101"/>
      <c r="C171" s="4"/>
      <c r="D171" s="102"/>
      <c r="E171" s="103"/>
      <c r="F171" s="10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75" customHeight="1">
      <c r="A172" s="4"/>
      <c r="B172" s="101"/>
      <c r="C172" s="4"/>
      <c r="D172" s="102"/>
      <c r="E172" s="103"/>
      <c r="F172" s="10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75" customHeight="1">
      <c r="A173" s="4"/>
      <c r="B173" s="101"/>
      <c r="C173" s="4"/>
      <c r="D173" s="102"/>
      <c r="E173" s="103"/>
      <c r="F173" s="10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75" customHeight="1">
      <c r="A174" s="4"/>
      <c r="B174" s="101"/>
      <c r="C174" s="4"/>
      <c r="D174" s="102"/>
      <c r="E174" s="103"/>
      <c r="F174" s="10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75" customHeight="1">
      <c r="A175" s="4"/>
      <c r="B175" s="101"/>
      <c r="C175" s="4"/>
      <c r="D175" s="102"/>
      <c r="E175" s="103"/>
      <c r="F175" s="10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75" customHeight="1">
      <c r="A176" s="4"/>
      <c r="B176" s="101"/>
      <c r="C176" s="4"/>
      <c r="D176" s="102"/>
      <c r="E176" s="103"/>
      <c r="F176" s="10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75" customHeight="1">
      <c r="A177" s="4"/>
      <c r="B177" s="101"/>
      <c r="C177" s="4"/>
      <c r="D177" s="102"/>
      <c r="E177" s="103"/>
      <c r="F177" s="10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75" customHeight="1">
      <c r="A178" s="4"/>
      <c r="B178" s="101"/>
      <c r="C178" s="4"/>
      <c r="D178" s="102"/>
      <c r="E178" s="103"/>
      <c r="F178" s="10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75" customHeight="1">
      <c r="A179" s="4"/>
      <c r="B179" s="101"/>
      <c r="C179" s="4"/>
      <c r="D179" s="102"/>
      <c r="E179" s="103"/>
      <c r="F179" s="10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75" customHeight="1">
      <c r="A180" s="4"/>
      <c r="B180" s="101"/>
      <c r="C180" s="4"/>
      <c r="D180" s="102"/>
      <c r="E180" s="103"/>
      <c r="F180" s="10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75" customHeight="1">
      <c r="A181" s="4"/>
      <c r="B181" s="101"/>
      <c r="C181" s="4"/>
      <c r="D181" s="102"/>
      <c r="E181" s="103"/>
      <c r="F181" s="10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75" customHeight="1">
      <c r="A182" s="4"/>
      <c r="B182" s="101"/>
      <c r="C182" s="4"/>
      <c r="D182" s="102"/>
      <c r="E182" s="103"/>
      <c r="F182" s="10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75" customHeight="1">
      <c r="A183" s="4"/>
      <c r="B183" s="101"/>
      <c r="C183" s="4"/>
      <c r="D183" s="102"/>
      <c r="E183" s="103"/>
      <c r="F183" s="10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75" customHeight="1">
      <c r="A184" s="4"/>
      <c r="B184" s="101"/>
      <c r="C184" s="4"/>
      <c r="D184" s="102"/>
      <c r="E184" s="103"/>
      <c r="F184" s="10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75" customHeight="1">
      <c r="A185" s="4"/>
      <c r="B185" s="101"/>
      <c r="C185" s="4"/>
      <c r="D185" s="102"/>
      <c r="E185" s="103"/>
      <c r="F185" s="10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75" customHeight="1">
      <c r="A186" s="4"/>
      <c r="B186" s="101"/>
      <c r="C186" s="4"/>
      <c r="D186" s="102"/>
      <c r="E186" s="103"/>
      <c r="F186" s="10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75" customHeight="1">
      <c r="A187" s="4"/>
      <c r="B187" s="101"/>
      <c r="C187" s="4"/>
      <c r="D187" s="102"/>
      <c r="E187" s="103"/>
      <c r="F187" s="10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75" customHeight="1">
      <c r="A188" s="4"/>
      <c r="B188" s="101"/>
      <c r="C188" s="4"/>
      <c r="D188" s="102"/>
      <c r="E188" s="103"/>
      <c r="F188" s="10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75" customHeight="1">
      <c r="A189" s="4"/>
      <c r="B189" s="101"/>
      <c r="C189" s="4"/>
      <c r="D189" s="102"/>
      <c r="E189" s="103"/>
      <c r="F189" s="10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75" customHeight="1">
      <c r="A190" s="4"/>
      <c r="B190" s="101"/>
      <c r="C190" s="4"/>
      <c r="D190" s="102"/>
      <c r="E190" s="103"/>
      <c r="F190" s="10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75" customHeight="1">
      <c r="A191" s="4"/>
      <c r="B191" s="101"/>
      <c r="C191" s="4"/>
      <c r="D191" s="102"/>
      <c r="E191" s="103"/>
      <c r="F191" s="10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75" customHeight="1">
      <c r="A192" s="4"/>
      <c r="B192" s="101"/>
      <c r="C192" s="4"/>
      <c r="D192" s="102"/>
      <c r="E192" s="103"/>
      <c r="F192" s="10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75" customHeight="1">
      <c r="A193" s="4"/>
      <c r="B193" s="101"/>
      <c r="C193" s="4"/>
      <c r="D193" s="102"/>
      <c r="E193" s="103"/>
      <c r="F193" s="10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75" customHeight="1">
      <c r="A194" s="4"/>
      <c r="B194" s="101"/>
      <c r="C194" s="4"/>
      <c r="D194" s="102"/>
      <c r="E194" s="103"/>
      <c r="F194" s="10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75" customHeight="1">
      <c r="A195" s="4"/>
      <c r="B195" s="101"/>
      <c r="C195" s="4"/>
      <c r="D195" s="102"/>
      <c r="E195" s="103"/>
      <c r="F195" s="10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75" customHeight="1">
      <c r="A196" s="4"/>
      <c r="B196" s="101"/>
      <c r="C196" s="4"/>
      <c r="D196" s="102"/>
      <c r="E196" s="103"/>
      <c r="F196" s="10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75" customHeight="1">
      <c r="A197" s="4"/>
      <c r="B197" s="101"/>
      <c r="C197" s="4"/>
      <c r="D197" s="102"/>
      <c r="E197" s="103"/>
      <c r="F197" s="10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75" customHeight="1">
      <c r="A198" s="4"/>
      <c r="B198" s="101"/>
      <c r="C198" s="4"/>
      <c r="D198" s="102"/>
      <c r="E198" s="103"/>
      <c r="F198" s="10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75" customHeight="1">
      <c r="A199" s="4"/>
      <c r="B199" s="101"/>
      <c r="C199" s="4"/>
      <c r="D199" s="102"/>
      <c r="E199" s="103"/>
      <c r="F199" s="10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75" customHeight="1">
      <c r="A200" s="4"/>
      <c r="B200" s="101"/>
      <c r="C200" s="4"/>
      <c r="D200" s="102"/>
      <c r="E200" s="103"/>
      <c r="F200" s="10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75" customHeight="1">
      <c r="A201" s="4"/>
      <c r="B201" s="101"/>
      <c r="C201" s="4"/>
      <c r="D201" s="102"/>
      <c r="E201" s="103"/>
      <c r="F201" s="10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.75" customHeight="1">
      <c r="A202" s="4"/>
      <c r="B202" s="101"/>
      <c r="C202" s="4"/>
      <c r="D202" s="102"/>
      <c r="E202" s="103"/>
      <c r="F202" s="10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75" customHeight="1">
      <c r="A203" s="4"/>
      <c r="B203" s="101"/>
      <c r="C203" s="4"/>
      <c r="D203" s="102"/>
      <c r="E203" s="103"/>
      <c r="F203" s="10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75" customHeight="1">
      <c r="A204" s="4"/>
      <c r="B204" s="101"/>
      <c r="C204" s="4"/>
      <c r="D204" s="102"/>
      <c r="E204" s="103"/>
      <c r="F204" s="10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75" customHeight="1">
      <c r="A205" s="4"/>
      <c r="B205" s="101"/>
      <c r="C205" s="4"/>
      <c r="D205" s="102"/>
      <c r="E205" s="103"/>
      <c r="F205" s="10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75" customHeight="1">
      <c r="A206" s="4"/>
      <c r="B206" s="101"/>
      <c r="C206" s="4"/>
      <c r="D206" s="102"/>
      <c r="E206" s="103"/>
      <c r="F206" s="10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75" customHeight="1">
      <c r="A207" s="4"/>
      <c r="B207" s="101"/>
      <c r="C207" s="4"/>
      <c r="D207" s="102"/>
      <c r="E207" s="103"/>
      <c r="F207" s="10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75" customHeight="1">
      <c r="A208" s="4"/>
      <c r="B208" s="101"/>
      <c r="C208" s="4"/>
      <c r="D208" s="102"/>
      <c r="E208" s="103"/>
      <c r="F208" s="10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75" customHeight="1">
      <c r="A209" s="4"/>
      <c r="B209" s="101"/>
      <c r="C209" s="4"/>
      <c r="D209" s="102"/>
      <c r="E209" s="103"/>
      <c r="F209" s="10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75" customHeight="1">
      <c r="A210" s="4"/>
      <c r="B210" s="101"/>
      <c r="C210" s="4"/>
      <c r="D210" s="102"/>
      <c r="E210" s="103"/>
      <c r="F210" s="10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.75" customHeight="1">
      <c r="A211" s="4"/>
      <c r="B211" s="101"/>
      <c r="C211" s="4"/>
      <c r="D211" s="102"/>
      <c r="E211" s="103"/>
      <c r="F211" s="10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75" customHeight="1">
      <c r="A212" s="4"/>
      <c r="B212" s="101"/>
      <c r="C212" s="4"/>
      <c r="D212" s="102"/>
      <c r="E212" s="103"/>
      <c r="F212" s="10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75" customHeight="1">
      <c r="A213" s="4"/>
      <c r="B213" s="101"/>
      <c r="C213" s="4"/>
      <c r="D213" s="102"/>
      <c r="E213" s="103"/>
      <c r="F213" s="10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75" customHeight="1">
      <c r="A214" s="4"/>
      <c r="B214" s="101"/>
      <c r="C214" s="4"/>
      <c r="D214" s="102"/>
      <c r="E214" s="103"/>
      <c r="F214" s="10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75" customHeight="1">
      <c r="A215" s="4"/>
      <c r="B215" s="101"/>
      <c r="C215" s="4"/>
      <c r="D215" s="102"/>
      <c r="E215" s="103"/>
      <c r="F215" s="10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75" customHeight="1">
      <c r="A216" s="4"/>
      <c r="B216" s="101"/>
      <c r="C216" s="4"/>
      <c r="D216" s="102"/>
      <c r="E216" s="103"/>
      <c r="F216" s="10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75" customHeight="1">
      <c r="A217" s="4"/>
      <c r="B217" s="101"/>
      <c r="C217" s="4"/>
      <c r="D217" s="102"/>
      <c r="E217" s="103"/>
      <c r="F217" s="10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75" customHeight="1">
      <c r="A218" s="4"/>
      <c r="B218" s="101"/>
      <c r="C218" s="4"/>
      <c r="D218" s="102"/>
      <c r="E218" s="103"/>
      <c r="F218" s="10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75" customHeight="1">
      <c r="A219" s="4"/>
      <c r="B219" s="101"/>
      <c r="C219" s="4"/>
      <c r="D219" s="102"/>
      <c r="E219" s="103"/>
      <c r="F219" s="10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75" customHeight="1">
      <c r="A220" s="4"/>
      <c r="B220" s="101"/>
      <c r="C220" s="4"/>
      <c r="D220" s="102"/>
      <c r="E220" s="103"/>
      <c r="F220" s="10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2.75" customHeight="1">
      <c r="A221" s="4"/>
      <c r="B221" s="101"/>
      <c r="C221" s="4"/>
      <c r="D221" s="102"/>
      <c r="E221" s="103"/>
      <c r="F221" s="10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2.75" customHeight="1">
      <c r="A222" s="4"/>
      <c r="B222" s="101"/>
      <c r="C222" s="4"/>
      <c r="D222" s="102"/>
      <c r="E222" s="103"/>
      <c r="F222" s="10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2.75" customHeight="1">
      <c r="A223" s="4"/>
      <c r="B223" s="101"/>
      <c r="C223" s="4"/>
      <c r="D223" s="102"/>
      <c r="E223" s="103"/>
      <c r="F223" s="10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2.75" customHeight="1">
      <c r="A224" s="4"/>
      <c r="B224" s="101"/>
      <c r="C224" s="4"/>
      <c r="D224" s="102"/>
      <c r="E224" s="103"/>
      <c r="F224" s="10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2.75" customHeight="1">
      <c r="A225" s="4"/>
      <c r="B225" s="101"/>
      <c r="C225" s="4"/>
      <c r="D225" s="102"/>
      <c r="E225" s="103"/>
      <c r="F225" s="10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2.75" customHeight="1">
      <c r="A226" s="4"/>
      <c r="B226" s="101"/>
      <c r="C226" s="4"/>
      <c r="D226" s="102"/>
      <c r="E226" s="103"/>
      <c r="F226" s="10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2.75" customHeight="1">
      <c r="A227" s="4"/>
      <c r="B227" s="101"/>
      <c r="C227" s="4"/>
      <c r="D227" s="102"/>
      <c r="E227" s="103"/>
      <c r="F227" s="10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2.75" customHeight="1">
      <c r="A228" s="4"/>
      <c r="B228" s="101"/>
      <c r="C228" s="4"/>
      <c r="D228" s="102"/>
      <c r="E228" s="103"/>
      <c r="F228" s="10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2.75" customHeight="1">
      <c r="A229" s="4"/>
      <c r="B229" s="101"/>
      <c r="C229" s="4"/>
      <c r="D229" s="102"/>
      <c r="E229" s="103"/>
      <c r="F229" s="10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2.75" customHeight="1">
      <c r="A230" s="4"/>
      <c r="B230" s="101"/>
      <c r="C230" s="4"/>
      <c r="D230" s="102"/>
      <c r="E230" s="103"/>
      <c r="F230" s="10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2.75" customHeight="1">
      <c r="A231" s="4"/>
      <c r="B231" s="101"/>
      <c r="C231" s="4"/>
      <c r="D231" s="102"/>
      <c r="E231" s="103"/>
      <c r="F231" s="10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2.75" customHeight="1">
      <c r="A232" s="4"/>
      <c r="B232" s="101"/>
      <c r="C232" s="4"/>
      <c r="D232" s="102"/>
      <c r="E232" s="103"/>
      <c r="F232" s="10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2.75" customHeight="1">
      <c r="A233" s="4"/>
      <c r="B233" s="101"/>
      <c r="C233" s="4"/>
      <c r="D233" s="102"/>
      <c r="E233" s="103"/>
      <c r="F233" s="10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2.75" customHeight="1">
      <c r="A234" s="4"/>
      <c r="B234" s="101"/>
      <c r="C234" s="4"/>
      <c r="D234" s="102"/>
      <c r="E234" s="103"/>
      <c r="F234" s="10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2.75" customHeight="1">
      <c r="A235" s="4"/>
      <c r="B235" s="101"/>
      <c r="C235" s="4"/>
      <c r="D235" s="102"/>
      <c r="E235" s="103"/>
      <c r="F235" s="10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2.75" customHeight="1">
      <c r="A236" s="4"/>
      <c r="B236" s="101"/>
      <c r="C236" s="4"/>
      <c r="D236" s="102"/>
      <c r="E236" s="103"/>
      <c r="F236" s="10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2.75" customHeight="1">
      <c r="A237" s="4"/>
      <c r="B237" s="101"/>
      <c r="C237" s="4"/>
      <c r="D237" s="102"/>
      <c r="E237" s="103"/>
      <c r="F237" s="10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2.75" customHeight="1">
      <c r="A238" s="4"/>
      <c r="B238" s="101"/>
      <c r="C238" s="4"/>
      <c r="D238" s="102"/>
      <c r="E238" s="103"/>
      <c r="F238" s="10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2.75" customHeight="1">
      <c r="A239" s="4"/>
      <c r="B239" s="101"/>
      <c r="C239" s="4"/>
      <c r="D239" s="102"/>
      <c r="E239" s="103"/>
      <c r="F239" s="10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2.75" customHeight="1">
      <c r="A240" s="4"/>
      <c r="B240" s="101"/>
      <c r="C240" s="4"/>
      <c r="D240" s="102"/>
      <c r="E240" s="103"/>
      <c r="F240" s="10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2.75" customHeight="1">
      <c r="A241" s="4"/>
      <c r="B241" s="101"/>
      <c r="C241" s="4"/>
      <c r="D241" s="102"/>
      <c r="E241" s="103"/>
      <c r="F241" s="10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2.75" customHeight="1">
      <c r="A242" s="4"/>
      <c r="B242" s="101"/>
      <c r="C242" s="4"/>
      <c r="D242" s="102"/>
      <c r="E242" s="103"/>
      <c r="F242" s="10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2.75" customHeight="1">
      <c r="A243" s="4"/>
      <c r="B243" s="101"/>
      <c r="C243" s="4"/>
      <c r="D243" s="102"/>
      <c r="E243" s="103"/>
      <c r="F243" s="10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2.75" customHeight="1">
      <c r="A244" s="4"/>
      <c r="B244" s="101"/>
      <c r="C244" s="4"/>
      <c r="D244" s="102"/>
      <c r="E244" s="103"/>
      <c r="F244" s="10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2.75" customHeight="1">
      <c r="A245" s="4"/>
      <c r="B245" s="101"/>
      <c r="C245" s="4"/>
      <c r="D245" s="102"/>
      <c r="E245" s="103"/>
      <c r="F245" s="10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2.75" customHeight="1">
      <c r="A246" s="4"/>
      <c r="B246" s="101"/>
      <c r="C246" s="4"/>
      <c r="D246" s="102"/>
      <c r="E246" s="103"/>
      <c r="F246" s="10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2.75" customHeight="1">
      <c r="A247" s="4"/>
      <c r="B247" s="101"/>
      <c r="C247" s="4"/>
      <c r="D247" s="102"/>
      <c r="E247" s="103"/>
      <c r="F247" s="10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2.75" customHeight="1">
      <c r="A248" s="4"/>
      <c r="B248" s="101"/>
      <c r="C248" s="4"/>
      <c r="D248" s="102"/>
      <c r="E248" s="103"/>
      <c r="F248" s="10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2.75" customHeight="1">
      <c r="A249" s="4"/>
      <c r="B249" s="101"/>
      <c r="C249" s="4"/>
      <c r="D249" s="102"/>
      <c r="E249" s="103"/>
      <c r="F249" s="10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2.75" customHeight="1">
      <c r="A250" s="4"/>
      <c r="B250" s="101"/>
      <c r="C250" s="4"/>
      <c r="D250" s="102"/>
      <c r="E250" s="103"/>
      <c r="F250" s="10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2.75" customHeight="1">
      <c r="A251" s="4"/>
      <c r="B251" s="101"/>
      <c r="C251" s="4"/>
      <c r="D251" s="102"/>
      <c r="E251" s="103"/>
      <c r="F251" s="10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2.75" customHeight="1">
      <c r="A252" s="4"/>
      <c r="B252" s="101"/>
      <c r="C252" s="4"/>
      <c r="D252" s="102"/>
      <c r="E252" s="103"/>
      <c r="F252" s="10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2.75" customHeight="1">
      <c r="A253" s="4"/>
      <c r="B253" s="101"/>
      <c r="C253" s="4"/>
      <c r="D253" s="102"/>
      <c r="E253" s="103"/>
      <c r="F253" s="10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2.75" customHeight="1">
      <c r="A254" s="4"/>
      <c r="B254" s="101"/>
      <c r="C254" s="4"/>
      <c r="D254" s="102"/>
      <c r="E254" s="103"/>
      <c r="F254" s="10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2.75" customHeight="1">
      <c r="A255" s="4"/>
      <c r="B255" s="101"/>
      <c r="C255" s="4"/>
      <c r="D255" s="102"/>
      <c r="E255" s="103"/>
      <c r="F255" s="10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2.75" customHeight="1">
      <c r="A256" s="4"/>
      <c r="B256" s="101"/>
      <c r="C256" s="4"/>
      <c r="D256" s="102"/>
      <c r="E256" s="103"/>
      <c r="F256" s="10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2.75" customHeight="1">
      <c r="A257" s="4"/>
      <c r="B257" s="101"/>
      <c r="C257" s="4"/>
      <c r="D257" s="102"/>
      <c r="E257" s="103"/>
      <c r="F257" s="10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2.75" customHeight="1">
      <c r="A258" s="4"/>
      <c r="B258" s="101"/>
      <c r="C258" s="4"/>
      <c r="D258" s="102"/>
      <c r="E258" s="103"/>
      <c r="F258" s="10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2.75" customHeight="1">
      <c r="A259" s="4"/>
      <c r="B259" s="101"/>
      <c r="C259" s="4"/>
      <c r="D259" s="102"/>
      <c r="E259" s="103"/>
      <c r="F259" s="10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2.75" customHeight="1">
      <c r="A260" s="4"/>
      <c r="B260" s="101"/>
      <c r="C260" s="4"/>
      <c r="D260" s="102"/>
      <c r="E260" s="103"/>
      <c r="F260" s="10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2.75" customHeight="1">
      <c r="A261" s="4"/>
      <c r="B261" s="101"/>
      <c r="C261" s="4"/>
      <c r="D261" s="102"/>
      <c r="E261" s="103"/>
      <c r="F261" s="10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2.75" customHeight="1">
      <c r="A262" s="4"/>
      <c r="B262" s="101"/>
      <c r="C262" s="4"/>
      <c r="D262" s="102"/>
      <c r="E262" s="103"/>
      <c r="F262" s="10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2.75" customHeight="1">
      <c r="A263" s="4"/>
      <c r="B263" s="101"/>
      <c r="C263" s="4"/>
      <c r="D263" s="102"/>
      <c r="E263" s="103"/>
      <c r="F263" s="10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2.75" customHeight="1">
      <c r="A264" s="4"/>
      <c r="B264" s="101"/>
      <c r="C264" s="4"/>
      <c r="D264" s="102"/>
      <c r="E264" s="103"/>
      <c r="F264" s="10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2.75" customHeight="1">
      <c r="A265" s="4"/>
      <c r="B265" s="101"/>
      <c r="C265" s="4"/>
      <c r="D265" s="102"/>
      <c r="E265" s="103"/>
      <c r="F265" s="10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2.75" customHeight="1">
      <c r="A266" s="4"/>
      <c r="B266" s="101"/>
      <c r="C266" s="4"/>
      <c r="D266" s="102"/>
      <c r="E266" s="103"/>
      <c r="F266" s="10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2.75" customHeight="1">
      <c r="A267" s="4"/>
      <c r="B267" s="101"/>
      <c r="C267" s="4"/>
      <c r="D267" s="102"/>
      <c r="E267" s="103"/>
      <c r="F267" s="10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2.75" customHeight="1">
      <c r="A268" s="4"/>
      <c r="B268" s="101"/>
      <c r="C268" s="4"/>
      <c r="D268" s="102"/>
      <c r="E268" s="103"/>
      <c r="F268" s="10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2.75" customHeight="1">
      <c r="A269" s="4"/>
      <c r="B269" s="101"/>
      <c r="C269" s="4"/>
      <c r="D269" s="102"/>
      <c r="E269" s="103"/>
      <c r="F269" s="10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2.75" customHeight="1">
      <c r="A270" s="4"/>
      <c r="B270" s="101"/>
      <c r="C270" s="4"/>
      <c r="D270" s="102"/>
      <c r="E270" s="103"/>
      <c r="F270" s="10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2.75" customHeight="1">
      <c r="A271" s="4"/>
      <c r="B271" s="101"/>
      <c r="C271" s="4"/>
      <c r="D271" s="102"/>
      <c r="E271" s="103"/>
      <c r="F271" s="10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2.75" customHeight="1">
      <c r="A272" s="4"/>
      <c r="B272" s="101"/>
      <c r="C272" s="4"/>
      <c r="D272" s="102"/>
      <c r="E272" s="103"/>
      <c r="F272" s="10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2.75" customHeight="1">
      <c r="A273" s="4"/>
      <c r="B273" s="101"/>
      <c r="C273" s="4"/>
      <c r="D273" s="102"/>
      <c r="E273" s="103"/>
      <c r="F273" s="10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2.75" customHeight="1">
      <c r="A274" s="4"/>
      <c r="B274" s="101"/>
      <c r="C274" s="4"/>
      <c r="D274" s="102"/>
      <c r="E274" s="103"/>
      <c r="F274" s="10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2.75" customHeight="1">
      <c r="A275" s="4"/>
      <c r="B275" s="101"/>
      <c r="C275" s="4"/>
      <c r="D275" s="102"/>
      <c r="E275" s="103"/>
      <c r="F275" s="10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2.75" customHeight="1">
      <c r="A276" s="4"/>
      <c r="B276" s="101"/>
      <c r="C276" s="4"/>
      <c r="D276" s="102"/>
      <c r="E276" s="103"/>
      <c r="F276" s="10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2.75" customHeight="1">
      <c r="A277" s="4"/>
      <c r="B277" s="101"/>
      <c r="C277" s="4"/>
      <c r="D277" s="102"/>
      <c r="E277" s="103"/>
      <c r="F277" s="10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2.75" customHeight="1">
      <c r="A278" s="4"/>
      <c r="B278" s="101"/>
      <c r="C278" s="4"/>
      <c r="D278" s="102"/>
      <c r="E278" s="103"/>
      <c r="F278" s="10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2.75" customHeight="1">
      <c r="A279" s="4"/>
      <c r="B279" s="101"/>
      <c r="C279" s="4"/>
      <c r="D279" s="102"/>
      <c r="E279" s="103"/>
      <c r="F279" s="10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2.75" customHeight="1">
      <c r="A280" s="4"/>
      <c r="B280" s="101"/>
      <c r="C280" s="4"/>
      <c r="D280" s="102"/>
      <c r="E280" s="103"/>
      <c r="F280" s="10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2.75" customHeight="1">
      <c r="A281" s="4"/>
      <c r="B281" s="101"/>
      <c r="C281" s="4"/>
      <c r="D281" s="102"/>
      <c r="E281" s="103"/>
      <c r="F281" s="10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2.75" customHeight="1">
      <c r="A282" s="4"/>
      <c r="B282" s="101"/>
      <c r="C282" s="4"/>
      <c r="D282" s="102"/>
      <c r="E282" s="103"/>
      <c r="F282" s="10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2.75" customHeight="1">
      <c r="A283" s="4"/>
      <c r="B283" s="101"/>
      <c r="C283" s="4"/>
      <c r="D283" s="102"/>
      <c r="E283" s="103"/>
      <c r="F283" s="10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2.75" customHeight="1">
      <c r="A284" s="4"/>
      <c r="B284" s="101"/>
      <c r="C284" s="4"/>
      <c r="D284" s="102"/>
      <c r="E284" s="103"/>
      <c r="F284" s="10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2.75" customHeight="1">
      <c r="A285" s="4"/>
      <c r="B285" s="101"/>
      <c r="C285" s="4"/>
      <c r="D285" s="102"/>
      <c r="E285" s="103"/>
      <c r="F285" s="10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2.75" customHeight="1">
      <c r="A286" s="4"/>
      <c r="B286" s="101"/>
      <c r="C286" s="4"/>
      <c r="D286" s="102"/>
      <c r="E286" s="103"/>
      <c r="F286" s="10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2.75" customHeight="1">
      <c r="A287" s="4"/>
      <c r="B287" s="101"/>
      <c r="C287" s="4"/>
      <c r="D287" s="102"/>
      <c r="E287" s="103"/>
      <c r="F287" s="10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2.75" customHeight="1">
      <c r="A288" s="4"/>
      <c r="B288" s="101"/>
      <c r="C288" s="4"/>
      <c r="D288" s="102"/>
      <c r="E288" s="103"/>
      <c r="F288" s="10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2.75" customHeight="1">
      <c r="A289" s="4"/>
      <c r="B289" s="101"/>
      <c r="C289" s="4"/>
      <c r="D289" s="102"/>
      <c r="E289" s="103"/>
      <c r="F289" s="10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2.75" customHeight="1">
      <c r="A290" s="4"/>
      <c r="B290" s="101"/>
      <c r="C290" s="4"/>
      <c r="D290" s="102"/>
      <c r="E290" s="103"/>
      <c r="F290" s="10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2.75" customHeight="1">
      <c r="A291" s="4"/>
      <c r="B291" s="101"/>
      <c r="C291" s="4"/>
      <c r="D291" s="102"/>
      <c r="E291" s="103"/>
      <c r="F291" s="10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2.75" customHeight="1">
      <c r="A292" s="4"/>
      <c r="B292" s="101"/>
      <c r="C292" s="4"/>
      <c r="D292" s="102"/>
      <c r="E292" s="103"/>
      <c r="F292" s="10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2.75" customHeight="1">
      <c r="A293" s="4"/>
      <c r="B293" s="101"/>
      <c r="C293" s="4"/>
      <c r="D293" s="102"/>
      <c r="E293" s="103"/>
      <c r="F293" s="10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2.75" customHeight="1">
      <c r="A294" s="4"/>
      <c r="B294" s="101"/>
      <c r="C294" s="4"/>
      <c r="D294" s="102"/>
      <c r="E294" s="103"/>
      <c r="F294" s="10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2.75" customHeight="1">
      <c r="A295" s="4"/>
      <c r="B295" s="101"/>
      <c r="C295" s="4"/>
      <c r="D295" s="102"/>
      <c r="E295" s="103"/>
      <c r="F295" s="10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2.75" customHeight="1">
      <c r="A296" s="4"/>
      <c r="B296" s="101"/>
      <c r="C296" s="4"/>
      <c r="D296" s="102"/>
      <c r="E296" s="103"/>
      <c r="F296" s="10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2.75" customHeight="1">
      <c r="A297" s="4"/>
      <c r="B297" s="101"/>
      <c r="C297" s="4"/>
      <c r="D297" s="102"/>
      <c r="E297" s="103"/>
      <c r="F297" s="10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2.75" customHeight="1">
      <c r="A298" s="4"/>
      <c r="B298" s="101"/>
      <c r="C298" s="4"/>
      <c r="D298" s="102"/>
      <c r="E298" s="103"/>
      <c r="F298" s="10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2.75" customHeight="1">
      <c r="A299" s="4"/>
      <c r="B299" s="101"/>
      <c r="C299" s="4"/>
      <c r="D299" s="102"/>
      <c r="E299" s="103"/>
      <c r="F299" s="10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2.75" customHeight="1">
      <c r="A300" s="4"/>
      <c r="B300" s="101"/>
      <c r="C300" s="4"/>
      <c r="D300" s="102"/>
      <c r="E300" s="103"/>
      <c r="F300" s="10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2.75" customHeight="1">
      <c r="A301" s="4"/>
      <c r="B301" s="101"/>
      <c r="C301" s="4"/>
      <c r="D301" s="102"/>
      <c r="E301" s="103"/>
      <c r="F301" s="10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2.75" customHeight="1">
      <c r="A302" s="4"/>
      <c r="B302" s="101"/>
      <c r="C302" s="4"/>
      <c r="D302" s="102"/>
      <c r="E302" s="103"/>
      <c r="F302" s="10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2.75" customHeight="1">
      <c r="A303" s="4"/>
      <c r="B303" s="101"/>
      <c r="C303" s="4"/>
      <c r="D303" s="102"/>
      <c r="E303" s="103"/>
      <c r="F303" s="10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2.75" customHeight="1">
      <c r="A304" s="4"/>
      <c r="B304" s="101"/>
      <c r="C304" s="4"/>
      <c r="D304" s="102"/>
      <c r="E304" s="103"/>
      <c r="F304" s="10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2.75" customHeight="1">
      <c r="A305" s="4"/>
      <c r="B305" s="101"/>
      <c r="C305" s="4"/>
      <c r="D305" s="102"/>
      <c r="E305" s="103"/>
      <c r="F305" s="10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2.75" customHeight="1">
      <c r="A306" s="4"/>
      <c r="B306" s="101"/>
      <c r="C306" s="4"/>
      <c r="D306" s="102"/>
      <c r="E306" s="103"/>
      <c r="F306" s="10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2.75" customHeight="1">
      <c r="A307" s="4"/>
      <c r="B307" s="101"/>
      <c r="C307" s="4"/>
      <c r="D307" s="102"/>
      <c r="E307" s="103"/>
      <c r="F307" s="10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2.75" customHeight="1">
      <c r="A308" s="4"/>
      <c r="B308" s="101"/>
      <c r="C308" s="4"/>
      <c r="D308" s="102"/>
      <c r="E308" s="103"/>
      <c r="F308" s="10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2.75" customHeight="1">
      <c r="A309" s="4"/>
      <c r="B309" s="101"/>
      <c r="C309" s="4"/>
      <c r="D309" s="102"/>
      <c r="E309" s="103"/>
      <c r="F309" s="10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2.75" customHeight="1">
      <c r="A310" s="4"/>
      <c r="B310" s="101"/>
      <c r="C310" s="4"/>
      <c r="D310" s="102"/>
      <c r="E310" s="103"/>
      <c r="F310" s="10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2.75" customHeight="1">
      <c r="A311" s="4"/>
      <c r="B311" s="101"/>
      <c r="C311" s="4"/>
      <c r="D311" s="102"/>
      <c r="E311" s="103"/>
      <c r="F311" s="10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2.75" customHeight="1">
      <c r="A312" s="4"/>
      <c r="B312" s="101"/>
      <c r="C312" s="4"/>
      <c r="D312" s="102"/>
      <c r="E312" s="103"/>
      <c r="F312" s="10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2.75" customHeight="1">
      <c r="A313" s="4"/>
      <c r="B313" s="101"/>
      <c r="C313" s="4"/>
      <c r="D313" s="102"/>
      <c r="E313" s="103"/>
      <c r="F313" s="10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2.75" customHeight="1">
      <c r="A314" s="4"/>
      <c r="B314" s="101"/>
      <c r="C314" s="4"/>
      <c r="D314" s="102"/>
      <c r="E314" s="103"/>
      <c r="F314" s="10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2.75" customHeight="1">
      <c r="A315" s="4"/>
      <c r="B315" s="101"/>
      <c r="C315" s="4"/>
      <c r="D315" s="102"/>
      <c r="E315" s="103"/>
      <c r="F315" s="10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2.75" customHeight="1">
      <c r="A316" s="4"/>
      <c r="B316" s="101"/>
      <c r="C316" s="4"/>
      <c r="D316" s="102"/>
      <c r="E316" s="103"/>
      <c r="F316" s="10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2.75" customHeight="1">
      <c r="A317" s="4"/>
      <c r="B317" s="101"/>
      <c r="C317" s="4"/>
      <c r="D317" s="102"/>
      <c r="E317" s="103"/>
      <c r="F317" s="10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2.75" customHeight="1">
      <c r="A318" s="4"/>
      <c r="B318" s="101"/>
      <c r="C318" s="4"/>
      <c r="D318" s="102"/>
      <c r="E318" s="103"/>
      <c r="F318" s="10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2.75" customHeight="1">
      <c r="A319" s="4"/>
      <c r="B319" s="101"/>
      <c r="C319" s="4"/>
      <c r="D319" s="102"/>
      <c r="E319" s="103"/>
      <c r="F319" s="10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2.75" customHeight="1">
      <c r="A320" s="4"/>
      <c r="B320" s="101"/>
      <c r="C320" s="4"/>
      <c r="D320" s="102"/>
      <c r="E320" s="103"/>
      <c r="F320" s="10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2.75" customHeight="1">
      <c r="A321" s="4"/>
      <c r="B321" s="101"/>
      <c r="C321" s="4"/>
      <c r="D321" s="102"/>
      <c r="E321" s="103"/>
      <c r="F321" s="10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43:B43"/>
    <mergeCell ref="A62:B62"/>
    <mergeCell ref="A1:F1"/>
    <mergeCell ref="A2:F2"/>
    <mergeCell ref="A3:F3"/>
    <mergeCell ref="A4:F4"/>
    <mergeCell ref="D7:E7"/>
    <mergeCell ref="A9:F9"/>
    <mergeCell ref="A42:B42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2.63" defaultRowHeight="15.0"/>
  <cols>
    <col customWidth="1" min="1" max="1" width="61.63"/>
    <col customWidth="1" min="2" max="2" width="62.88"/>
    <col customWidth="1" min="3" max="3" width="14.88"/>
    <col customWidth="1" min="4" max="4" width="21.0"/>
    <col customWidth="1" min="5" max="5" width="21.63"/>
    <col customWidth="1" min="6" max="6" width="73.38"/>
    <col customWidth="1" min="7" max="7" width="50.13"/>
    <col customWidth="1" min="8" max="26" width="8.0"/>
  </cols>
  <sheetData>
    <row r="1" ht="12.75" customHeight="1">
      <c r="A1" s="1" t="s">
        <v>293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2.75" customHeight="1">
      <c r="A2" s="5" t="s">
        <v>707</v>
      </c>
      <c r="B2" s="6"/>
      <c r="C2" s="6"/>
      <c r="D2" s="6"/>
      <c r="E2" s="6"/>
      <c r="F2" s="7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2.75" customHeight="1">
      <c r="A3" s="5" t="s">
        <v>2</v>
      </c>
      <c r="B3" s="6"/>
      <c r="C3" s="6"/>
      <c r="D3" s="6"/>
      <c r="E3" s="6"/>
      <c r="F3" s="7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2.75" customHeight="1">
      <c r="A4" s="5" t="s">
        <v>3</v>
      </c>
      <c r="B4" s="6"/>
      <c r="C4" s="6"/>
      <c r="D4" s="6"/>
      <c r="E4" s="6"/>
      <c r="F4" s="7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2.75" customHeight="1">
      <c r="A5" s="8"/>
      <c r="B5" s="9"/>
      <c r="C5" s="10"/>
      <c r="D5" s="11"/>
      <c r="E5" s="11"/>
      <c r="F5" s="12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2.75" customHeight="1">
      <c r="A6" s="13"/>
      <c r="B6" s="9"/>
      <c r="C6" s="10"/>
      <c r="D6" s="14"/>
      <c r="E6" s="14"/>
      <c r="F6" s="15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30.0" customHeight="1">
      <c r="A7" s="16"/>
      <c r="B7" s="9"/>
      <c r="C7" s="17"/>
      <c r="D7" s="18"/>
      <c r="E7" s="19"/>
      <c r="F7" s="15" t="s">
        <v>1219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0.0" customHeight="1">
      <c r="A8" s="20" t="s">
        <v>296</v>
      </c>
      <c r="B8" s="21"/>
      <c r="C8" s="22"/>
      <c r="D8" s="23"/>
      <c r="E8" s="23"/>
      <c r="F8" s="2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7.75" customHeight="1">
      <c r="A9" s="25" t="s">
        <v>1220</v>
      </c>
      <c r="B9" s="26"/>
      <c r="C9" s="26"/>
      <c r="D9" s="26"/>
      <c r="E9" s="26"/>
      <c r="F9" s="27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8.5" customHeight="1">
      <c r="A10" s="105"/>
      <c r="B10" s="106"/>
      <c r="C10" s="107"/>
      <c r="D10" s="108"/>
      <c r="E10" s="108"/>
      <c r="F10" s="109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</row>
    <row r="11" ht="44.25" customHeight="1">
      <c r="A11" s="400" t="s">
        <v>1221</v>
      </c>
      <c r="B11" s="401"/>
      <c r="C11" s="113" t="s">
        <v>299</v>
      </c>
      <c r="D11" s="113" t="s">
        <v>9</v>
      </c>
      <c r="E11" s="284" t="s">
        <v>10</v>
      </c>
      <c r="F11" s="311" t="s">
        <v>11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2.75" customHeight="1">
      <c r="A12" s="197" t="s">
        <v>1222</v>
      </c>
      <c r="B12" s="198"/>
      <c r="C12" s="287"/>
      <c r="D12" s="390"/>
      <c r="E12" s="183"/>
      <c r="F12" s="290" t="s">
        <v>1223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2.75" customHeight="1">
      <c r="A13" s="122" t="s">
        <v>303</v>
      </c>
      <c r="B13" s="123" t="s">
        <v>304</v>
      </c>
      <c r="C13" s="292"/>
      <c r="D13" s="391"/>
      <c r="E13" s="186"/>
      <c r="F13" s="300" t="s">
        <v>1224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2.75" customHeight="1">
      <c r="A14" s="128" t="s">
        <v>1225</v>
      </c>
      <c r="B14" s="129" t="s">
        <v>1226</v>
      </c>
      <c r="C14" s="297">
        <v>1072.0</v>
      </c>
      <c r="D14" s="392">
        <v>25017.31</v>
      </c>
      <c r="E14" s="246">
        <v>26390.0</v>
      </c>
      <c r="F14" s="300" t="s">
        <v>1227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2.75" customHeight="1">
      <c r="A15" s="200"/>
      <c r="B15" s="198"/>
      <c r="C15" s="297"/>
      <c r="D15" s="392"/>
      <c r="E15" s="132"/>
      <c r="F15" s="300" t="s">
        <v>1228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2.75" customHeight="1">
      <c r="A16" s="200" t="s">
        <v>1229</v>
      </c>
      <c r="B16" s="198"/>
      <c r="C16" s="297"/>
      <c r="D16" s="392"/>
      <c r="E16" s="132"/>
      <c r="F16" s="295" t="s">
        <v>1230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2.75" customHeight="1">
      <c r="A17" s="200"/>
      <c r="B17" s="198"/>
      <c r="C17" s="297"/>
      <c r="D17" s="392"/>
      <c r="E17" s="132"/>
      <c r="F17" s="295" t="s">
        <v>1231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2.75" customHeight="1">
      <c r="A18" s="128" t="s">
        <v>316</v>
      </c>
      <c r="B18" s="198"/>
      <c r="C18" s="297"/>
      <c r="D18" s="392"/>
      <c r="E18" s="132"/>
      <c r="F18" s="316" t="s">
        <v>1232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8.75" customHeight="1">
      <c r="A19" s="142"/>
      <c r="B19" s="143"/>
      <c r="C19" s="361">
        <f t="shared" ref="C19:E19" si="1">SUM(C12:C18)</f>
        <v>1072</v>
      </c>
      <c r="D19" s="393">
        <f t="shared" si="1"/>
        <v>25017.31</v>
      </c>
      <c r="E19" s="146">
        <f t="shared" si="1"/>
        <v>26390</v>
      </c>
      <c r="F19" s="39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44.25" customHeight="1">
      <c r="A20" s="400" t="s">
        <v>1233</v>
      </c>
      <c r="B20" s="401"/>
      <c r="C20" s="113" t="s">
        <v>299</v>
      </c>
      <c r="D20" s="113" t="s">
        <v>9</v>
      </c>
      <c r="E20" s="284" t="s">
        <v>10</v>
      </c>
      <c r="F20" s="311" t="s">
        <v>11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2.75" customHeight="1">
      <c r="A21" s="197" t="s">
        <v>1222</v>
      </c>
      <c r="B21" s="198"/>
      <c r="C21" s="287"/>
      <c r="D21" s="288"/>
      <c r="E21" s="183"/>
      <c r="F21" s="290" t="s">
        <v>1234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2.75" customHeight="1">
      <c r="A22" s="122" t="s">
        <v>303</v>
      </c>
      <c r="B22" s="123" t="s">
        <v>304</v>
      </c>
      <c r="C22" s="292"/>
      <c r="D22" s="293"/>
      <c r="E22" s="186"/>
      <c r="F22" s="300" t="s">
        <v>1235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2.75" customHeight="1">
      <c r="A23" s="128" t="s">
        <v>1225</v>
      </c>
      <c r="B23" s="129" t="s">
        <v>1226</v>
      </c>
      <c r="C23" s="297">
        <v>1077.0</v>
      </c>
      <c r="D23" s="298">
        <v>24990.06</v>
      </c>
      <c r="E23" s="392">
        <v>26460.81</v>
      </c>
      <c r="F23" s="300" t="s">
        <v>1236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2.75" customHeight="1">
      <c r="A24" s="200"/>
      <c r="B24" s="198"/>
      <c r="C24" s="297"/>
      <c r="D24" s="298"/>
      <c r="E24" s="132"/>
      <c r="F24" s="300" t="s">
        <v>1237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2.75" customHeight="1">
      <c r="A25" s="200" t="s">
        <v>1238</v>
      </c>
      <c r="B25" s="198"/>
      <c r="C25" s="297"/>
      <c r="D25" s="298"/>
      <c r="E25" s="132"/>
      <c r="F25" s="295" t="s">
        <v>1239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2.75" customHeight="1">
      <c r="A26" s="200"/>
      <c r="B26" s="198"/>
      <c r="C26" s="297"/>
      <c r="D26" s="298"/>
      <c r="E26" s="132"/>
      <c r="F26" s="295" t="s">
        <v>1240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2.75" customHeight="1">
      <c r="A27" s="128" t="s">
        <v>316</v>
      </c>
      <c r="B27" s="198"/>
      <c r="C27" s="297"/>
      <c r="D27" s="298"/>
      <c r="E27" s="132"/>
      <c r="F27" s="316" t="s">
        <v>1241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8.75" customHeight="1">
      <c r="A28" s="142"/>
      <c r="B28" s="143"/>
      <c r="C28" s="361">
        <f t="shared" ref="C28:E28" si="2">SUM(C21:C27)</f>
        <v>1077</v>
      </c>
      <c r="D28" s="306">
        <f t="shared" si="2"/>
        <v>24990.06</v>
      </c>
      <c r="E28" s="146">
        <f t="shared" si="2"/>
        <v>26460.81</v>
      </c>
      <c r="F28" s="39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44.25" customHeight="1">
      <c r="A29" s="400" t="s">
        <v>1242</v>
      </c>
      <c r="B29" s="401"/>
      <c r="C29" s="113" t="s">
        <v>299</v>
      </c>
      <c r="D29" s="113" t="s">
        <v>9</v>
      </c>
      <c r="E29" s="284" t="s">
        <v>10</v>
      </c>
      <c r="F29" s="311" t="s">
        <v>11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2.75" customHeight="1">
      <c r="A30" s="197" t="s">
        <v>440</v>
      </c>
      <c r="B30" s="198"/>
      <c r="C30" s="287"/>
      <c r="D30" s="390"/>
      <c r="E30" s="183"/>
      <c r="F30" s="290" t="s">
        <v>1243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2.75" customHeight="1">
      <c r="A31" s="122" t="s">
        <v>303</v>
      </c>
      <c r="B31" s="123" t="s">
        <v>304</v>
      </c>
      <c r="C31" s="292"/>
      <c r="D31" s="391"/>
      <c r="E31" s="186"/>
      <c r="F31" s="300" t="s">
        <v>1244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2.75" customHeight="1">
      <c r="A32" s="128" t="s">
        <v>308</v>
      </c>
      <c r="B32" s="129" t="s">
        <v>309</v>
      </c>
      <c r="C32" s="297">
        <v>10044.0</v>
      </c>
      <c r="D32" s="392">
        <v>262056.06</v>
      </c>
      <c r="E32" s="246">
        <v>273205.19</v>
      </c>
      <c r="F32" s="300" t="s">
        <v>1245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2.75" customHeight="1">
      <c r="A33" s="302" t="s">
        <v>1086</v>
      </c>
      <c r="B33" s="201" t="s">
        <v>15</v>
      </c>
      <c r="C33" s="297">
        <v>21113.0</v>
      </c>
      <c r="D33" s="392">
        <v>550464.83</v>
      </c>
      <c r="E33" s="132">
        <v>573874.45</v>
      </c>
      <c r="F33" s="300" t="s">
        <v>1246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2.75" customHeight="1">
      <c r="A34" s="200"/>
      <c r="B34" s="198"/>
      <c r="C34" s="297"/>
      <c r="D34" s="392"/>
      <c r="E34" s="132"/>
      <c r="F34" s="295" t="s">
        <v>1247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2.75" customHeight="1">
      <c r="A35" s="200" t="s">
        <v>1248</v>
      </c>
      <c r="B35" s="198" t="s">
        <v>1249</v>
      </c>
      <c r="C35" s="297"/>
      <c r="D35" s="392"/>
      <c r="E35" s="132"/>
      <c r="F35" s="295" t="s">
        <v>1250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2.75" customHeight="1">
      <c r="A36" s="200" t="s">
        <v>1251</v>
      </c>
      <c r="B36" s="198" t="s">
        <v>1252</v>
      </c>
      <c r="C36" s="297"/>
      <c r="D36" s="392"/>
      <c r="E36" s="132"/>
      <c r="F36" s="316" t="s">
        <v>1253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0" customHeight="1">
      <c r="A37" s="200" t="s">
        <v>1254</v>
      </c>
      <c r="B37" s="198" t="s">
        <v>1255</v>
      </c>
      <c r="C37" s="297"/>
      <c r="D37" s="392"/>
      <c r="E37" s="132"/>
      <c r="F37" s="316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0" customHeight="1">
      <c r="A38" s="200" t="s">
        <v>1256</v>
      </c>
      <c r="B38" s="198" t="s">
        <v>1257</v>
      </c>
      <c r="C38" s="297"/>
      <c r="D38" s="392"/>
      <c r="E38" s="132"/>
      <c r="F38" s="132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0" customHeight="1">
      <c r="A39" s="200" t="s">
        <v>1258</v>
      </c>
      <c r="B39" s="198" t="s">
        <v>1259</v>
      </c>
      <c r="C39" s="297"/>
      <c r="D39" s="392"/>
      <c r="E39" s="132"/>
      <c r="F39" s="316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0" customHeight="1">
      <c r="A40" s="200" t="s">
        <v>1260</v>
      </c>
      <c r="B40" s="198" t="s">
        <v>1261</v>
      </c>
      <c r="C40" s="297"/>
      <c r="D40" s="392"/>
      <c r="E40" s="132"/>
      <c r="F40" s="316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0" customHeight="1">
      <c r="A41" s="402" t="s">
        <v>1262</v>
      </c>
      <c r="B41" s="402" t="s">
        <v>1263</v>
      </c>
      <c r="C41" s="297"/>
      <c r="D41" s="392"/>
      <c r="E41" s="132"/>
      <c r="F41" s="316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0" customHeight="1">
      <c r="A42" s="402" t="s">
        <v>1264</v>
      </c>
      <c r="B42" s="198" t="s">
        <v>1265</v>
      </c>
      <c r="C42" s="297"/>
      <c r="D42" s="392"/>
      <c r="E42" s="132"/>
      <c r="F42" s="316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0" customHeight="1">
      <c r="A43" s="402" t="s">
        <v>1266</v>
      </c>
      <c r="B43" s="198" t="s">
        <v>1267</v>
      </c>
      <c r="C43" s="297"/>
      <c r="D43" s="392"/>
      <c r="E43" s="132"/>
      <c r="F43" s="316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0" customHeight="1">
      <c r="A44" s="200" t="s">
        <v>1268</v>
      </c>
      <c r="B44" s="198" t="s">
        <v>1269</v>
      </c>
      <c r="C44" s="297"/>
      <c r="D44" s="392"/>
      <c r="E44" s="132"/>
      <c r="F44" s="316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0" customHeight="1">
      <c r="A45" s="200" t="s">
        <v>1270</v>
      </c>
      <c r="B45" s="198" t="s">
        <v>1271</v>
      </c>
      <c r="C45" s="297"/>
      <c r="D45" s="392"/>
      <c r="E45" s="132"/>
      <c r="F45" s="316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0" customHeight="1">
      <c r="A46" s="402" t="s">
        <v>1272</v>
      </c>
      <c r="B46" s="198" t="s">
        <v>1273</v>
      </c>
      <c r="C46" s="297"/>
      <c r="D46" s="392"/>
      <c r="E46" s="132"/>
      <c r="F46" s="316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0" customHeight="1">
      <c r="A47" s="402" t="s">
        <v>1274</v>
      </c>
      <c r="B47" s="198" t="s">
        <v>1275</v>
      </c>
      <c r="C47" s="297"/>
      <c r="D47" s="392"/>
      <c r="E47" s="132"/>
      <c r="F47" s="316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0" customHeight="1">
      <c r="A48" s="200" t="s">
        <v>1276</v>
      </c>
      <c r="B48" s="198" t="s">
        <v>1277</v>
      </c>
      <c r="C48" s="297"/>
      <c r="D48" s="392"/>
      <c r="E48" s="132"/>
      <c r="F48" s="316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0" customHeight="1">
      <c r="A49" s="402" t="s">
        <v>1278</v>
      </c>
      <c r="B49" s="198"/>
      <c r="C49" s="297"/>
      <c r="D49" s="392"/>
      <c r="E49" s="132"/>
      <c r="F49" s="316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0" customHeight="1">
      <c r="A50" s="200"/>
      <c r="B50" s="198"/>
      <c r="C50" s="297"/>
      <c r="D50" s="392"/>
      <c r="E50" s="132"/>
      <c r="F50" s="316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0" customHeight="1">
      <c r="A51" s="128" t="s">
        <v>316</v>
      </c>
      <c r="B51" s="134"/>
      <c r="C51" s="297"/>
      <c r="D51" s="392"/>
      <c r="E51" s="132"/>
      <c r="F51" s="316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8.75" customHeight="1">
      <c r="A52" s="142"/>
      <c r="B52" s="143"/>
      <c r="C52" s="361">
        <f t="shared" ref="C52:E52" si="3">SUM(C30:C51)</f>
        <v>31157</v>
      </c>
      <c r="D52" s="393">
        <f t="shared" si="3"/>
        <v>812520.89</v>
      </c>
      <c r="E52" s="146">
        <f t="shared" si="3"/>
        <v>847079.64</v>
      </c>
      <c r="F52" s="39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44.25" customHeight="1">
      <c r="A53" s="179" t="s">
        <v>1279</v>
      </c>
      <c r="B53" s="149"/>
      <c r="C53" s="112" t="s">
        <v>299</v>
      </c>
      <c r="D53" s="113" t="s">
        <v>9</v>
      </c>
      <c r="E53" s="284" t="s">
        <v>10</v>
      </c>
      <c r="F53" s="311" t="s">
        <v>11</v>
      </c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2.75" customHeight="1">
      <c r="A54" s="194" t="s">
        <v>440</v>
      </c>
      <c r="B54" s="195"/>
      <c r="C54" s="287"/>
      <c r="D54" s="390"/>
      <c r="E54" s="183"/>
      <c r="F54" s="290" t="s">
        <v>1243</v>
      </c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2.75" customHeight="1">
      <c r="A55" s="122" t="s">
        <v>303</v>
      </c>
      <c r="B55" s="123" t="s">
        <v>304</v>
      </c>
      <c r="C55" s="292"/>
      <c r="D55" s="391"/>
      <c r="E55" s="186"/>
      <c r="F55" s="300" t="s">
        <v>1280</v>
      </c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2.75" customHeight="1">
      <c r="A56" s="128" t="s">
        <v>308</v>
      </c>
      <c r="B56" s="129" t="s">
        <v>309</v>
      </c>
      <c r="C56" s="297">
        <v>838.0</v>
      </c>
      <c r="D56" s="392">
        <v>22042.89</v>
      </c>
      <c r="E56" s="246">
        <v>22982.34</v>
      </c>
      <c r="F56" s="300" t="s">
        <v>1281</v>
      </c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2.75" customHeight="1">
      <c r="A57" s="302" t="s">
        <v>1086</v>
      </c>
      <c r="B57" s="201" t="s">
        <v>15</v>
      </c>
      <c r="C57" s="297">
        <v>2352.0</v>
      </c>
      <c r="D57" s="392">
        <v>61485.86</v>
      </c>
      <c r="E57" s="132">
        <v>64108.21</v>
      </c>
      <c r="F57" s="300" t="s">
        <v>1282</v>
      </c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2.75" customHeight="1">
      <c r="A58" s="200"/>
      <c r="B58" s="198"/>
      <c r="C58" s="297"/>
      <c r="D58" s="392"/>
      <c r="E58" s="132"/>
      <c r="F58" s="295" t="s">
        <v>1283</v>
      </c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2.75" customHeight="1">
      <c r="A59" s="200" t="s">
        <v>1284</v>
      </c>
      <c r="B59" s="198" t="s">
        <v>1285</v>
      </c>
      <c r="C59" s="297"/>
      <c r="D59" s="392"/>
      <c r="E59" s="132"/>
      <c r="F59" s="295" t="s">
        <v>1286</v>
      </c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2.75" customHeight="1">
      <c r="A60" s="200" t="s">
        <v>1287</v>
      </c>
      <c r="B60" s="198"/>
      <c r="C60" s="297"/>
      <c r="D60" s="392"/>
      <c r="E60" s="132"/>
      <c r="F60" s="316" t="s">
        <v>1288</v>
      </c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0" customHeight="1">
      <c r="A61" s="200"/>
      <c r="B61" s="134"/>
      <c r="C61" s="297"/>
      <c r="D61" s="392"/>
      <c r="E61" s="132"/>
      <c r="F61" s="316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0" customHeight="1">
      <c r="A62" s="128" t="s">
        <v>316</v>
      </c>
      <c r="B62" s="134"/>
      <c r="C62" s="297"/>
      <c r="D62" s="392"/>
      <c r="E62" s="132"/>
      <c r="F62" s="316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8.75" customHeight="1">
      <c r="A63" s="142"/>
      <c r="B63" s="143"/>
      <c r="C63" s="361">
        <f t="shared" ref="C63:E63" si="4">SUM(C54:C62)</f>
        <v>3190</v>
      </c>
      <c r="D63" s="393">
        <f t="shared" si="4"/>
        <v>83528.75</v>
      </c>
      <c r="E63" s="146">
        <f t="shared" si="4"/>
        <v>87090.55</v>
      </c>
      <c r="F63" s="39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42.0" customHeight="1">
      <c r="A64" s="281" t="s">
        <v>1289</v>
      </c>
      <c r="B64" s="282"/>
      <c r="C64" s="403" t="s">
        <v>299</v>
      </c>
      <c r="D64" s="113" t="s">
        <v>9</v>
      </c>
      <c r="E64" s="284" t="s">
        <v>10</v>
      </c>
      <c r="F64" s="311" t="s">
        <v>11</v>
      </c>
      <c r="G64" s="52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9.5" customHeight="1">
      <c r="A65" s="194" t="s">
        <v>319</v>
      </c>
      <c r="B65" s="286"/>
      <c r="C65" s="287"/>
      <c r="D65" s="183"/>
      <c r="E65" s="183"/>
      <c r="F65" s="290" t="s">
        <v>1243</v>
      </c>
      <c r="G65" s="52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2.75" customHeight="1">
      <c r="A66" s="122" t="s">
        <v>303</v>
      </c>
      <c r="B66" s="123" t="s">
        <v>304</v>
      </c>
      <c r="C66" s="292"/>
      <c r="D66" s="186"/>
      <c r="E66" s="186"/>
      <c r="F66" s="300" t="s">
        <v>1290</v>
      </c>
      <c r="G66" s="52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2.75" customHeight="1">
      <c r="A67" s="128" t="s">
        <v>308</v>
      </c>
      <c r="B67" s="129" t="s">
        <v>309</v>
      </c>
      <c r="C67" s="377">
        <v>2682.0</v>
      </c>
      <c r="D67" s="132">
        <v>68715.93</v>
      </c>
      <c r="E67" s="132">
        <v>71854.15</v>
      </c>
      <c r="F67" s="300" t="s">
        <v>1291</v>
      </c>
      <c r="G67" s="52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2.75" customHeight="1">
      <c r="A68" s="302" t="s">
        <v>1086</v>
      </c>
      <c r="B68" s="201" t="s">
        <v>15</v>
      </c>
      <c r="C68" s="297">
        <v>21361.0</v>
      </c>
      <c r="D68" s="132">
        <v>542889.96</v>
      </c>
      <c r="E68" s="132">
        <v>567687.39</v>
      </c>
      <c r="F68" s="300" t="s">
        <v>1292</v>
      </c>
      <c r="G68" s="52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2.75" customHeight="1">
      <c r="A69" s="302"/>
      <c r="B69" s="198"/>
      <c r="C69" s="297"/>
      <c r="D69" s="132"/>
      <c r="E69" s="132"/>
      <c r="F69" s="295" t="s">
        <v>1293</v>
      </c>
      <c r="G69" s="52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2.75" customHeight="1">
      <c r="A70" s="302" t="s">
        <v>1294</v>
      </c>
      <c r="B70" s="247" t="s">
        <v>1295</v>
      </c>
      <c r="C70" s="297"/>
      <c r="D70" s="132"/>
      <c r="E70" s="132"/>
      <c r="F70" s="295" t="s">
        <v>1296</v>
      </c>
      <c r="G70" s="52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2.75" customHeight="1">
      <c r="A71" s="302" t="s">
        <v>1297</v>
      </c>
      <c r="B71" s="247" t="s">
        <v>1298</v>
      </c>
      <c r="C71" s="297"/>
      <c r="D71" s="132"/>
      <c r="E71" s="132"/>
      <c r="F71" s="316" t="s">
        <v>1299</v>
      </c>
      <c r="G71" s="52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75" customHeight="1">
      <c r="A72" s="302" t="s">
        <v>1300</v>
      </c>
      <c r="B72" s="247" t="s">
        <v>1301</v>
      </c>
      <c r="C72" s="297"/>
      <c r="D72" s="132"/>
      <c r="E72" s="132"/>
      <c r="F72" s="295"/>
      <c r="G72" s="52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.75" customHeight="1">
      <c r="A73" s="302" t="s">
        <v>1302</v>
      </c>
      <c r="B73" s="247" t="s">
        <v>1303</v>
      </c>
      <c r="C73" s="297"/>
      <c r="D73" s="132"/>
      <c r="E73" s="132"/>
      <c r="F73" s="295"/>
      <c r="G73" s="52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2.75" customHeight="1">
      <c r="A74" s="302" t="s">
        <v>1304</v>
      </c>
      <c r="B74" s="247" t="s">
        <v>1305</v>
      </c>
      <c r="C74" s="297"/>
      <c r="D74" s="132"/>
      <c r="E74" s="132"/>
      <c r="F74" s="295"/>
      <c r="G74" s="52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75" customHeight="1">
      <c r="A75" s="302" t="s">
        <v>1306</v>
      </c>
      <c r="B75" s="247" t="s">
        <v>1307</v>
      </c>
      <c r="C75" s="297"/>
      <c r="D75" s="132"/>
      <c r="E75" s="132"/>
      <c r="F75" s="295"/>
      <c r="G75" s="52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2.75" customHeight="1">
      <c r="A76" s="302" t="s">
        <v>1308</v>
      </c>
      <c r="B76" s="247" t="s">
        <v>1309</v>
      </c>
      <c r="C76" s="297"/>
      <c r="D76" s="132"/>
      <c r="E76" s="132"/>
      <c r="F76" s="295"/>
      <c r="G76" s="52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75" customHeight="1">
      <c r="A77" s="302" t="s">
        <v>1310</v>
      </c>
      <c r="B77" s="247" t="s">
        <v>1311</v>
      </c>
      <c r="C77" s="297"/>
      <c r="D77" s="132"/>
      <c r="E77" s="132"/>
      <c r="F77" s="316"/>
      <c r="G77" s="52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2.75" customHeight="1">
      <c r="A78" s="302" t="s">
        <v>1312</v>
      </c>
      <c r="B78" s="247" t="s">
        <v>1313</v>
      </c>
      <c r="C78" s="297"/>
      <c r="D78" s="132"/>
      <c r="E78" s="132"/>
      <c r="F78" s="316"/>
      <c r="G78" s="52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2.75" customHeight="1">
      <c r="A79" s="302" t="s">
        <v>1314</v>
      </c>
      <c r="B79" s="247" t="s">
        <v>1315</v>
      </c>
      <c r="C79" s="297"/>
      <c r="D79" s="132"/>
      <c r="E79" s="132"/>
      <c r="F79" s="316"/>
      <c r="G79" s="52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2.75" customHeight="1">
      <c r="A80" s="402" t="s">
        <v>1316</v>
      </c>
      <c r="B80" s="198" t="s">
        <v>1317</v>
      </c>
      <c r="C80" s="297"/>
      <c r="D80" s="132"/>
      <c r="E80" s="132"/>
      <c r="F80" s="316"/>
      <c r="G80" s="52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2.75" customHeight="1">
      <c r="A81" s="200"/>
      <c r="B81" s="123"/>
      <c r="C81" s="297"/>
      <c r="D81" s="132"/>
      <c r="E81" s="132"/>
      <c r="F81" s="316"/>
      <c r="G81" s="52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2.75" customHeight="1">
      <c r="A82" s="135" t="s">
        <v>1143</v>
      </c>
      <c r="B82" s="123"/>
      <c r="C82" s="297"/>
      <c r="D82" s="132"/>
      <c r="E82" s="132"/>
      <c r="F82" s="316"/>
      <c r="G82" s="52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2.75" customHeight="1">
      <c r="A83" s="142"/>
      <c r="B83" s="143"/>
      <c r="C83" s="361">
        <f t="shared" ref="C83:E83" si="5">SUM(C65:C82)</f>
        <v>24043</v>
      </c>
      <c r="D83" s="146">
        <f t="shared" si="5"/>
        <v>611605.89</v>
      </c>
      <c r="E83" s="146">
        <f t="shared" si="5"/>
        <v>639541.54</v>
      </c>
      <c r="F83" s="358"/>
      <c r="G83" s="52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42.0" customHeight="1">
      <c r="A84" s="281" t="s">
        <v>1318</v>
      </c>
      <c r="B84" s="282"/>
      <c r="C84" s="403" t="s">
        <v>299</v>
      </c>
      <c r="D84" s="113" t="s">
        <v>9</v>
      </c>
      <c r="E84" s="284" t="s">
        <v>10</v>
      </c>
      <c r="F84" s="311" t="s">
        <v>11</v>
      </c>
      <c r="G84" s="52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9.5" customHeight="1">
      <c r="A85" s="194" t="s">
        <v>319</v>
      </c>
      <c r="B85" s="286"/>
      <c r="C85" s="287"/>
      <c r="D85" s="183"/>
      <c r="E85" s="183"/>
      <c r="F85" s="290" t="s">
        <v>1243</v>
      </c>
      <c r="G85" s="52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2.75" customHeight="1">
      <c r="A86" s="122" t="s">
        <v>303</v>
      </c>
      <c r="B86" s="123" t="s">
        <v>304</v>
      </c>
      <c r="C86" s="292"/>
      <c r="D86" s="186"/>
      <c r="E86" s="186"/>
      <c r="F86" s="300" t="s">
        <v>1319</v>
      </c>
      <c r="G86" s="52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2.75" customHeight="1">
      <c r="A87" s="128" t="s">
        <v>308</v>
      </c>
      <c r="B87" s="129" t="s">
        <v>309</v>
      </c>
      <c r="C87" s="377">
        <v>913.0</v>
      </c>
      <c r="D87" s="132">
        <v>23012.56</v>
      </c>
      <c r="E87" s="132">
        <v>24074.9</v>
      </c>
      <c r="F87" s="300" t="s">
        <v>1320</v>
      </c>
      <c r="G87" s="52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2.75" customHeight="1">
      <c r="A88" s="302" t="s">
        <v>1086</v>
      </c>
      <c r="B88" s="201" t="s">
        <v>15</v>
      </c>
      <c r="C88" s="297">
        <v>4556.0</v>
      </c>
      <c r="D88" s="132">
        <v>115072.31</v>
      </c>
      <c r="E88" s="132">
        <v>120387.12</v>
      </c>
      <c r="F88" s="300" t="s">
        <v>1321</v>
      </c>
      <c r="G88" s="52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2.75" customHeight="1">
      <c r="A89" s="302"/>
      <c r="B89" s="198"/>
      <c r="C89" s="297"/>
      <c r="D89" s="132"/>
      <c r="E89" s="132"/>
      <c r="F89" s="295" t="s">
        <v>1322</v>
      </c>
      <c r="G89" s="52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2.75" customHeight="1">
      <c r="A90" s="200" t="s">
        <v>1323</v>
      </c>
      <c r="B90" s="198" t="s">
        <v>1324</v>
      </c>
      <c r="C90" s="297"/>
      <c r="D90" s="132"/>
      <c r="E90" s="132"/>
      <c r="F90" s="295" t="s">
        <v>1325</v>
      </c>
      <c r="G90" s="52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2.75" customHeight="1">
      <c r="A91" s="200" t="s">
        <v>1326</v>
      </c>
      <c r="B91" s="198" t="s">
        <v>1327</v>
      </c>
      <c r="C91" s="297"/>
      <c r="D91" s="132"/>
      <c r="E91" s="132"/>
      <c r="F91" s="316" t="s">
        <v>1328</v>
      </c>
      <c r="G91" s="52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2.75" customHeight="1">
      <c r="A92" s="200" t="s">
        <v>1329</v>
      </c>
      <c r="B92" s="123"/>
      <c r="C92" s="297"/>
      <c r="D92" s="132"/>
      <c r="E92" s="132"/>
      <c r="F92" s="316"/>
      <c r="G92" s="52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2.75" customHeight="1">
      <c r="A93" s="135"/>
      <c r="B93" s="123"/>
      <c r="C93" s="297"/>
      <c r="D93" s="132"/>
      <c r="E93" s="132"/>
      <c r="F93" s="316"/>
      <c r="G93" s="52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2.75" customHeight="1">
      <c r="A94" s="135" t="s">
        <v>1143</v>
      </c>
      <c r="B94" s="123"/>
      <c r="C94" s="297"/>
      <c r="D94" s="132"/>
      <c r="E94" s="132"/>
      <c r="F94" s="316"/>
      <c r="G94" s="52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2.75" customHeight="1">
      <c r="A95" s="142"/>
      <c r="B95" s="143"/>
      <c r="C95" s="361">
        <f t="shared" ref="C95:E95" si="6">SUM(C85:C94)</f>
        <v>5469</v>
      </c>
      <c r="D95" s="146">
        <f t="shared" si="6"/>
        <v>138084.87</v>
      </c>
      <c r="E95" s="146">
        <f t="shared" si="6"/>
        <v>144462.02</v>
      </c>
      <c r="F95" s="358"/>
      <c r="G95" s="52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38.25" customHeight="1">
      <c r="A96" s="281" t="s">
        <v>1330</v>
      </c>
      <c r="B96" s="282"/>
      <c r="C96" s="403" t="s">
        <v>299</v>
      </c>
      <c r="D96" s="113" t="s">
        <v>9</v>
      </c>
      <c r="E96" s="284" t="s">
        <v>10</v>
      </c>
      <c r="F96" s="311" t="s">
        <v>11</v>
      </c>
      <c r="G96" s="52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9.5" customHeight="1">
      <c r="A97" s="194" t="s">
        <v>319</v>
      </c>
      <c r="B97" s="286"/>
      <c r="C97" s="287"/>
      <c r="D97" s="183"/>
      <c r="E97" s="183"/>
      <c r="F97" s="290" t="s">
        <v>1243</v>
      </c>
      <c r="G97" s="52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2.75" customHeight="1">
      <c r="A98" s="122" t="s">
        <v>303</v>
      </c>
      <c r="B98" s="123" t="s">
        <v>304</v>
      </c>
      <c r="C98" s="292"/>
      <c r="D98" s="186"/>
      <c r="E98" s="186"/>
      <c r="F98" s="300" t="s">
        <v>1331</v>
      </c>
      <c r="G98" s="52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75" customHeight="1">
      <c r="A99" s="128" t="s">
        <v>1332</v>
      </c>
      <c r="B99" s="129" t="s">
        <v>1333</v>
      </c>
      <c r="C99" s="377">
        <v>1155.0</v>
      </c>
      <c r="D99" s="132">
        <v>27021.18</v>
      </c>
      <c r="E99" s="132">
        <v>28286.572</v>
      </c>
      <c r="F99" s="300" t="s">
        <v>1334</v>
      </c>
      <c r="G99" s="52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.75" customHeight="1">
      <c r="A100" s="302"/>
      <c r="B100" s="198"/>
      <c r="C100" s="297"/>
      <c r="D100" s="132"/>
      <c r="E100" s="132"/>
      <c r="F100" s="300" t="s">
        <v>1335</v>
      </c>
      <c r="G100" s="52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2.75" customHeight="1">
      <c r="A101" s="302" t="s">
        <v>1336</v>
      </c>
      <c r="B101" s="198"/>
      <c r="C101" s="297"/>
      <c r="D101" s="132"/>
      <c r="E101" s="132"/>
      <c r="F101" s="295" t="s">
        <v>1337</v>
      </c>
      <c r="G101" s="52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75" customHeight="1">
      <c r="A102" s="200"/>
      <c r="B102" s="198"/>
      <c r="C102" s="297"/>
      <c r="D102" s="132"/>
      <c r="E102" s="132"/>
      <c r="F102" s="295" t="s">
        <v>1338</v>
      </c>
      <c r="G102" s="52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.75" customHeight="1">
      <c r="A103" s="135" t="s">
        <v>1143</v>
      </c>
      <c r="B103" s="123"/>
      <c r="C103" s="297"/>
      <c r="D103" s="132"/>
      <c r="E103" s="132"/>
      <c r="F103" s="316" t="s">
        <v>1339</v>
      </c>
      <c r="G103" s="52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2.75" customHeight="1">
      <c r="A104" s="142"/>
      <c r="B104" s="143"/>
      <c r="C104" s="361">
        <f t="shared" ref="C104:E104" si="7">SUM(C97:C103)</f>
        <v>1155</v>
      </c>
      <c r="D104" s="146">
        <f t="shared" si="7"/>
        <v>27021.18</v>
      </c>
      <c r="E104" s="146">
        <f t="shared" si="7"/>
        <v>28286.572</v>
      </c>
      <c r="F104" s="358"/>
      <c r="G104" s="52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41.25" customHeight="1">
      <c r="A105" s="110" t="s">
        <v>1340</v>
      </c>
      <c r="B105" s="111"/>
      <c r="C105" s="112" t="s">
        <v>299</v>
      </c>
      <c r="D105" s="113" t="s">
        <v>9</v>
      </c>
      <c r="E105" s="284" t="s">
        <v>10</v>
      </c>
      <c r="F105" s="311" t="s">
        <v>11</v>
      </c>
      <c r="G105" s="52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2.75" customHeight="1">
      <c r="A106" s="194" t="s">
        <v>385</v>
      </c>
      <c r="B106" s="195"/>
      <c r="C106" s="189"/>
      <c r="D106" s="183"/>
      <c r="E106" s="183"/>
      <c r="F106" s="290" t="s">
        <v>1243</v>
      </c>
      <c r="G106" s="52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2.75" customHeight="1">
      <c r="A107" s="197" t="s">
        <v>303</v>
      </c>
      <c r="B107" s="198" t="s">
        <v>304</v>
      </c>
      <c r="C107" s="191"/>
      <c r="D107" s="186"/>
      <c r="E107" s="186"/>
      <c r="F107" s="300" t="s">
        <v>1341</v>
      </c>
      <c r="G107" s="52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2.75" customHeight="1">
      <c r="A108" s="128" t="s">
        <v>308</v>
      </c>
      <c r="B108" s="129" t="s">
        <v>309</v>
      </c>
      <c r="C108" s="192">
        <v>972.0</v>
      </c>
      <c r="D108" s="132">
        <v>24773.47</v>
      </c>
      <c r="E108" s="132">
        <v>25939.0</v>
      </c>
      <c r="F108" s="300" t="s">
        <v>1342</v>
      </c>
      <c r="G108" s="52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2.75" customHeight="1">
      <c r="A109" s="302" t="s">
        <v>1086</v>
      </c>
      <c r="B109" s="201" t="s">
        <v>15</v>
      </c>
      <c r="C109" s="192">
        <v>4665.0</v>
      </c>
      <c r="D109" s="132">
        <v>115702.92</v>
      </c>
      <c r="E109" s="132">
        <v>121212.04</v>
      </c>
      <c r="F109" s="300" t="s">
        <v>1343</v>
      </c>
      <c r="G109" s="52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2.75" customHeight="1">
      <c r="A110" s="200"/>
      <c r="B110" s="202"/>
      <c r="C110" s="192"/>
      <c r="D110" s="132"/>
      <c r="E110" s="132"/>
      <c r="F110" s="295" t="s">
        <v>1344</v>
      </c>
      <c r="G110" s="52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2.75" customHeight="1">
      <c r="A111" s="200" t="s">
        <v>1345</v>
      </c>
      <c r="B111" s="198" t="s">
        <v>1346</v>
      </c>
      <c r="C111" s="192"/>
      <c r="D111" s="132"/>
      <c r="E111" s="132"/>
      <c r="F111" s="295" t="s">
        <v>1347</v>
      </c>
      <c r="G111" s="52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2.75" customHeight="1">
      <c r="A112" s="200" t="s">
        <v>1348</v>
      </c>
      <c r="B112" s="198" t="s">
        <v>1349</v>
      </c>
      <c r="C112" s="192"/>
      <c r="D112" s="132"/>
      <c r="E112" s="132"/>
      <c r="F112" s="316" t="s">
        <v>1350</v>
      </c>
      <c r="G112" s="52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2.75" customHeight="1">
      <c r="A113" s="200" t="s">
        <v>1351</v>
      </c>
      <c r="B113" s="202"/>
      <c r="C113" s="192"/>
      <c r="D113" s="132"/>
      <c r="E113" s="132"/>
      <c r="F113" s="316"/>
      <c r="G113" s="52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2.75" customHeight="1">
      <c r="A114" s="128"/>
      <c r="B114" s="202"/>
      <c r="C114" s="192"/>
      <c r="D114" s="132"/>
      <c r="E114" s="132"/>
      <c r="F114" s="316"/>
      <c r="G114" s="52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2.75" customHeight="1">
      <c r="A115" s="128" t="s">
        <v>316</v>
      </c>
      <c r="B115" s="202"/>
      <c r="C115" s="192"/>
      <c r="D115" s="132"/>
      <c r="E115" s="132"/>
      <c r="F115" s="316"/>
      <c r="G115" s="52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8.75" customHeight="1">
      <c r="A116" s="203"/>
      <c r="B116" s="143"/>
      <c r="C116" s="355">
        <f t="shared" ref="C116:E116" si="8">SUM(C106:C115)</f>
        <v>5637</v>
      </c>
      <c r="D116" s="146">
        <f t="shared" si="8"/>
        <v>140476.39</v>
      </c>
      <c r="E116" s="146">
        <f t="shared" si="8"/>
        <v>147151.04</v>
      </c>
      <c r="F116" s="358"/>
      <c r="G116" s="52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29.25" customHeight="1">
      <c r="A117" s="110" t="s">
        <v>1352</v>
      </c>
      <c r="B117" s="111"/>
      <c r="C117" s="112" t="s">
        <v>299</v>
      </c>
      <c r="D117" s="113" t="s">
        <v>9</v>
      </c>
      <c r="E117" s="284" t="s">
        <v>10</v>
      </c>
      <c r="F117" s="311" t="s">
        <v>11</v>
      </c>
      <c r="G117" s="52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0" customHeight="1">
      <c r="A118" s="194" t="s">
        <v>385</v>
      </c>
      <c r="B118" s="195"/>
      <c r="C118" s="189"/>
      <c r="D118" s="183"/>
      <c r="E118" s="183"/>
      <c r="F118" s="290" t="s">
        <v>1243</v>
      </c>
      <c r="G118" s="52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0" customHeight="1">
      <c r="A119" s="197" t="s">
        <v>303</v>
      </c>
      <c r="B119" s="198" t="s">
        <v>304</v>
      </c>
      <c r="C119" s="191"/>
      <c r="D119" s="186"/>
      <c r="E119" s="186"/>
      <c r="F119" s="300" t="s">
        <v>1353</v>
      </c>
      <c r="G119" s="52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0" customHeight="1">
      <c r="A120" s="128" t="s">
        <v>308</v>
      </c>
      <c r="B120" s="129" t="s">
        <v>309</v>
      </c>
      <c r="C120" s="192">
        <v>194.0</v>
      </c>
      <c r="D120" s="132">
        <v>4959.26</v>
      </c>
      <c r="E120" s="132">
        <v>5194.36</v>
      </c>
      <c r="F120" s="300" t="s">
        <v>1354</v>
      </c>
      <c r="G120" s="52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0" customHeight="1">
      <c r="A121" s="302" t="s">
        <v>1086</v>
      </c>
      <c r="B121" s="201" t="s">
        <v>15</v>
      </c>
      <c r="C121" s="192">
        <v>2045.0</v>
      </c>
      <c r="D121" s="132">
        <v>50476.78</v>
      </c>
      <c r="E121" s="132">
        <v>52812.28</v>
      </c>
      <c r="F121" s="300" t="s">
        <v>1355</v>
      </c>
      <c r="G121" s="52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0" customHeight="1">
      <c r="A122" s="200"/>
      <c r="B122" s="202"/>
      <c r="C122" s="192"/>
      <c r="D122" s="132"/>
      <c r="E122" s="132"/>
      <c r="F122" s="295" t="s">
        <v>1356</v>
      </c>
      <c r="G122" s="52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0" customHeight="1">
      <c r="A123" s="200" t="s">
        <v>1357</v>
      </c>
      <c r="B123" s="198" t="s">
        <v>1358</v>
      </c>
      <c r="C123" s="192"/>
      <c r="D123" s="132"/>
      <c r="E123" s="132"/>
      <c r="F123" s="295" t="s">
        <v>1359</v>
      </c>
      <c r="G123" s="52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0" customHeight="1">
      <c r="A124" s="128"/>
      <c r="B124" s="202"/>
      <c r="C124" s="192"/>
      <c r="D124" s="132"/>
      <c r="E124" s="132"/>
      <c r="F124" s="316" t="s">
        <v>1360</v>
      </c>
      <c r="G124" s="52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0" customHeight="1">
      <c r="A125" s="128" t="s">
        <v>316</v>
      </c>
      <c r="B125" s="202"/>
      <c r="C125" s="192"/>
      <c r="D125" s="132"/>
      <c r="E125" s="132"/>
      <c r="F125" s="316"/>
      <c r="G125" s="52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8.0" customHeight="1">
      <c r="A126" s="203"/>
      <c r="B126" s="143"/>
      <c r="C126" s="355">
        <f t="shared" ref="C126:E126" si="9">SUM(C118:C125)</f>
        <v>2239</v>
      </c>
      <c r="D126" s="146">
        <f t="shared" si="9"/>
        <v>55436.04</v>
      </c>
      <c r="E126" s="146">
        <f t="shared" si="9"/>
        <v>58006.64</v>
      </c>
      <c r="F126" s="358"/>
      <c r="G126" s="52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29.25" customHeight="1">
      <c r="A127" s="110" t="s">
        <v>1361</v>
      </c>
      <c r="B127" s="111"/>
      <c r="C127" s="112" t="s">
        <v>299</v>
      </c>
      <c r="D127" s="113" t="s">
        <v>9</v>
      </c>
      <c r="E127" s="284" t="s">
        <v>10</v>
      </c>
      <c r="F127" s="311" t="s">
        <v>11</v>
      </c>
      <c r="G127" s="52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0" customHeight="1">
      <c r="A128" s="194" t="s">
        <v>385</v>
      </c>
      <c r="B128" s="195"/>
      <c r="C128" s="189"/>
      <c r="D128" s="183"/>
      <c r="E128" s="183"/>
      <c r="F128" s="290" t="s">
        <v>1243</v>
      </c>
      <c r="G128" s="52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0" customHeight="1">
      <c r="A129" s="197" t="s">
        <v>303</v>
      </c>
      <c r="B129" s="198" t="s">
        <v>304</v>
      </c>
      <c r="C129" s="191"/>
      <c r="D129" s="186"/>
      <c r="E129" s="186"/>
      <c r="F129" s="300" t="s">
        <v>1362</v>
      </c>
      <c r="G129" s="52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0" customHeight="1">
      <c r="A130" s="128" t="s">
        <v>1332</v>
      </c>
      <c r="B130" s="129" t="s">
        <v>1333</v>
      </c>
      <c r="C130" s="192">
        <v>2310.0</v>
      </c>
      <c r="D130" s="132">
        <v>50543.206</v>
      </c>
      <c r="E130" s="132">
        <v>53448.598</v>
      </c>
      <c r="F130" s="300" t="s">
        <v>1363</v>
      </c>
      <c r="G130" s="52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0" customHeight="1">
      <c r="A131" s="200"/>
      <c r="B131" s="202"/>
      <c r="C131" s="192"/>
      <c r="D131" s="132"/>
      <c r="E131" s="132"/>
      <c r="F131" s="300" t="s">
        <v>1364</v>
      </c>
      <c r="G131" s="52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0" customHeight="1">
      <c r="A132" s="200" t="s">
        <v>1365</v>
      </c>
      <c r="B132" s="202" t="s">
        <v>1366</v>
      </c>
      <c r="C132" s="192"/>
      <c r="D132" s="132"/>
      <c r="E132" s="132"/>
      <c r="F132" s="295" t="s">
        <v>1367</v>
      </c>
      <c r="G132" s="52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0" customHeight="1">
      <c r="A133" s="200"/>
      <c r="B133" s="198"/>
      <c r="C133" s="192"/>
      <c r="D133" s="132"/>
      <c r="E133" s="132"/>
      <c r="F133" s="295" t="s">
        <v>1368</v>
      </c>
      <c r="G133" s="52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0" customHeight="1">
      <c r="A134" s="128"/>
      <c r="B134" s="202"/>
      <c r="C134" s="192"/>
      <c r="D134" s="132"/>
      <c r="E134" s="132"/>
      <c r="F134" s="316" t="s">
        <v>1369</v>
      </c>
      <c r="G134" s="52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0" customHeight="1">
      <c r="A135" s="128" t="s">
        <v>316</v>
      </c>
      <c r="B135" s="202"/>
      <c r="C135" s="192"/>
      <c r="D135" s="132"/>
      <c r="E135" s="132"/>
      <c r="F135" s="316"/>
      <c r="G135" s="52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8.0" customHeight="1">
      <c r="A136" s="203"/>
      <c r="B136" s="143"/>
      <c r="C136" s="355">
        <f t="shared" ref="C136:E136" si="10">SUM(C128:C135)</f>
        <v>2310</v>
      </c>
      <c r="D136" s="146">
        <f t="shared" si="10"/>
        <v>50543.206</v>
      </c>
      <c r="E136" s="146">
        <f t="shared" si="10"/>
        <v>53448.598</v>
      </c>
      <c r="F136" s="358"/>
      <c r="G136" s="52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29.25" customHeight="1">
      <c r="A137" s="110" t="s">
        <v>1370</v>
      </c>
      <c r="B137" s="111"/>
      <c r="C137" s="112" t="s">
        <v>299</v>
      </c>
      <c r="D137" s="113" t="s">
        <v>9</v>
      </c>
      <c r="E137" s="284" t="s">
        <v>10</v>
      </c>
      <c r="F137" s="311" t="s">
        <v>11</v>
      </c>
      <c r="G137" s="52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0" customHeight="1">
      <c r="A138" s="194" t="s">
        <v>385</v>
      </c>
      <c r="B138" s="195"/>
      <c r="C138" s="189"/>
      <c r="D138" s="183"/>
      <c r="E138" s="183"/>
      <c r="F138" s="290" t="s">
        <v>1243</v>
      </c>
      <c r="G138" s="52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0" customHeight="1">
      <c r="A139" s="197" t="s">
        <v>303</v>
      </c>
      <c r="B139" s="198" t="s">
        <v>304</v>
      </c>
      <c r="C139" s="191"/>
      <c r="D139" s="186"/>
      <c r="E139" s="186"/>
      <c r="F139" s="300" t="s">
        <v>1371</v>
      </c>
      <c r="G139" s="52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0" customHeight="1">
      <c r="A140" s="128" t="s">
        <v>1372</v>
      </c>
      <c r="B140" s="129" t="s">
        <v>1226</v>
      </c>
      <c r="C140" s="192">
        <v>1070.0</v>
      </c>
      <c r="D140" s="132">
        <v>28019.68</v>
      </c>
      <c r="E140" s="132">
        <v>29323.98</v>
      </c>
      <c r="F140" s="300" t="s">
        <v>1373</v>
      </c>
      <c r="G140" s="52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0" customHeight="1">
      <c r="A141" s="200"/>
      <c r="B141" s="202"/>
      <c r="C141" s="192"/>
      <c r="D141" s="132"/>
      <c r="E141" s="132"/>
      <c r="F141" s="300" t="s">
        <v>1374</v>
      </c>
      <c r="G141" s="52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0" customHeight="1">
      <c r="A142" s="200" t="s">
        <v>1375</v>
      </c>
      <c r="B142" s="202"/>
      <c r="C142" s="192"/>
      <c r="D142" s="132"/>
      <c r="E142" s="132"/>
      <c r="F142" s="295" t="s">
        <v>1376</v>
      </c>
      <c r="G142" s="52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0" customHeight="1">
      <c r="A143" s="200"/>
      <c r="B143" s="198"/>
      <c r="C143" s="192"/>
      <c r="D143" s="132"/>
      <c r="E143" s="132"/>
      <c r="F143" s="295" t="s">
        <v>1377</v>
      </c>
      <c r="G143" s="52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0" customHeight="1">
      <c r="A144" s="128" t="s">
        <v>316</v>
      </c>
      <c r="B144" s="202"/>
      <c r="C144" s="192"/>
      <c r="D144" s="132"/>
      <c r="E144" s="132"/>
      <c r="F144" s="316" t="s">
        <v>1378</v>
      </c>
      <c r="G144" s="52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8.0" customHeight="1">
      <c r="A145" s="203"/>
      <c r="B145" s="143"/>
      <c r="C145" s="355">
        <f t="shared" ref="C145:E145" si="11">SUM(C138:C144)</f>
        <v>1070</v>
      </c>
      <c r="D145" s="146">
        <f t="shared" si="11"/>
        <v>28019.68</v>
      </c>
      <c r="E145" s="146">
        <f t="shared" si="11"/>
        <v>29323.98</v>
      </c>
      <c r="F145" s="358"/>
      <c r="G145" s="52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40.5" customHeight="1">
      <c r="A146" s="179" t="s">
        <v>1379</v>
      </c>
      <c r="B146" s="149"/>
      <c r="C146" s="112" t="s">
        <v>299</v>
      </c>
      <c r="D146" s="113" t="s">
        <v>9</v>
      </c>
      <c r="E146" s="284" t="s">
        <v>10</v>
      </c>
      <c r="F146" s="311" t="s">
        <v>11</v>
      </c>
      <c r="G146" s="52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0" customHeight="1">
      <c r="A147" s="116" t="s">
        <v>486</v>
      </c>
      <c r="B147" s="117"/>
      <c r="C147" s="189"/>
      <c r="D147" s="183"/>
      <c r="E147" s="183"/>
      <c r="F147" s="290" t="s">
        <v>1243</v>
      </c>
      <c r="G147" s="52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0" customHeight="1">
      <c r="A148" s="122" t="s">
        <v>303</v>
      </c>
      <c r="B148" s="123" t="s">
        <v>304</v>
      </c>
      <c r="C148" s="359"/>
      <c r="D148" s="186"/>
      <c r="E148" s="186"/>
      <c r="F148" s="300" t="s">
        <v>1380</v>
      </c>
      <c r="G148" s="52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0" customHeight="1">
      <c r="A149" s="302" t="s">
        <v>1086</v>
      </c>
      <c r="B149" s="201" t="s">
        <v>15</v>
      </c>
      <c r="C149" s="297">
        <v>4309.0</v>
      </c>
      <c r="D149" s="132">
        <v>111000.44</v>
      </c>
      <c r="E149" s="132">
        <v>115792.14</v>
      </c>
      <c r="F149" s="300" t="s">
        <v>1381</v>
      </c>
      <c r="G149" s="52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302"/>
      <c r="B150" s="202"/>
      <c r="C150" s="297"/>
      <c r="D150" s="132"/>
      <c r="E150" s="132"/>
      <c r="F150" s="300" t="s">
        <v>1382</v>
      </c>
      <c r="G150" s="52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6.5" customHeight="1">
      <c r="A151" s="200" t="s">
        <v>1383</v>
      </c>
      <c r="B151" s="198" t="s">
        <v>1384</v>
      </c>
      <c r="C151" s="297"/>
      <c r="D151" s="132"/>
      <c r="E151" s="132"/>
      <c r="F151" s="295" t="s">
        <v>1385</v>
      </c>
      <c r="G151" s="52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0" customHeight="1">
      <c r="A152" s="200" t="s">
        <v>1386</v>
      </c>
      <c r="B152" s="198" t="s">
        <v>1387</v>
      </c>
      <c r="C152" s="297"/>
      <c r="D152" s="132"/>
      <c r="E152" s="132"/>
      <c r="F152" s="295" t="s">
        <v>1388</v>
      </c>
      <c r="G152" s="52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.75" customHeight="1">
      <c r="A153" s="200"/>
      <c r="B153" s="202"/>
      <c r="C153" s="297"/>
      <c r="D153" s="132"/>
      <c r="E153" s="132"/>
      <c r="F153" s="316" t="s">
        <v>1389</v>
      </c>
      <c r="G153" s="52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.75" customHeight="1">
      <c r="A154" s="137" t="s">
        <v>316</v>
      </c>
      <c r="B154" s="134"/>
      <c r="C154" s="297"/>
      <c r="D154" s="132"/>
      <c r="E154" s="132"/>
      <c r="F154" s="316"/>
      <c r="G154" s="52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21.75" customHeight="1">
      <c r="A155" s="142"/>
      <c r="B155" s="143"/>
      <c r="C155" s="361">
        <f t="shared" ref="C155:E155" si="12">SUM(C147:C154)</f>
        <v>4309</v>
      </c>
      <c r="D155" s="146">
        <f t="shared" si="12"/>
        <v>111000.44</v>
      </c>
      <c r="E155" s="146">
        <f t="shared" si="12"/>
        <v>115792.14</v>
      </c>
      <c r="F155" s="358"/>
      <c r="G155" s="52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37.5" customHeight="1">
      <c r="A156" s="179" t="s">
        <v>1390</v>
      </c>
      <c r="B156" s="149"/>
      <c r="C156" s="370" t="s">
        <v>299</v>
      </c>
      <c r="D156" s="113" t="s">
        <v>9</v>
      </c>
      <c r="E156" s="284" t="s">
        <v>10</v>
      </c>
      <c r="F156" s="354" t="s">
        <v>11</v>
      </c>
      <c r="G156" s="52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.75" customHeight="1">
      <c r="A157" s="116" t="s">
        <v>572</v>
      </c>
      <c r="B157" s="404"/>
      <c r="C157" s="405"/>
      <c r="D157" s="183"/>
      <c r="E157" s="183"/>
      <c r="F157" s="290" t="s">
        <v>1243</v>
      </c>
      <c r="G157" s="52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.75" customHeight="1">
      <c r="A158" s="122" t="s">
        <v>303</v>
      </c>
      <c r="B158" s="106" t="s">
        <v>304</v>
      </c>
      <c r="C158" s="406"/>
      <c r="D158" s="186"/>
      <c r="E158" s="186"/>
      <c r="F158" s="300" t="s">
        <v>1391</v>
      </c>
      <c r="G158" s="52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2.75" customHeight="1">
      <c r="A159" s="128" t="s">
        <v>308</v>
      </c>
      <c r="B159" s="407" t="s">
        <v>309</v>
      </c>
      <c r="C159" s="408">
        <v>1025.0</v>
      </c>
      <c r="D159" s="132">
        <v>25933.52</v>
      </c>
      <c r="E159" s="132">
        <v>27104.61</v>
      </c>
      <c r="F159" s="300" t="s">
        <v>1392</v>
      </c>
      <c r="G159" s="52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.75" customHeight="1">
      <c r="A160" s="302" t="s">
        <v>1086</v>
      </c>
      <c r="B160" s="296" t="s">
        <v>15</v>
      </c>
      <c r="C160" s="408">
        <v>3260.0</v>
      </c>
      <c r="D160" s="132">
        <v>84280.94</v>
      </c>
      <c r="E160" s="132">
        <v>88095.85</v>
      </c>
      <c r="F160" s="300" t="s">
        <v>1393</v>
      </c>
      <c r="G160" s="52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.75" customHeight="1">
      <c r="A161" s="200"/>
      <c r="B161" s="291"/>
      <c r="C161" s="408"/>
      <c r="D161" s="132"/>
      <c r="E161" s="132"/>
      <c r="F161" s="295" t="s">
        <v>1394</v>
      </c>
      <c r="G161" s="52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75" customHeight="1">
      <c r="A162" s="200" t="s">
        <v>1395</v>
      </c>
      <c r="B162" s="291" t="s">
        <v>1396</v>
      </c>
      <c r="C162" s="408"/>
      <c r="D162" s="132"/>
      <c r="E162" s="132"/>
      <c r="F162" s="295" t="s">
        <v>1397</v>
      </c>
      <c r="G162" s="52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.75" customHeight="1">
      <c r="A163" s="200" t="s">
        <v>1398</v>
      </c>
      <c r="B163" s="402" t="s">
        <v>1399</v>
      </c>
      <c r="C163" s="408"/>
      <c r="D163" s="132"/>
      <c r="E163" s="132"/>
      <c r="F163" s="316" t="s">
        <v>1400</v>
      </c>
      <c r="G163" s="52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75" customHeight="1">
      <c r="A164" s="200"/>
      <c r="B164" s="291"/>
      <c r="C164" s="408"/>
      <c r="D164" s="132"/>
      <c r="E164" s="132"/>
      <c r="F164" s="316"/>
      <c r="G164" s="52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75" customHeight="1">
      <c r="A165" s="128" t="s">
        <v>316</v>
      </c>
      <c r="B165" s="291"/>
      <c r="C165" s="408"/>
      <c r="D165" s="132"/>
      <c r="E165" s="132"/>
      <c r="F165" s="316"/>
      <c r="G165" s="52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8.75" customHeight="1">
      <c r="A166" s="142"/>
      <c r="B166" s="382"/>
      <c r="C166" s="409">
        <f t="shared" ref="C166:E166" si="13">SUM(C157:C165)</f>
        <v>4285</v>
      </c>
      <c r="D166" s="146">
        <f t="shared" si="13"/>
        <v>110214.46</v>
      </c>
      <c r="E166" s="146">
        <f t="shared" si="13"/>
        <v>115200.46</v>
      </c>
      <c r="F166" s="307"/>
      <c r="G166" s="52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39.0" customHeight="1">
      <c r="A167" s="179" t="s">
        <v>1401</v>
      </c>
      <c r="B167" s="149"/>
      <c r="C167" s="362" t="s">
        <v>299</v>
      </c>
      <c r="D167" s="113" t="s">
        <v>9</v>
      </c>
      <c r="E167" s="284" t="s">
        <v>10</v>
      </c>
      <c r="F167" s="354" t="s">
        <v>11</v>
      </c>
      <c r="G167" s="52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75" customHeight="1">
      <c r="A168" s="116" t="s">
        <v>572</v>
      </c>
      <c r="B168" s="117"/>
      <c r="C168" s="189"/>
      <c r="D168" s="183"/>
      <c r="E168" s="183"/>
      <c r="F168" s="290" t="s">
        <v>1243</v>
      </c>
      <c r="G168" s="52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75" customHeight="1">
      <c r="A169" s="122" t="s">
        <v>303</v>
      </c>
      <c r="B169" s="123" t="s">
        <v>304</v>
      </c>
      <c r="C169" s="191"/>
      <c r="D169" s="186"/>
      <c r="E169" s="186"/>
      <c r="F169" s="300" t="s">
        <v>1402</v>
      </c>
      <c r="G169" s="52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75" customHeight="1">
      <c r="A170" s="128" t="s">
        <v>1332</v>
      </c>
      <c r="B170" s="129" t="s">
        <v>1333</v>
      </c>
      <c r="C170" s="192">
        <v>3465.0</v>
      </c>
      <c r="D170" s="132">
        <v>72534.725</v>
      </c>
      <c r="E170" s="132">
        <v>76567.825</v>
      </c>
      <c r="F170" s="300" t="s">
        <v>1403</v>
      </c>
      <c r="G170" s="52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75" customHeight="1">
      <c r="A171" s="200"/>
      <c r="B171" s="198"/>
      <c r="C171" s="192"/>
      <c r="D171" s="132"/>
      <c r="E171" s="132"/>
      <c r="F171" s="300" t="s">
        <v>1404</v>
      </c>
      <c r="G171" s="52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75" customHeight="1">
      <c r="A172" s="200" t="s">
        <v>1405</v>
      </c>
      <c r="B172" s="198" t="s">
        <v>1406</v>
      </c>
      <c r="C172" s="192"/>
      <c r="D172" s="132"/>
      <c r="E172" s="132"/>
      <c r="F172" s="295" t="s">
        <v>1407</v>
      </c>
      <c r="G172" s="52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75" customHeight="1">
      <c r="A173" s="200" t="s">
        <v>1408</v>
      </c>
      <c r="B173" s="198"/>
      <c r="C173" s="192"/>
      <c r="D173" s="132"/>
      <c r="E173" s="132"/>
      <c r="F173" s="295" t="s">
        <v>1409</v>
      </c>
      <c r="G173" s="52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75" customHeight="1">
      <c r="A174" s="200"/>
      <c r="B174" s="198"/>
      <c r="C174" s="192"/>
      <c r="D174" s="132"/>
      <c r="E174" s="132"/>
      <c r="F174" s="316" t="s">
        <v>1410</v>
      </c>
      <c r="G174" s="52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75" customHeight="1">
      <c r="A175" s="128" t="s">
        <v>316</v>
      </c>
      <c r="B175" s="198"/>
      <c r="C175" s="192"/>
      <c r="D175" s="132"/>
      <c r="E175" s="132"/>
      <c r="F175" s="316"/>
      <c r="G175" s="52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8.75" customHeight="1">
      <c r="A176" s="142"/>
      <c r="B176" s="143"/>
      <c r="C176" s="355">
        <f t="shared" ref="C176:E176" si="14">SUM(C168:C175)</f>
        <v>3465</v>
      </c>
      <c r="D176" s="146">
        <f t="shared" si="14"/>
        <v>72534.725</v>
      </c>
      <c r="E176" s="146">
        <f t="shared" si="14"/>
        <v>76567.825</v>
      </c>
      <c r="F176" s="307"/>
      <c r="G176" s="52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42.0" customHeight="1">
      <c r="A177" s="179" t="s">
        <v>1411</v>
      </c>
      <c r="B177" s="149"/>
      <c r="C177" s="370" t="s">
        <v>299</v>
      </c>
      <c r="D177" s="113" t="s">
        <v>9</v>
      </c>
      <c r="E177" s="284" t="s">
        <v>10</v>
      </c>
      <c r="F177" s="354" t="s">
        <v>11</v>
      </c>
      <c r="G177" s="52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9.5" customHeight="1">
      <c r="A178" s="116" t="s">
        <v>572</v>
      </c>
      <c r="B178" s="404"/>
      <c r="C178" s="405"/>
      <c r="D178" s="183"/>
      <c r="E178" s="183"/>
      <c r="F178" s="290" t="s">
        <v>1243</v>
      </c>
      <c r="G178" s="52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75" customHeight="1">
      <c r="A179" s="122" t="s">
        <v>303</v>
      </c>
      <c r="B179" s="106" t="s">
        <v>304</v>
      </c>
      <c r="C179" s="406"/>
      <c r="D179" s="186"/>
      <c r="E179" s="186"/>
      <c r="F179" s="300" t="s">
        <v>1412</v>
      </c>
      <c r="G179" s="52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75" customHeight="1">
      <c r="A180" s="128" t="s">
        <v>308</v>
      </c>
      <c r="B180" s="407" t="s">
        <v>309</v>
      </c>
      <c r="C180" s="408">
        <v>1658.0</v>
      </c>
      <c r="D180" s="132">
        <v>42398.24</v>
      </c>
      <c r="E180" s="132">
        <v>44282.509</v>
      </c>
      <c r="F180" s="300" t="s">
        <v>1413</v>
      </c>
      <c r="G180" s="52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75" customHeight="1">
      <c r="A181" s="302" t="s">
        <v>1086</v>
      </c>
      <c r="B181" s="296" t="s">
        <v>15</v>
      </c>
      <c r="C181" s="408">
        <v>2588.0</v>
      </c>
      <c r="D181" s="132">
        <v>69370.21</v>
      </c>
      <c r="E181" s="132">
        <v>72452.44</v>
      </c>
      <c r="F181" s="300" t="s">
        <v>1414</v>
      </c>
      <c r="G181" s="52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75" customHeight="1">
      <c r="A182" s="200"/>
      <c r="B182" s="291"/>
      <c r="C182" s="408"/>
      <c r="D182" s="132"/>
      <c r="E182" s="132"/>
      <c r="F182" s="295" t="s">
        <v>1394</v>
      </c>
      <c r="G182" s="52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75" customHeight="1">
      <c r="A183" s="200" t="s">
        <v>1415</v>
      </c>
      <c r="B183" s="410" t="s">
        <v>1416</v>
      </c>
      <c r="C183" s="408"/>
      <c r="D183" s="132"/>
      <c r="E183" s="132"/>
      <c r="F183" s="295" t="s">
        <v>1417</v>
      </c>
      <c r="G183" s="52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75" customHeight="1">
      <c r="A184" s="200" t="s">
        <v>1418</v>
      </c>
      <c r="B184" s="301" t="s">
        <v>1419</v>
      </c>
      <c r="C184" s="408"/>
      <c r="D184" s="132"/>
      <c r="E184" s="132"/>
      <c r="F184" s="316" t="s">
        <v>1420</v>
      </c>
      <c r="G184" s="52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75" customHeight="1">
      <c r="A185" s="200"/>
      <c r="B185" s="291"/>
      <c r="C185" s="408"/>
      <c r="D185" s="132"/>
      <c r="E185" s="132"/>
      <c r="F185" s="316"/>
      <c r="G185" s="52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75" customHeight="1">
      <c r="A186" s="128" t="s">
        <v>316</v>
      </c>
      <c r="B186" s="291"/>
      <c r="C186" s="408"/>
      <c r="D186" s="132"/>
      <c r="E186" s="132"/>
      <c r="F186" s="316"/>
      <c r="G186" s="52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75" customHeight="1">
      <c r="A187" s="142"/>
      <c r="B187" s="382"/>
      <c r="C187" s="409">
        <f t="shared" ref="C187:E187" si="15">SUM(C178:C186)</f>
        <v>4246</v>
      </c>
      <c r="D187" s="146">
        <f t="shared" si="15"/>
        <v>111768.45</v>
      </c>
      <c r="E187" s="146">
        <f t="shared" si="15"/>
        <v>116734.949</v>
      </c>
      <c r="F187" s="307"/>
      <c r="G187" s="52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42.0" customHeight="1">
      <c r="A188" s="281" t="s">
        <v>1421</v>
      </c>
      <c r="B188" s="282"/>
      <c r="C188" s="403" t="s">
        <v>299</v>
      </c>
      <c r="D188" s="113" t="s">
        <v>9</v>
      </c>
      <c r="E188" s="284" t="s">
        <v>10</v>
      </c>
      <c r="F188" s="311" t="s">
        <v>11</v>
      </c>
      <c r="G188" s="52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9.5" customHeight="1">
      <c r="A189" s="194" t="s">
        <v>302</v>
      </c>
      <c r="B189" s="286"/>
      <c r="C189" s="287"/>
      <c r="D189" s="183"/>
      <c r="E189" s="183"/>
      <c r="F189" s="290" t="s">
        <v>1243</v>
      </c>
      <c r="G189" s="52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75" customHeight="1">
      <c r="A190" s="122" t="s">
        <v>303</v>
      </c>
      <c r="B190" s="123" t="s">
        <v>304</v>
      </c>
      <c r="C190" s="292"/>
      <c r="D190" s="186"/>
      <c r="E190" s="186"/>
      <c r="F190" s="300" t="s">
        <v>1422</v>
      </c>
      <c r="G190" s="52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75" customHeight="1">
      <c r="A191" s="128" t="s">
        <v>308</v>
      </c>
      <c r="B191" s="129" t="s">
        <v>309</v>
      </c>
      <c r="C191" s="377">
        <v>2201.0</v>
      </c>
      <c r="D191" s="132">
        <v>57971.1</v>
      </c>
      <c r="E191" s="132">
        <v>60381.7</v>
      </c>
      <c r="F191" s="300" t="s">
        <v>1423</v>
      </c>
      <c r="G191" s="52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75" customHeight="1">
      <c r="A192" s="302" t="s">
        <v>1086</v>
      </c>
      <c r="B192" s="201" t="s">
        <v>15</v>
      </c>
      <c r="C192" s="297">
        <v>2927.0</v>
      </c>
      <c r="D192" s="132">
        <v>81122.99</v>
      </c>
      <c r="E192" s="132">
        <v>84496.39</v>
      </c>
      <c r="F192" s="300" t="s">
        <v>1424</v>
      </c>
      <c r="G192" s="52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75" customHeight="1">
      <c r="A193" s="302"/>
      <c r="B193" s="198"/>
      <c r="C193" s="297"/>
      <c r="D193" s="132"/>
      <c r="E193" s="132"/>
      <c r="F193" s="295" t="s">
        <v>1425</v>
      </c>
      <c r="G193" s="52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75" customHeight="1">
      <c r="A194" s="200" t="s">
        <v>1426</v>
      </c>
      <c r="B194" s="198" t="s">
        <v>1427</v>
      </c>
      <c r="C194" s="297"/>
      <c r="D194" s="132"/>
      <c r="E194" s="132"/>
      <c r="F194" s="295" t="s">
        <v>1428</v>
      </c>
      <c r="G194" s="52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75" customHeight="1">
      <c r="A195" s="200" t="s">
        <v>1429</v>
      </c>
      <c r="B195" s="198" t="s">
        <v>1430</v>
      </c>
      <c r="C195" s="297"/>
      <c r="D195" s="132"/>
      <c r="E195" s="132"/>
      <c r="F195" s="316" t="s">
        <v>1431</v>
      </c>
      <c r="G195" s="52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75" customHeight="1">
      <c r="A196" s="302" t="s">
        <v>1432</v>
      </c>
      <c r="B196" s="123"/>
      <c r="C196" s="297"/>
      <c r="D196" s="132"/>
      <c r="E196" s="132"/>
      <c r="F196" s="316"/>
      <c r="G196" s="52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75" customHeight="1">
      <c r="A197" s="135"/>
      <c r="B197" s="123"/>
      <c r="C197" s="297"/>
      <c r="D197" s="132"/>
      <c r="E197" s="132"/>
      <c r="F197" s="316"/>
      <c r="G197" s="52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75" customHeight="1">
      <c r="A198" s="135" t="s">
        <v>1143</v>
      </c>
      <c r="B198" s="123"/>
      <c r="C198" s="297"/>
      <c r="D198" s="132"/>
      <c r="E198" s="132"/>
      <c r="F198" s="316"/>
      <c r="G198" s="52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75" customHeight="1">
      <c r="A199" s="142"/>
      <c r="B199" s="143"/>
      <c r="C199" s="361">
        <f t="shared" ref="C199:E199" si="16">SUM(C189:C198)</f>
        <v>5128</v>
      </c>
      <c r="D199" s="146">
        <f t="shared" si="16"/>
        <v>139094.09</v>
      </c>
      <c r="E199" s="146">
        <f t="shared" si="16"/>
        <v>144878.09</v>
      </c>
      <c r="F199" s="358"/>
      <c r="G199" s="52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27.75" customHeight="1">
      <c r="A200" s="281" t="s">
        <v>1433</v>
      </c>
      <c r="B200" s="282"/>
      <c r="C200" s="403" t="s">
        <v>299</v>
      </c>
      <c r="D200" s="113" t="s">
        <v>9</v>
      </c>
      <c r="E200" s="284" t="s">
        <v>10</v>
      </c>
      <c r="F200" s="311" t="s">
        <v>11</v>
      </c>
      <c r="G200" s="52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0" customHeight="1">
      <c r="A201" s="194" t="s">
        <v>302</v>
      </c>
      <c r="B201" s="286"/>
      <c r="C201" s="287"/>
      <c r="D201" s="183"/>
      <c r="E201" s="183"/>
      <c r="F201" s="290" t="s">
        <v>1243</v>
      </c>
      <c r="G201" s="52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0" customHeight="1">
      <c r="A202" s="122" t="s">
        <v>303</v>
      </c>
      <c r="B202" s="123" t="s">
        <v>304</v>
      </c>
      <c r="C202" s="292"/>
      <c r="D202" s="186"/>
      <c r="E202" s="186"/>
      <c r="F202" s="300" t="s">
        <v>1434</v>
      </c>
      <c r="G202" s="52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0" customHeight="1">
      <c r="A203" s="128" t="s">
        <v>308</v>
      </c>
      <c r="B203" s="129" t="s">
        <v>309</v>
      </c>
      <c r="C203" s="377">
        <v>746.0</v>
      </c>
      <c r="D203" s="132">
        <v>19516.88</v>
      </c>
      <c r="E203" s="132">
        <v>20327.97</v>
      </c>
      <c r="F203" s="300" t="s">
        <v>1435</v>
      </c>
      <c r="G203" s="52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0" customHeight="1">
      <c r="A204" s="302" t="s">
        <v>1086</v>
      </c>
      <c r="B204" s="201" t="s">
        <v>15</v>
      </c>
      <c r="C204" s="297">
        <v>1318.0</v>
      </c>
      <c r="D204" s="132">
        <v>36478.95</v>
      </c>
      <c r="E204" s="132">
        <v>37994.86</v>
      </c>
      <c r="F204" s="300" t="s">
        <v>1436</v>
      </c>
      <c r="G204" s="52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0" customHeight="1">
      <c r="A205" s="302"/>
      <c r="B205" s="198"/>
      <c r="C205" s="297"/>
      <c r="D205" s="132"/>
      <c r="E205" s="132"/>
      <c r="F205" s="295" t="s">
        <v>1437</v>
      </c>
      <c r="G205" s="52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0" customHeight="1">
      <c r="A206" s="302" t="s">
        <v>1438</v>
      </c>
      <c r="B206" s="198" t="s">
        <v>1439</v>
      </c>
      <c r="C206" s="297"/>
      <c r="D206" s="132"/>
      <c r="E206" s="132"/>
      <c r="F206" s="295" t="s">
        <v>1440</v>
      </c>
      <c r="G206" s="52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0" customHeight="1">
      <c r="A207" s="200"/>
      <c r="B207" s="198"/>
      <c r="C207" s="297"/>
      <c r="D207" s="132"/>
      <c r="E207" s="132"/>
      <c r="F207" s="316" t="s">
        <v>1441</v>
      </c>
      <c r="G207" s="52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0" customHeight="1">
      <c r="A208" s="135" t="s">
        <v>1143</v>
      </c>
      <c r="B208" s="123"/>
      <c r="C208" s="297"/>
      <c r="D208" s="132"/>
      <c r="E208" s="132"/>
      <c r="F208" s="316"/>
      <c r="G208" s="52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8.0" customHeight="1">
      <c r="A209" s="142"/>
      <c r="B209" s="143"/>
      <c r="C209" s="361">
        <f t="shared" ref="C209:E209" si="17">SUM(C201:C208)</f>
        <v>2064</v>
      </c>
      <c r="D209" s="146">
        <f t="shared" si="17"/>
        <v>55995.83</v>
      </c>
      <c r="E209" s="146">
        <f t="shared" si="17"/>
        <v>58322.83</v>
      </c>
      <c r="F209" s="358"/>
      <c r="G209" s="52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34.5" customHeight="1">
      <c r="A210" s="179" t="s">
        <v>1442</v>
      </c>
      <c r="B210" s="149"/>
      <c r="C210" s="362" t="s">
        <v>299</v>
      </c>
      <c r="D210" s="113" t="s">
        <v>9</v>
      </c>
      <c r="E210" s="284" t="s">
        <v>10</v>
      </c>
      <c r="F210" s="311" t="s">
        <v>11</v>
      </c>
      <c r="G210" s="52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36" t="s">
        <v>523</v>
      </c>
      <c r="B211" s="151"/>
      <c r="C211" s="345"/>
      <c r="D211" s="120"/>
      <c r="E211" s="120"/>
      <c r="F211" s="290" t="s">
        <v>1243</v>
      </c>
      <c r="G211" s="52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122" t="s">
        <v>303</v>
      </c>
      <c r="B212" s="123" t="s">
        <v>304</v>
      </c>
      <c r="C212" s="364"/>
      <c r="D212" s="126"/>
      <c r="E212" s="126"/>
      <c r="F212" s="300" t="s">
        <v>1443</v>
      </c>
      <c r="G212" s="52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75" customHeight="1">
      <c r="A213" s="128" t="s">
        <v>308</v>
      </c>
      <c r="B213" s="129" t="s">
        <v>309</v>
      </c>
      <c r="C213" s="297">
        <v>572.0</v>
      </c>
      <c r="D213" s="132">
        <v>14637.42</v>
      </c>
      <c r="E213" s="132">
        <v>15268.85</v>
      </c>
      <c r="F213" s="300" t="s">
        <v>1444</v>
      </c>
      <c r="G213" s="52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75" customHeight="1">
      <c r="A214" s="302" t="s">
        <v>1086</v>
      </c>
      <c r="B214" s="201" t="s">
        <v>15</v>
      </c>
      <c r="C214" s="297">
        <v>2652.0</v>
      </c>
      <c r="D214" s="132">
        <v>68254.41</v>
      </c>
      <c r="E214" s="132">
        <v>71199.98</v>
      </c>
      <c r="F214" s="300" t="s">
        <v>1445</v>
      </c>
      <c r="G214" s="52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75" customHeight="1">
      <c r="A215" s="302"/>
      <c r="B215" s="198"/>
      <c r="C215" s="297"/>
      <c r="D215" s="132"/>
      <c r="E215" s="132"/>
      <c r="F215" s="295" t="s">
        <v>1283</v>
      </c>
      <c r="G215" s="52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75" customHeight="1">
      <c r="A216" s="302" t="s">
        <v>1446</v>
      </c>
      <c r="B216" s="198" t="s">
        <v>1447</v>
      </c>
      <c r="C216" s="297"/>
      <c r="D216" s="132"/>
      <c r="E216" s="132"/>
      <c r="F216" s="295" t="s">
        <v>1448</v>
      </c>
      <c r="G216" s="52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75" customHeight="1">
      <c r="A217" s="302" t="s">
        <v>1449</v>
      </c>
      <c r="B217" s="198"/>
      <c r="C217" s="297"/>
      <c r="D217" s="132"/>
      <c r="E217" s="132"/>
      <c r="F217" s="316" t="s">
        <v>1450</v>
      </c>
      <c r="G217" s="52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75" customHeight="1">
      <c r="A218" s="128"/>
      <c r="B218" s="135"/>
      <c r="C218" s="297"/>
      <c r="D218" s="132"/>
      <c r="E218" s="132"/>
      <c r="F218" s="295"/>
      <c r="G218" s="52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75" customHeight="1">
      <c r="A219" s="128" t="s">
        <v>316</v>
      </c>
      <c r="B219" s="135"/>
      <c r="C219" s="297"/>
      <c r="D219" s="132"/>
      <c r="E219" s="132"/>
      <c r="F219" s="295"/>
      <c r="G219" s="52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8.75" customHeight="1">
      <c r="A220" s="142"/>
      <c r="B220" s="143"/>
      <c r="C220" s="361">
        <f t="shared" ref="C220:E220" si="18">SUM(C211:C219)</f>
        <v>3224</v>
      </c>
      <c r="D220" s="146">
        <f t="shared" si="18"/>
        <v>82891.83</v>
      </c>
      <c r="E220" s="146">
        <f t="shared" si="18"/>
        <v>86468.83</v>
      </c>
      <c r="F220" s="307"/>
      <c r="G220" s="52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34.5" customHeight="1">
      <c r="A221" s="179" t="s">
        <v>1451</v>
      </c>
      <c r="B221" s="149"/>
      <c r="C221" s="362" t="s">
        <v>299</v>
      </c>
      <c r="D221" s="113" t="s">
        <v>9</v>
      </c>
      <c r="E221" s="284" t="s">
        <v>10</v>
      </c>
      <c r="F221" s="311" t="s">
        <v>11</v>
      </c>
      <c r="G221" s="52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36" t="s">
        <v>523</v>
      </c>
      <c r="B222" s="151"/>
      <c r="C222" s="345"/>
      <c r="D222" s="120"/>
      <c r="E222" s="120"/>
      <c r="F222" s="290" t="s">
        <v>1243</v>
      </c>
      <c r="G222" s="52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122" t="s">
        <v>303</v>
      </c>
      <c r="B223" s="123" t="s">
        <v>304</v>
      </c>
      <c r="C223" s="364"/>
      <c r="D223" s="126"/>
      <c r="E223" s="126"/>
      <c r="F223" s="300" t="s">
        <v>1452</v>
      </c>
      <c r="G223" s="52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2.75" customHeight="1">
      <c r="A224" s="128" t="s">
        <v>308</v>
      </c>
      <c r="B224" s="129" t="s">
        <v>309</v>
      </c>
      <c r="C224" s="297">
        <v>156.0</v>
      </c>
      <c r="D224" s="132">
        <v>3964.34</v>
      </c>
      <c r="E224" s="132">
        <v>4133.44</v>
      </c>
      <c r="F224" s="300" t="s">
        <v>1453</v>
      </c>
      <c r="G224" s="52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2.75" customHeight="1">
      <c r="A225" s="302" t="s">
        <v>1086</v>
      </c>
      <c r="B225" s="201" t="s">
        <v>15</v>
      </c>
      <c r="C225" s="297">
        <v>934.0</v>
      </c>
      <c r="D225" s="132">
        <v>24110.33</v>
      </c>
      <c r="E225" s="132">
        <v>25138.73</v>
      </c>
      <c r="F225" s="300" t="s">
        <v>1454</v>
      </c>
      <c r="G225" s="52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2.75" customHeight="1">
      <c r="A226" s="302"/>
      <c r="B226" s="198"/>
      <c r="C226" s="297"/>
      <c r="D226" s="132"/>
      <c r="E226" s="132"/>
      <c r="F226" s="295" t="s">
        <v>1376</v>
      </c>
      <c r="G226" s="52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2.75" customHeight="1">
      <c r="A227" s="302" t="s">
        <v>1455</v>
      </c>
      <c r="B227" s="198"/>
      <c r="C227" s="297"/>
      <c r="D227" s="132"/>
      <c r="E227" s="132"/>
      <c r="F227" s="295" t="s">
        <v>1456</v>
      </c>
      <c r="G227" s="52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2.75" customHeight="1">
      <c r="A228" s="302"/>
      <c r="B228" s="198"/>
      <c r="C228" s="297"/>
      <c r="D228" s="132"/>
      <c r="E228" s="132"/>
      <c r="F228" s="316" t="s">
        <v>1457</v>
      </c>
      <c r="G228" s="52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2.75" customHeight="1">
      <c r="A229" s="128" t="s">
        <v>316</v>
      </c>
      <c r="B229" s="135"/>
      <c r="C229" s="297"/>
      <c r="D229" s="132"/>
      <c r="E229" s="132"/>
      <c r="F229" s="295"/>
      <c r="G229" s="52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8.75" customHeight="1">
      <c r="A230" s="142"/>
      <c r="B230" s="143"/>
      <c r="C230" s="361">
        <f t="shared" ref="C230:E230" si="19">SUM(C222:C229)</f>
        <v>1090</v>
      </c>
      <c r="D230" s="146">
        <f t="shared" si="19"/>
        <v>28074.67</v>
      </c>
      <c r="E230" s="146">
        <f t="shared" si="19"/>
        <v>29272.17</v>
      </c>
      <c r="F230" s="307"/>
      <c r="G230" s="52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34.5" customHeight="1">
      <c r="A231" s="179" t="s">
        <v>1458</v>
      </c>
      <c r="B231" s="149"/>
      <c r="C231" s="362" t="s">
        <v>299</v>
      </c>
      <c r="D231" s="113" t="s">
        <v>9</v>
      </c>
      <c r="E231" s="284" t="s">
        <v>10</v>
      </c>
      <c r="F231" s="311" t="s">
        <v>11</v>
      </c>
      <c r="G231" s="52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36" t="s">
        <v>523</v>
      </c>
      <c r="B232" s="151"/>
      <c r="C232" s="345"/>
      <c r="D232" s="120"/>
      <c r="E232" s="120"/>
      <c r="F232" s="290" t="s">
        <v>1243</v>
      </c>
      <c r="G232" s="52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122" t="s">
        <v>303</v>
      </c>
      <c r="B233" s="123" t="s">
        <v>304</v>
      </c>
      <c r="C233" s="364"/>
      <c r="D233" s="126"/>
      <c r="E233" s="126"/>
      <c r="F233" s="300" t="s">
        <v>1459</v>
      </c>
      <c r="G233" s="52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2.75" customHeight="1">
      <c r="A234" s="128" t="s">
        <v>1332</v>
      </c>
      <c r="B234" s="129" t="s">
        <v>1333</v>
      </c>
      <c r="C234" s="297">
        <v>3380.0</v>
      </c>
      <c r="D234" s="132">
        <v>74940.126</v>
      </c>
      <c r="E234" s="132">
        <v>78824.126</v>
      </c>
      <c r="F234" s="300" t="s">
        <v>1460</v>
      </c>
      <c r="G234" s="52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2.75" customHeight="1">
      <c r="A235" s="302"/>
      <c r="B235" s="198"/>
      <c r="C235" s="297"/>
      <c r="D235" s="132"/>
      <c r="E235" s="132"/>
      <c r="F235" s="300" t="s">
        <v>1461</v>
      </c>
      <c r="G235" s="52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2.75" customHeight="1">
      <c r="A236" s="302" t="s">
        <v>1462</v>
      </c>
      <c r="B236" s="198" t="s">
        <v>1463</v>
      </c>
      <c r="C236" s="297"/>
      <c r="D236" s="132"/>
      <c r="E236" s="132"/>
      <c r="F236" s="295" t="s">
        <v>1464</v>
      </c>
      <c r="G236" s="52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2.75" customHeight="1">
      <c r="A237" s="302" t="s">
        <v>1465</v>
      </c>
      <c r="B237" s="198"/>
      <c r="C237" s="297"/>
      <c r="D237" s="132"/>
      <c r="E237" s="132"/>
      <c r="F237" s="295" t="s">
        <v>1466</v>
      </c>
      <c r="G237" s="52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2.75" customHeight="1">
      <c r="A238" s="128"/>
      <c r="B238" s="198"/>
      <c r="C238" s="297"/>
      <c r="D238" s="132"/>
      <c r="E238" s="132"/>
      <c r="F238" s="316" t="s">
        <v>1467</v>
      </c>
      <c r="G238" s="52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2.75" customHeight="1">
      <c r="A239" s="128" t="s">
        <v>316</v>
      </c>
      <c r="B239" s="198"/>
      <c r="C239" s="297"/>
      <c r="D239" s="132"/>
      <c r="E239" s="132"/>
      <c r="F239" s="316"/>
      <c r="G239" s="52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8.75" customHeight="1">
      <c r="A240" s="142"/>
      <c r="B240" s="143"/>
      <c r="C240" s="361">
        <f t="shared" ref="C240:E240" si="20">SUM(C232:C239)</f>
        <v>3380</v>
      </c>
      <c r="D240" s="146">
        <f t="shared" si="20"/>
        <v>74940.126</v>
      </c>
      <c r="E240" s="146">
        <f t="shared" si="20"/>
        <v>78824.126</v>
      </c>
      <c r="F240" s="307"/>
      <c r="G240" s="52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40.5" customHeight="1">
      <c r="A241" s="110" t="s">
        <v>1468</v>
      </c>
      <c r="B241" s="111"/>
      <c r="C241" s="112" t="s">
        <v>299</v>
      </c>
      <c r="D241" s="113" t="s">
        <v>9</v>
      </c>
      <c r="E241" s="284" t="s">
        <v>10</v>
      </c>
      <c r="F241" s="311" t="s">
        <v>11</v>
      </c>
      <c r="G241" s="52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2.75" customHeight="1">
      <c r="A242" s="116" t="s">
        <v>637</v>
      </c>
      <c r="B242" s="117"/>
      <c r="C242" s="189"/>
      <c r="D242" s="183"/>
      <c r="E242" s="183"/>
      <c r="F242" s="290" t="s">
        <v>1243</v>
      </c>
      <c r="G242" s="52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2.75" customHeight="1">
      <c r="A243" s="197" t="s">
        <v>303</v>
      </c>
      <c r="B243" s="198" t="s">
        <v>304</v>
      </c>
      <c r="C243" s="191"/>
      <c r="D243" s="186"/>
      <c r="E243" s="186"/>
      <c r="F243" s="300" t="s">
        <v>1469</v>
      </c>
      <c r="G243" s="52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2.75" customHeight="1">
      <c r="A244" s="128" t="s">
        <v>308</v>
      </c>
      <c r="B244" s="129" t="s">
        <v>309</v>
      </c>
      <c r="C244" s="192">
        <v>162.0</v>
      </c>
      <c r="D244" s="132">
        <v>3786.69</v>
      </c>
      <c r="E244" s="132">
        <v>3963.49</v>
      </c>
      <c r="F244" s="300" t="s">
        <v>1470</v>
      </c>
      <c r="G244" s="52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2.75" customHeight="1">
      <c r="A245" s="302" t="s">
        <v>1086</v>
      </c>
      <c r="B245" s="201" t="s">
        <v>15</v>
      </c>
      <c r="C245" s="192">
        <v>4545.0</v>
      </c>
      <c r="D245" s="132">
        <v>105995.45</v>
      </c>
      <c r="E245" s="132">
        <v>110944.9</v>
      </c>
      <c r="F245" s="300" t="s">
        <v>1471</v>
      </c>
      <c r="G245" s="52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2.75" customHeight="1">
      <c r="A246" s="200"/>
      <c r="B246" s="198"/>
      <c r="C246" s="192"/>
      <c r="D246" s="132"/>
      <c r="E246" s="132"/>
      <c r="F246" s="295" t="s">
        <v>1472</v>
      </c>
      <c r="G246" s="52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0" customHeight="1">
      <c r="A247" s="302" t="s">
        <v>1473</v>
      </c>
      <c r="B247" s="198" t="s">
        <v>1474</v>
      </c>
      <c r="C247" s="192"/>
      <c r="D247" s="132"/>
      <c r="E247" s="132"/>
      <c r="F247" s="295" t="s">
        <v>1475</v>
      </c>
      <c r="G247" s="52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0" customHeight="1">
      <c r="A248" s="302" t="s">
        <v>1476</v>
      </c>
      <c r="B248" s="198" t="s">
        <v>1477</v>
      </c>
      <c r="C248" s="192"/>
      <c r="D248" s="132"/>
      <c r="E248" s="132"/>
      <c r="F248" s="316" t="s">
        <v>1478</v>
      </c>
      <c r="G248" s="52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0" customHeight="1">
      <c r="A249" s="200"/>
      <c r="B249" s="395"/>
      <c r="C249" s="192"/>
      <c r="D249" s="132"/>
      <c r="E249" s="132"/>
      <c r="F249" s="316"/>
      <c r="G249" s="52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0" customHeight="1">
      <c r="A250" s="128" t="s">
        <v>316</v>
      </c>
      <c r="B250" s="395"/>
      <c r="C250" s="192"/>
      <c r="D250" s="132"/>
      <c r="E250" s="132"/>
      <c r="F250" s="316"/>
      <c r="G250" s="52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8.75" customHeight="1">
      <c r="A251" s="142"/>
      <c r="B251" s="143"/>
      <c r="C251" s="355">
        <f t="shared" ref="C251:E251" si="21">SUM(C242:C250)</f>
        <v>4707</v>
      </c>
      <c r="D251" s="146">
        <f t="shared" si="21"/>
        <v>109782.14</v>
      </c>
      <c r="E251" s="146">
        <f t="shared" si="21"/>
        <v>114908.39</v>
      </c>
      <c r="F251" s="307"/>
      <c r="G251" s="52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40.5" customHeight="1">
      <c r="A252" s="110" t="s">
        <v>1479</v>
      </c>
      <c r="B252" s="111"/>
      <c r="C252" s="112" t="s">
        <v>299</v>
      </c>
      <c r="D252" s="113" t="s">
        <v>9</v>
      </c>
      <c r="E252" s="284" t="s">
        <v>10</v>
      </c>
      <c r="F252" s="311" t="s">
        <v>11</v>
      </c>
      <c r="G252" s="52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2.75" customHeight="1">
      <c r="A253" s="116" t="s">
        <v>637</v>
      </c>
      <c r="B253" s="117"/>
      <c r="C253" s="189"/>
      <c r="D253" s="183"/>
      <c r="E253" s="183"/>
      <c r="F253" s="290" t="s">
        <v>1243</v>
      </c>
      <c r="G253" s="52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2.75" customHeight="1">
      <c r="A254" s="197" t="s">
        <v>303</v>
      </c>
      <c r="B254" s="198" t="s">
        <v>304</v>
      </c>
      <c r="C254" s="191"/>
      <c r="D254" s="186"/>
      <c r="E254" s="186"/>
      <c r="F254" s="300" t="s">
        <v>1480</v>
      </c>
      <c r="G254" s="52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2.75" customHeight="1">
      <c r="A255" s="128" t="s">
        <v>308</v>
      </c>
      <c r="B255" s="129" t="s">
        <v>309</v>
      </c>
      <c r="C255" s="192">
        <v>45.0</v>
      </c>
      <c r="D255" s="132">
        <v>1054.64</v>
      </c>
      <c r="E255" s="132">
        <v>1103.99</v>
      </c>
      <c r="F255" s="300" t="s">
        <v>1481</v>
      </c>
      <c r="G255" s="52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2.75" customHeight="1">
      <c r="A256" s="302" t="s">
        <v>1086</v>
      </c>
      <c r="B256" s="201" t="s">
        <v>15</v>
      </c>
      <c r="C256" s="192">
        <v>2324.0</v>
      </c>
      <c r="D256" s="132">
        <v>54426.84</v>
      </c>
      <c r="E256" s="132">
        <v>56971.24</v>
      </c>
      <c r="F256" s="300" t="s">
        <v>1482</v>
      </c>
      <c r="G256" s="52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2.75" customHeight="1">
      <c r="A257" s="302"/>
      <c r="B257" s="198"/>
      <c r="C257" s="192"/>
      <c r="D257" s="132"/>
      <c r="E257" s="132"/>
      <c r="F257" s="295" t="s">
        <v>1483</v>
      </c>
      <c r="G257" s="52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0" customHeight="1">
      <c r="A258" s="302" t="s">
        <v>1484</v>
      </c>
      <c r="B258" s="198" t="s">
        <v>1485</v>
      </c>
      <c r="C258" s="192"/>
      <c r="D258" s="132"/>
      <c r="E258" s="132"/>
      <c r="F258" s="295" t="s">
        <v>1486</v>
      </c>
      <c r="G258" s="52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0" customHeight="1">
      <c r="A259" s="302" t="s">
        <v>1487</v>
      </c>
      <c r="B259" s="198"/>
      <c r="C259" s="192"/>
      <c r="D259" s="132"/>
      <c r="E259" s="132"/>
      <c r="F259" s="316" t="s">
        <v>1488</v>
      </c>
      <c r="G259" s="52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0" customHeight="1">
      <c r="A260" s="200"/>
      <c r="B260" s="395"/>
      <c r="C260" s="192"/>
      <c r="D260" s="132"/>
      <c r="E260" s="132"/>
      <c r="F260" s="316"/>
      <c r="G260" s="52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0" customHeight="1">
      <c r="A261" s="128" t="s">
        <v>316</v>
      </c>
      <c r="B261" s="395"/>
      <c r="C261" s="192"/>
      <c r="D261" s="132"/>
      <c r="E261" s="132"/>
      <c r="F261" s="316"/>
      <c r="G261" s="52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8.75" customHeight="1">
      <c r="A262" s="142"/>
      <c r="B262" s="143"/>
      <c r="C262" s="355">
        <f t="shared" ref="C262:E262" si="22">SUM(C253:C261)</f>
        <v>2369</v>
      </c>
      <c r="D262" s="146">
        <f t="shared" si="22"/>
        <v>55481.48</v>
      </c>
      <c r="E262" s="146">
        <f t="shared" si="22"/>
        <v>58075.23</v>
      </c>
      <c r="F262" s="307"/>
      <c r="G262" s="52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37.5" customHeight="1">
      <c r="A263" s="179" t="s">
        <v>1489</v>
      </c>
      <c r="B263" s="149"/>
      <c r="C263" s="112" t="s">
        <v>299</v>
      </c>
      <c r="D263" s="113" t="s">
        <v>9</v>
      </c>
      <c r="E263" s="284" t="s">
        <v>10</v>
      </c>
      <c r="F263" s="311" t="s">
        <v>11</v>
      </c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2.75" customHeight="1">
      <c r="A264" s="194" t="s">
        <v>440</v>
      </c>
      <c r="B264" s="195"/>
      <c r="C264" s="287"/>
      <c r="D264" s="390"/>
      <c r="E264" s="183"/>
      <c r="F264" s="290" t="s">
        <v>1243</v>
      </c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2.75" customHeight="1">
      <c r="A265" s="122" t="s">
        <v>303</v>
      </c>
      <c r="B265" s="123" t="s">
        <v>304</v>
      </c>
      <c r="C265" s="292"/>
      <c r="D265" s="391"/>
      <c r="E265" s="186"/>
      <c r="F265" s="300" t="s">
        <v>1490</v>
      </c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2.75" customHeight="1">
      <c r="A266" s="128" t="s">
        <v>1225</v>
      </c>
      <c r="B266" s="129" t="s">
        <v>1226</v>
      </c>
      <c r="C266" s="297">
        <v>1069.0</v>
      </c>
      <c r="D266" s="392">
        <v>28003.03</v>
      </c>
      <c r="E266" s="246">
        <v>29322.78</v>
      </c>
      <c r="F266" s="300" t="s">
        <v>1491</v>
      </c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2.75" customHeight="1">
      <c r="A267" s="302"/>
      <c r="B267" s="198"/>
      <c r="C267" s="297"/>
      <c r="D267" s="392"/>
      <c r="E267" s="132"/>
      <c r="F267" s="300" t="s">
        <v>1492</v>
      </c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2.75" customHeight="1">
      <c r="A268" s="200" t="s">
        <v>1493</v>
      </c>
      <c r="B268" s="198"/>
      <c r="C268" s="297"/>
      <c r="D268" s="392"/>
      <c r="E268" s="132"/>
      <c r="F268" s="295" t="s">
        <v>1494</v>
      </c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2.75" customHeight="1">
      <c r="A269" s="200"/>
      <c r="B269" s="198"/>
      <c r="C269" s="297"/>
      <c r="D269" s="392"/>
      <c r="E269" s="132"/>
      <c r="F269" s="295" t="s">
        <v>1495</v>
      </c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2.75" customHeight="1">
      <c r="A270" s="128" t="s">
        <v>316</v>
      </c>
      <c r="B270" s="198"/>
      <c r="C270" s="297"/>
      <c r="D270" s="392"/>
      <c r="E270" s="132"/>
      <c r="F270" s="316" t="s">
        <v>1496</v>
      </c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8.75" customHeight="1">
      <c r="A271" s="142"/>
      <c r="B271" s="143"/>
      <c r="C271" s="361">
        <f t="shared" ref="C271:E271" si="23">SUM(C264:C270)</f>
        <v>1069</v>
      </c>
      <c r="D271" s="393">
        <f t="shared" si="23"/>
        <v>28003.03</v>
      </c>
      <c r="E271" s="146">
        <f t="shared" si="23"/>
        <v>29322.78</v>
      </c>
      <c r="F271" s="39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29.25" customHeight="1">
      <c r="A272" s="179" t="s">
        <v>1497</v>
      </c>
      <c r="B272" s="149"/>
      <c r="C272" s="112" t="s">
        <v>299</v>
      </c>
      <c r="D272" s="113" t="s">
        <v>9</v>
      </c>
      <c r="E272" s="284" t="s">
        <v>10</v>
      </c>
      <c r="F272" s="311" t="s">
        <v>11</v>
      </c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2.75" customHeight="1">
      <c r="A273" s="194" t="s">
        <v>440</v>
      </c>
      <c r="B273" s="195"/>
      <c r="C273" s="287"/>
      <c r="D273" s="390"/>
      <c r="E273" s="183"/>
      <c r="F273" s="290" t="s">
        <v>1243</v>
      </c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2.75" customHeight="1">
      <c r="A274" s="122" t="s">
        <v>303</v>
      </c>
      <c r="B274" s="123" t="s">
        <v>304</v>
      </c>
      <c r="C274" s="292"/>
      <c r="D274" s="391"/>
      <c r="E274" s="186"/>
      <c r="F274" s="300" t="s">
        <v>1498</v>
      </c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2.75" customHeight="1">
      <c r="A275" s="128" t="s">
        <v>1332</v>
      </c>
      <c r="B275" s="129" t="s">
        <v>1333</v>
      </c>
      <c r="C275" s="297">
        <v>1283.0</v>
      </c>
      <c r="D275" s="392">
        <v>28019.54</v>
      </c>
      <c r="E275" s="246">
        <v>29546.79</v>
      </c>
      <c r="F275" s="300" t="s">
        <v>1499</v>
      </c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2.75" customHeight="1">
      <c r="A276" s="302"/>
      <c r="B276" s="198"/>
      <c r="C276" s="297"/>
      <c r="D276" s="392"/>
      <c r="E276" s="132"/>
      <c r="F276" s="300" t="s">
        <v>1500</v>
      </c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2.75" customHeight="1">
      <c r="A277" s="200" t="s">
        <v>1501</v>
      </c>
      <c r="B277" s="198"/>
      <c r="C277" s="297"/>
      <c r="D277" s="392"/>
      <c r="E277" s="132"/>
      <c r="F277" s="295" t="s">
        <v>1502</v>
      </c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2.75" customHeight="1">
      <c r="A278" s="200"/>
      <c r="B278" s="198"/>
      <c r="C278" s="297"/>
      <c r="D278" s="392"/>
      <c r="E278" s="132"/>
      <c r="F278" s="295" t="s">
        <v>1503</v>
      </c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2.75" customHeight="1">
      <c r="A279" s="128" t="s">
        <v>316</v>
      </c>
      <c r="B279" s="198"/>
      <c r="C279" s="297"/>
      <c r="D279" s="392"/>
      <c r="E279" s="132"/>
      <c r="F279" s="316" t="s">
        <v>1504</v>
      </c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2.75" customHeight="1">
      <c r="A280" s="142"/>
      <c r="B280" s="143"/>
      <c r="C280" s="361">
        <f t="shared" ref="C280:E280" si="24">SUM(C273:C279)</f>
        <v>1283</v>
      </c>
      <c r="D280" s="393">
        <f t="shared" si="24"/>
        <v>28019.54</v>
      </c>
      <c r="E280" s="146">
        <f t="shared" si="24"/>
        <v>29546.79</v>
      </c>
      <c r="F280" s="39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8.75" customHeight="1">
      <c r="A281" s="203"/>
      <c r="B281" s="143"/>
      <c r="C281" s="144"/>
      <c r="D281" s="145"/>
      <c r="E281" s="146"/>
      <c r="F281" s="147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8.0" customHeight="1">
      <c r="A282" s="266"/>
      <c r="B282" s="267"/>
      <c r="C282" s="268" t="s">
        <v>292</v>
      </c>
      <c r="D282" s="269" t="s">
        <v>292</v>
      </c>
      <c r="E282" s="270" t="s">
        <v>292</v>
      </c>
      <c r="F282" s="271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8.75" customHeight="1">
      <c r="A283" s="272"/>
      <c r="B283" s="273"/>
      <c r="C283" s="274">
        <f t="shared" ref="C283:E283" si="25">SUM(C19+C28+C52+C63+C83+C95+C104+C116+C126+C136+C145+C155+C166+C176+C187+C199+C209+C220+C230+C240+C251+C262+C271+C280)</f>
        <v>119038</v>
      </c>
      <c r="D283" s="98">
        <f t="shared" si="25"/>
        <v>3005045.077</v>
      </c>
      <c r="E283" s="98">
        <f t="shared" si="25"/>
        <v>3141156</v>
      </c>
      <c r="F283" s="277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2.75" customHeight="1">
      <c r="A284" s="4"/>
      <c r="B284" s="101"/>
      <c r="C284" s="4"/>
      <c r="D284" s="102"/>
      <c r="E284" s="102"/>
      <c r="F284" s="10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2.75" customHeight="1">
      <c r="A285" s="4"/>
      <c r="B285" s="101"/>
      <c r="C285" s="4"/>
      <c r="D285" s="102"/>
      <c r="E285" s="102"/>
      <c r="F285" s="10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84:B84"/>
    <mergeCell ref="A96:B96"/>
    <mergeCell ref="A188:B188"/>
    <mergeCell ref="A200:B200"/>
    <mergeCell ref="A1:F1"/>
    <mergeCell ref="A2:F2"/>
    <mergeCell ref="A3:F3"/>
    <mergeCell ref="A4:F4"/>
    <mergeCell ref="D7:E7"/>
    <mergeCell ref="A9:F9"/>
    <mergeCell ref="A64:B64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2.63" defaultRowHeight="15.0"/>
  <cols>
    <col customWidth="1" min="1" max="1" width="52.5"/>
    <col customWidth="1" min="2" max="2" width="49.5"/>
    <col customWidth="1" min="3" max="3" width="21.88"/>
    <col customWidth="1" min="4" max="4" width="20.5"/>
    <col customWidth="1" min="5" max="5" width="22.88"/>
    <col customWidth="1" min="6" max="6" width="71.5"/>
    <col customWidth="1" min="7" max="7" width="50.13"/>
    <col customWidth="1" min="8" max="26" width="8.0"/>
  </cols>
  <sheetData>
    <row r="1" ht="12.75" customHeight="1">
      <c r="A1" s="1" t="s">
        <v>0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2.75" customHeight="1">
      <c r="A2" s="5" t="s">
        <v>1</v>
      </c>
      <c r="B2" s="6"/>
      <c r="C2" s="6"/>
      <c r="D2" s="6"/>
      <c r="E2" s="6"/>
      <c r="F2" s="7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2.75" customHeight="1">
      <c r="A3" s="5" t="s">
        <v>2</v>
      </c>
      <c r="B3" s="6"/>
      <c r="C3" s="6"/>
      <c r="D3" s="6"/>
      <c r="E3" s="6"/>
      <c r="F3" s="7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2.75" customHeight="1">
      <c r="A4" s="5" t="s">
        <v>3</v>
      </c>
      <c r="B4" s="6"/>
      <c r="C4" s="6"/>
      <c r="D4" s="6"/>
      <c r="E4" s="6"/>
      <c r="F4" s="7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2.75" customHeight="1">
      <c r="A5" s="8"/>
      <c r="B5" s="9"/>
      <c r="C5" s="10"/>
      <c r="D5" s="11"/>
      <c r="E5" s="11"/>
      <c r="F5" s="12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2.75" customHeight="1">
      <c r="A6" s="13"/>
      <c r="B6" s="9"/>
      <c r="C6" s="10"/>
      <c r="D6" s="14"/>
      <c r="E6" s="14"/>
      <c r="F6" s="15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30.0" customHeight="1">
      <c r="A7" s="16"/>
      <c r="B7" s="9"/>
      <c r="C7" s="17"/>
      <c r="D7" s="18"/>
      <c r="E7" s="19"/>
      <c r="F7" s="15" t="s">
        <v>1505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0.0" customHeight="1">
      <c r="A8" s="20" t="s">
        <v>5</v>
      </c>
      <c r="B8" s="21"/>
      <c r="C8" s="22"/>
      <c r="D8" s="23"/>
      <c r="E8" s="23"/>
      <c r="F8" s="2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7.75" customHeight="1">
      <c r="A9" s="25" t="s">
        <v>1506</v>
      </c>
      <c r="B9" s="26"/>
      <c r="C9" s="26"/>
      <c r="D9" s="26"/>
      <c r="E9" s="26"/>
      <c r="F9" s="27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8.5" customHeight="1">
      <c r="A10" s="28"/>
      <c r="B10" s="29"/>
      <c r="C10" s="29"/>
      <c r="D10" s="30"/>
      <c r="E10" s="30"/>
      <c r="F10" s="31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</row>
    <row r="11" ht="22.5" customHeight="1">
      <c r="A11" s="33" t="s">
        <v>1507</v>
      </c>
      <c r="B11" s="27"/>
      <c r="C11" s="411" t="s">
        <v>8</v>
      </c>
      <c r="D11" s="411" t="s">
        <v>9</v>
      </c>
      <c r="E11" s="412" t="s">
        <v>10</v>
      </c>
      <c r="F11" s="413" t="s">
        <v>11</v>
      </c>
      <c r="G11" s="414"/>
      <c r="H11" s="414"/>
      <c r="I11" s="414"/>
      <c r="J11" s="414"/>
      <c r="K11" s="414"/>
      <c r="L11" s="414"/>
      <c r="M11" s="414"/>
      <c r="N11" s="414"/>
      <c r="O11" s="414"/>
      <c r="P11" s="414"/>
      <c r="Q11" s="414"/>
      <c r="R11" s="414"/>
      <c r="S11" s="414"/>
      <c r="T11" s="414"/>
      <c r="U11" s="414"/>
      <c r="V11" s="414"/>
      <c r="W11" s="414"/>
      <c r="X11" s="414"/>
      <c r="Y11" s="414"/>
      <c r="Z11" s="414"/>
    </row>
    <row r="12" ht="15.75" customHeight="1">
      <c r="A12" s="187" t="s">
        <v>12</v>
      </c>
      <c r="B12" s="37"/>
      <c r="C12" s="38"/>
      <c r="D12" s="39"/>
      <c r="E12" s="243"/>
      <c r="F12" s="356" t="s">
        <v>13</v>
      </c>
      <c r="G12" s="414"/>
      <c r="H12" s="414"/>
      <c r="I12" s="414"/>
      <c r="J12" s="414"/>
      <c r="K12" s="414"/>
      <c r="L12" s="414"/>
      <c r="M12" s="414"/>
      <c r="N12" s="414"/>
      <c r="O12" s="414"/>
      <c r="P12" s="414"/>
      <c r="Q12" s="414"/>
      <c r="R12" s="414"/>
      <c r="S12" s="414"/>
      <c r="T12" s="414"/>
      <c r="U12" s="414"/>
      <c r="V12" s="414"/>
      <c r="W12" s="414"/>
      <c r="X12" s="414"/>
      <c r="Y12" s="414"/>
      <c r="Z12" s="414"/>
    </row>
    <row r="13" ht="15.75" customHeight="1">
      <c r="A13" s="173" t="s">
        <v>1508</v>
      </c>
      <c r="B13" s="415" t="s">
        <v>15</v>
      </c>
      <c r="C13" s="44">
        <v>1104.0</v>
      </c>
      <c r="D13" s="45">
        <v>27935.74</v>
      </c>
      <c r="E13" s="246">
        <v>29284.14</v>
      </c>
      <c r="F13" s="356" t="s">
        <v>1509</v>
      </c>
      <c r="G13" s="414"/>
      <c r="H13" s="414"/>
      <c r="I13" s="414"/>
      <c r="J13" s="414"/>
      <c r="K13" s="414"/>
      <c r="L13" s="414"/>
      <c r="M13" s="414"/>
      <c r="N13" s="414"/>
      <c r="O13" s="414"/>
      <c r="P13" s="414"/>
      <c r="Q13" s="414"/>
      <c r="R13" s="414"/>
      <c r="S13" s="414"/>
      <c r="T13" s="414"/>
      <c r="U13" s="414"/>
      <c r="V13" s="414"/>
      <c r="W13" s="414"/>
      <c r="X13" s="414"/>
      <c r="Y13" s="414"/>
      <c r="Z13" s="414"/>
    </row>
    <row r="14" ht="12.75" customHeight="1">
      <c r="A14" s="416" t="s">
        <v>1510</v>
      </c>
      <c r="B14" s="161"/>
      <c r="C14" s="50"/>
      <c r="D14" s="45"/>
      <c r="E14" s="246"/>
      <c r="F14" s="357" t="s">
        <v>1511</v>
      </c>
      <c r="G14" s="52"/>
      <c r="H14" s="414"/>
      <c r="I14" s="414"/>
      <c r="J14" s="414"/>
      <c r="K14" s="414"/>
      <c r="L14" s="414"/>
      <c r="M14" s="414"/>
      <c r="N14" s="414"/>
      <c r="O14" s="414"/>
      <c r="P14" s="414"/>
      <c r="Q14" s="414"/>
      <c r="R14" s="414"/>
      <c r="S14" s="414"/>
      <c r="T14" s="414"/>
      <c r="U14" s="414"/>
      <c r="V14" s="414"/>
      <c r="W14" s="414"/>
      <c r="X14" s="414"/>
      <c r="Y14" s="414"/>
      <c r="Z14" s="414"/>
    </row>
    <row r="15" ht="12.75" customHeight="1">
      <c r="A15" s="417"/>
      <c r="B15" s="418"/>
      <c r="C15" s="55"/>
      <c r="D15" s="56"/>
      <c r="E15" s="419"/>
      <c r="F15" s="420" t="s">
        <v>1512</v>
      </c>
      <c r="G15" s="52"/>
      <c r="H15" s="414"/>
      <c r="I15" s="414"/>
      <c r="J15" s="414"/>
      <c r="K15" s="414"/>
      <c r="L15" s="414"/>
      <c r="M15" s="414"/>
      <c r="N15" s="414"/>
      <c r="O15" s="414"/>
      <c r="P15" s="414"/>
      <c r="Q15" s="414"/>
      <c r="R15" s="414"/>
      <c r="S15" s="414"/>
      <c r="T15" s="414"/>
      <c r="U15" s="414"/>
      <c r="V15" s="414"/>
      <c r="W15" s="414"/>
      <c r="X15" s="414"/>
      <c r="Y15" s="414"/>
      <c r="Z15" s="414"/>
    </row>
    <row r="16" ht="12.75" customHeight="1">
      <c r="A16" s="33" t="s">
        <v>1513</v>
      </c>
      <c r="B16" s="27"/>
      <c r="C16" s="421" t="s">
        <v>8</v>
      </c>
      <c r="D16" s="422" t="s">
        <v>9</v>
      </c>
      <c r="E16" s="422" t="s">
        <v>10</v>
      </c>
      <c r="F16" s="423" t="s">
        <v>11</v>
      </c>
      <c r="G16" s="52"/>
      <c r="H16" s="414"/>
      <c r="I16" s="414"/>
      <c r="J16" s="414"/>
      <c r="K16" s="414"/>
      <c r="L16" s="414"/>
      <c r="M16" s="414"/>
      <c r="N16" s="414"/>
      <c r="O16" s="414"/>
      <c r="P16" s="414"/>
      <c r="Q16" s="414"/>
      <c r="R16" s="414"/>
      <c r="S16" s="414"/>
      <c r="T16" s="414"/>
      <c r="U16" s="414"/>
      <c r="V16" s="414"/>
      <c r="W16" s="414"/>
      <c r="X16" s="414"/>
      <c r="Y16" s="414"/>
      <c r="Z16" s="414"/>
    </row>
    <row r="17" ht="12.75" customHeight="1">
      <c r="A17" s="187" t="s">
        <v>12</v>
      </c>
      <c r="B17" s="37"/>
      <c r="C17" s="62"/>
      <c r="D17" s="39"/>
      <c r="E17" s="39"/>
      <c r="F17" s="424" t="s">
        <v>13</v>
      </c>
      <c r="G17" s="52"/>
      <c r="H17" s="414"/>
      <c r="I17" s="414"/>
      <c r="J17" s="414"/>
      <c r="K17" s="414"/>
      <c r="L17" s="414"/>
      <c r="M17" s="414"/>
      <c r="N17" s="414"/>
      <c r="O17" s="414"/>
      <c r="P17" s="414"/>
      <c r="Q17" s="414"/>
      <c r="R17" s="414"/>
      <c r="S17" s="414"/>
      <c r="T17" s="414"/>
      <c r="U17" s="414"/>
      <c r="V17" s="414"/>
      <c r="W17" s="414"/>
      <c r="X17" s="414"/>
      <c r="Y17" s="414"/>
      <c r="Z17" s="414"/>
    </row>
    <row r="18" ht="12.75" customHeight="1">
      <c r="A18" s="173" t="s">
        <v>1508</v>
      </c>
      <c r="B18" s="415" t="s">
        <v>15</v>
      </c>
      <c r="C18" s="50">
        <v>900.0</v>
      </c>
      <c r="D18" s="45">
        <v>26195.92</v>
      </c>
      <c r="E18" s="45">
        <v>27308.92</v>
      </c>
      <c r="F18" s="424" t="s">
        <v>1514</v>
      </c>
      <c r="G18" s="52"/>
      <c r="H18" s="414"/>
      <c r="I18" s="414"/>
      <c r="J18" s="414"/>
      <c r="K18" s="414"/>
      <c r="L18" s="414"/>
      <c r="M18" s="414"/>
      <c r="N18" s="414"/>
      <c r="O18" s="414"/>
      <c r="P18" s="414"/>
      <c r="Q18" s="414"/>
      <c r="R18" s="414"/>
      <c r="S18" s="414"/>
      <c r="T18" s="414"/>
      <c r="U18" s="414"/>
      <c r="V18" s="414"/>
      <c r="W18" s="414"/>
      <c r="X18" s="414"/>
      <c r="Y18" s="414"/>
      <c r="Z18" s="414"/>
    </row>
    <row r="19" ht="15.75" customHeight="1">
      <c r="A19" s="416" t="s">
        <v>1515</v>
      </c>
      <c r="B19" s="161"/>
      <c r="C19" s="50"/>
      <c r="D19" s="45"/>
      <c r="E19" s="45"/>
      <c r="F19" s="365" t="s">
        <v>1516</v>
      </c>
      <c r="G19" s="52"/>
      <c r="H19" s="414"/>
      <c r="I19" s="414"/>
      <c r="J19" s="414"/>
      <c r="K19" s="414"/>
      <c r="L19" s="414"/>
      <c r="M19" s="414"/>
      <c r="N19" s="414"/>
      <c r="O19" s="414"/>
      <c r="P19" s="414"/>
      <c r="Q19" s="414"/>
      <c r="R19" s="414"/>
      <c r="S19" s="414"/>
      <c r="T19" s="414"/>
      <c r="U19" s="414"/>
      <c r="V19" s="414"/>
      <c r="W19" s="414"/>
      <c r="X19" s="414"/>
      <c r="Y19" s="414"/>
      <c r="Z19" s="414"/>
    </row>
    <row r="20" ht="14.25" customHeight="1">
      <c r="A20" s="417"/>
      <c r="B20" s="418"/>
      <c r="C20" s="55"/>
      <c r="D20" s="56"/>
      <c r="E20" s="56"/>
      <c r="F20" s="357" t="s">
        <v>1517</v>
      </c>
      <c r="G20" s="52"/>
      <c r="H20" s="414"/>
      <c r="I20" s="414"/>
      <c r="J20" s="414"/>
      <c r="K20" s="414"/>
      <c r="L20" s="414"/>
      <c r="M20" s="414"/>
      <c r="N20" s="414"/>
      <c r="O20" s="414"/>
      <c r="P20" s="414"/>
      <c r="Q20" s="414"/>
      <c r="R20" s="414"/>
      <c r="S20" s="414"/>
      <c r="T20" s="414"/>
      <c r="U20" s="414"/>
      <c r="V20" s="414"/>
      <c r="W20" s="414"/>
      <c r="X20" s="414"/>
      <c r="Y20" s="414"/>
      <c r="Z20" s="414"/>
    </row>
    <row r="21" ht="12.75" customHeight="1">
      <c r="A21" s="33" t="s">
        <v>1518</v>
      </c>
      <c r="B21" s="27"/>
      <c r="C21" s="421" t="s">
        <v>8</v>
      </c>
      <c r="D21" s="422" t="s">
        <v>9</v>
      </c>
      <c r="E21" s="422" t="s">
        <v>10</v>
      </c>
      <c r="F21" s="423" t="s">
        <v>11</v>
      </c>
      <c r="G21" s="52"/>
      <c r="H21" s="414"/>
      <c r="I21" s="414"/>
      <c r="J21" s="414"/>
      <c r="K21" s="414"/>
      <c r="L21" s="414"/>
      <c r="M21" s="414"/>
      <c r="N21" s="414"/>
      <c r="O21" s="414"/>
      <c r="P21" s="414"/>
      <c r="Q21" s="414"/>
      <c r="R21" s="414"/>
      <c r="S21" s="414"/>
      <c r="T21" s="414"/>
      <c r="U21" s="414"/>
      <c r="V21" s="414"/>
      <c r="W21" s="414"/>
      <c r="X21" s="414"/>
      <c r="Y21" s="414"/>
      <c r="Z21" s="414"/>
    </row>
    <row r="22" ht="12.75" customHeight="1">
      <c r="A22" s="187" t="s">
        <v>12</v>
      </c>
      <c r="B22" s="37"/>
      <c r="C22" s="62"/>
      <c r="D22" s="39"/>
      <c r="E22" s="39"/>
      <c r="F22" s="424" t="s">
        <v>13</v>
      </c>
      <c r="G22" s="52"/>
      <c r="H22" s="414"/>
      <c r="I22" s="414"/>
      <c r="J22" s="414"/>
      <c r="K22" s="414"/>
      <c r="L22" s="414"/>
      <c r="M22" s="414"/>
      <c r="N22" s="414"/>
      <c r="O22" s="414"/>
      <c r="P22" s="414"/>
      <c r="Q22" s="414"/>
      <c r="R22" s="414"/>
      <c r="S22" s="414"/>
      <c r="T22" s="414"/>
      <c r="U22" s="414"/>
      <c r="V22" s="414"/>
      <c r="W22" s="414"/>
      <c r="X22" s="414"/>
      <c r="Y22" s="414"/>
      <c r="Z22" s="414"/>
    </row>
    <row r="23" ht="12.75" customHeight="1">
      <c r="A23" s="173" t="s">
        <v>1508</v>
      </c>
      <c r="B23" s="415" t="s">
        <v>15</v>
      </c>
      <c r="C23" s="50">
        <v>1013.0</v>
      </c>
      <c r="D23" s="45">
        <v>27999.29</v>
      </c>
      <c r="E23" s="45">
        <v>29260.6</v>
      </c>
      <c r="F23" s="424" t="s">
        <v>1519</v>
      </c>
      <c r="G23" s="52"/>
      <c r="H23" s="414"/>
      <c r="I23" s="414"/>
      <c r="J23" s="414"/>
      <c r="K23" s="414"/>
      <c r="L23" s="414"/>
      <c r="M23" s="414"/>
      <c r="N23" s="414"/>
      <c r="O23" s="414"/>
      <c r="P23" s="414"/>
      <c r="Q23" s="414"/>
      <c r="R23" s="414"/>
      <c r="S23" s="414"/>
      <c r="T23" s="414"/>
      <c r="U23" s="414"/>
      <c r="V23" s="414"/>
      <c r="W23" s="414"/>
      <c r="X23" s="414"/>
      <c r="Y23" s="414"/>
      <c r="Z23" s="414"/>
    </row>
    <row r="24" ht="15.75" customHeight="1">
      <c r="A24" s="416" t="s">
        <v>1520</v>
      </c>
      <c r="B24" s="161"/>
      <c r="C24" s="50"/>
      <c r="D24" s="45"/>
      <c r="E24" s="45"/>
      <c r="F24" s="365" t="s">
        <v>1521</v>
      </c>
      <c r="G24" s="52"/>
      <c r="H24" s="414"/>
      <c r="I24" s="414"/>
      <c r="J24" s="414"/>
      <c r="K24" s="414"/>
      <c r="L24" s="414"/>
      <c r="M24" s="414"/>
      <c r="N24" s="414"/>
      <c r="O24" s="414"/>
      <c r="P24" s="414"/>
      <c r="Q24" s="414"/>
      <c r="R24" s="414"/>
      <c r="S24" s="414"/>
      <c r="T24" s="414"/>
      <c r="U24" s="414"/>
      <c r="V24" s="414"/>
      <c r="W24" s="414"/>
      <c r="X24" s="414"/>
      <c r="Y24" s="414"/>
      <c r="Z24" s="414"/>
    </row>
    <row r="25" ht="14.25" customHeight="1">
      <c r="A25" s="417"/>
      <c r="B25" s="418"/>
      <c r="C25" s="55"/>
      <c r="D25" s="56"/>
      <c r="E25" s="56"/>
      <c r="F25" s="357" t="s">
        <v>1522</v>
      </c>
      <c r="G25" s="52"/>
      <c r="H25" s="414"/>
      <c r="I25" s="414"/>
      <c r="J25" s="414"/>
      <c r="K25" s="414"/>
      <c r="L25" s="414"/>
      <c r="M25" s="414"/>
      <c r="N25" s="414"/>
      <c r="O25" s="414"/>
      <c r="P25" s="414"/>
      <c r="Q25" s="414"/>
      <c r="R25" s="414"/>
      <c r="S25" s="414"/>
      <c r="T25" s="414"/>
      <c r="U25" s="414"/>
      <c r="V25" s="414"/>
      <c r="W25" s="414"/>
      <c r="X25" s="414"/>
      <c r="Y25" s="414"/>
      <c r="Z25" s="414"/>
    </row>
    <row r="26" ht="21.75" customHeight="1">
      <c r="A26" s="33" t="s">
        <v>1523</v>
      </c>
      <c r="B26" s="27"/>
      <c r="C26" s="421" t="s">
        <v>8</v>
      </c>
      <c r="D26" s="422" t="s">
        <v>9</v>
      </c>
      <c r="E26" s="422" t="s">
        <v>10</v>
      </c>
      <c r="F26" s="423" t="s">
        <v>11</v>
      </c>
      <c r="G26" s="52"/>
      <c r="H26" s="414"/>
      <c r="I26" s="414"/>
      <c r="J26" s="414"/>
      <c r="K26" s="414"/>
      <c r="L26" s="414"/>
      <c r="M26" s="414"/>
      <c r="N26" s="414"/>
      <c r="O26" s="414"/>
      <c r="P26" s="414"/>
      <c r="Q26" s="414"/>
      <c r="R26" s="414"/>
      <c r="S26" s="414"/>
      <c r="T26" s="414"/>
      <c r="U26" s="414"/>
      <c r="V26" s="414"/>
      <c r="W26" s="414"/>
      <c r="X26" s="414"/>
      <c r="Y26" s="414"/>
      <c r="Z26" s="414"/>
    </row>
    <row r="27" ht="21.75" customHeight="1">
      <c r="A27" s="187" t="s">
        <v>12</v>
      </c>
      <c r="B27" s="37"/>
      <c r="C27" s="62"/>
      <c r="D27" s="39"/>
      <c r="E27" s="39"/>
      <c r="F27" s="424" t="s">
        <v>13</v>
      </c>
      <c r="G27" s="52"/>
      <c r="H27" s="414"/>
      <c r="I27" s="414"/>
      <c r="J27" s="414"/>
      <c r="K27" s="414"/>
      <c r="L27" s="414"/>
      <c r="M27" s="414"/>
      <c r="N27" s="414"/>
      <c r="O27" s="414"/>
      <c r="P27" s="414"/>
      <c r="Q27" s="414"/>
      <c r="R27" s="414"/>
      <c r="S27" s="414"/>
      <c r="T27" s="414"/>
      <c r="U27" s="414"/>
      <c r="V27" s="414"/>
      <c r="W27" s="414"/>
      <c r="X27" s="414"/>
      <c r="Y27" s="414"/>
      <c r="Z27" s="414"/>
    </row>
    <row r="28" ht="21.75" customHeight="1">
      <c r="A28" s="173" t="s">
        <v>1508</v>
      </c>
      <c r="B28" s="415" t="s">
        <v>15</v>
      </c>
      <c r="C28" s="50">
        <v>974.0</v>
      </c>
      <c r="D28" s="45">
        <v>27038.3</v>
      </c>
      <c r="E28" s="45">
        <v>28192.0</v>
      </c>
      <c r="F28" s="424" t="s">
        <v>1524</v>
      </c>
      <c r="G28" s="52"/>
      <c r="H28" s="414"/>
      <c r="I28" s="414"/>
      <c r="J28" s="414"/>
      <c r="K28" s="414"/>
      <c r="L28" s="414"/>
      <c r="M28" s="414"/>
      <c r="N28" s="414"/>
      <c r="O28" s="414"/>
      <c r="P28" s="414"/>
      <c r="Q28" s="414"/>
      <c r="R28" s="414"/>
      <c r="S28" s="414"/>
      <c r="T28" s="414"/>
      <c r="U28" s="414"/>
      <c r="V28" s="414"/>
      <c r="W28" s="414"/>
      <c r="X28" s="414"/>
      <c r="Y28" s="414"/>
      <c r="Z28" s="414"/>
    </row>
    <row r="29" ht="21.75" customHeight="1">
      <c r="A29" s="416" t="s">
        <v>1525</v>
      </c>
      <c r="B29" s="161"/>
      <c r="C29" s="50"/>
      <c r="D29" s="45"/>
      <c r="E29" s="45"/>
      <c r="F29" s="365" t="s">
        <v>1526</v>
      </c>
      <c r="G29" s="52"/>
      <c r="H29" s="414"/>
      <c r="I29" s="414"/>
      <c r="J29" s="414"/>
      <c r="K29" s="414"/>
      <c r="L29" s="414"/>
      <c r="M29" s="414"/>
      <c r="N29" s="414"/>
      <c r="O29" s="414"/>
      <c r="P29" s="414"/>
      <c r="Q29" s="414"/>
      <c r="R29" s="414"/>
      <c r="S29" s="414"/>
      <c r="T29" s="414"/>
      <c r="U29" s="414"/>
      <c r="V29" s="414"/>
      <c r="W29" s="414"/>
      <c r="X29" s="414"/>
      <c r="Y29" s="414"/>
      <c r="Z29" s="414"/>
    </row>
    <row r="30" ht="21.75" customHeight="1">
      <c r="A30" s="417"/>
      <c r="B30" s="418"/>
      <c r="C30" s="55"/>
      <c r="D30" s="56"/>
      <c r="E30" s="56"/>
      <c r="F30" s="425" t="s">
        <v>1527</v>
      </c>
      <c r="G30" s="52"/>
      <c r="H30" s="414"/>
      <c r="I30" s="414"/>
      <c r="J30" s="414"/>
      <c r="K30" s="414"/>
      <c r="L30" s="414"/>
      <c r="M30" s="414"/>
      <c r="N30" s="414"/>
      <c r="O30" s="414"/>
      <c r="P30" s="414"/>
      <c r="Q30" s="414"/>
      <c r="R30" s="414"/>
      <c r="S30" s="414"/>
      <c r="T30" s="414"/>
      <c r="U30" s="414"/>
      <c r="V30" s="414"/>
      <c r="W30" s="414"/>
      <c r="X30" s="414"/>
      <c r="Y30" s="414"/>
      <c r="Z30" s="414"/>
    </row>
    <row r="31" ht="21.75" customHeight="1">
      <c r="A31" s="426" t="s">
        <v>1528</v>
      </c>
      <c r="B31" s="27"/>
      <c r="C31" s="421" t="s">
        <v>8</v>
      </c>
      <c r="D31" s="422" t="s">
        <v>9</v>
      </c>
      <c r="E31" s="422" t="s">
        <v>10</v>
      </c>
      <c r="F31" s="427" t="s">
        <v>11</v>
      </c>
      <c r="G31" s="52"/>
      <c r="H31" s="414"/>
      <c r="I31" s="414"/>
      <c r="J31" s="414"/>
      <c r="K31" s="414"/>
      <c r="L31" s="414"/>
      <c r="M31" s="414"/>
      <c r="N31" s="414"/>
      <c r="O31" s="414"/>
      <c r="P31" s="414"/>
      <c r="Q31" s="414"/>
      <c r="R31" s="414"/>
      <c r="S31" s="414"/>
      <c r="T31" s="414"/>
      <c r="U31" s="414"/>
      <c r="V31" s="414"/>
      <c r="W31" s="414"/>
      <c r="X31" s="414"/>
      <c r="Y31" s="414"/>
      <c r="Z31" s="414"/>
    </row>
    <row r="32" ht="21.75" customHeight="1">
      <c r="A32" s="428" t="s">
        <v>12</v>
      </c>
      <c r="B32" s="37"/>
      <c r="C32" s="429"/>
      <c r="D32" s="430"/>
      <c r="E32" s="430"/>
      <c r="F32" s="365" t="s">
        <v>13</v>
      </c>
      <c r="G32" s="52"/>
      <c r="H32" s="414"/>
      <c r="I32" s="414"/>
      <c r="J32" s="414"/>
      <c r="K32" s="414"/>
      <c r="L32" s="414"/>
      <c r="M32" s="414"/>
      <c r="N32" s="414"/>
      <c r="O32" s="414"/>
      <c r="P32" s="414"/>
      <c r="Q32" s="414"/>
      <c r="R32" s="414"/>
      <c r="S32" s="414"/>
      <c r="T32" s="414"/>
      <c r="U32" s="414"/>
      <c r="V32" s="414"/>
      <c r="W32" s="414"/>
      <c r="X32" s="414"/>
      <c r="Y32" s="414"/>
      <c r="Z32" s="414"/>
    </row>
    <row r="33" ht="21.75" customHeight="1">
      <c r="A33" s="173" t="s">
        <v>1508</v>
      </c>
      <c r="B33" s="415" t="s">
        <v>15</v>
      </c>
      <c r="C33" s="50">
        <v>975.0</v>
      </c>
      <c r="D33" s="45">
        <v>26665.67</v>
      </c>
      <c r="E33" s="45">
        <v>27905.92</v>
      </c>
      <c r="F33" s="365" t="s">
        <v>1529</v>
      </c>
      <c r="G33" s="52"/>
      <c r="H33" s="414"/>
      <c r="I33" s="414"/>
      <c r="J33" s="414"/>
      <c r="K33" s="414"/>
      <c r="L33" s="414"/>
      <c r="M33" s="414"/>
      <c r="N33" s="414"/>
      <c r="O33" s="414"/>
      <c r="P33" s="414"/>
      <c r="Q33" s="414"/>
      <c r="R33" s="414"/>
      <c r="S33" s="414"/>
      <c r="T33" s="414"/>
      <c r="U33" s="414"/>
      <c r="V33" s="414"/>
      <c r="W33" s="414"/>
      <c r="X33" s="414"/>
      <c r="Y33" s="414"/>
      <c r="Z33" s="414"/>
    </row>
    <row r="34" ht="21.75" customHeight="1">
      <c r="A34" s="416" t="s">
        <v>1530</v>
      </c>
      <c r="B34" s="431"/>
      <c r="C34" s="429"/>
      <c r="D34" s="430"/>
      <c r="E34" s="430"/>
      <c r="F34" s="365" t="s">
        <v>1531</v>
      </c>
      <c r="G34" s="52"/>
      <c r="H34" s="414"/>
      <c r="I34" s="414"/>
      <c r="J34" s="414"/>
      <c r="K34" s="414"/>
      <c r="L34" s="414"/>
      <c r="M34" s="414"/>
      <c r="N34" s="414"/>
      <c r="O34" s="414"/>
      <c r="P34" s="414"/>
      <c r="Q34" s="414"/>
      <c r="R34" s="414"/>
      <c r="S34" s="414"/>
      <c r="T34" s="414"/>
      <c r="U34" s="414"/>
      <c r="V34" s="414"/>
      <c r="W34" s="414"/>
      <c r="X34" s="414"/>
      <c r="Y34" s="414"/>
      <c r="Z34" s="414"/>
    </row>
    <row r="35" ht="21.75" customHeight="1">
      <c r="A35" s="432"/>
      <c r="B35" s="433"/>
      <c r="C35" s="434"/>
      <c r="D35" s="435"/>
      <c r="E35" s="435"/>
      <c r="F35" s="425" t="s">
        <v>1532</v>
      </c>
      <c r="G35" s="52"/>
      <c r="H35" s="414"/>
      <c r="I35" s="414"/>
      <c r="J35" s="414"/>
      <c r="K35" s="414"/>
      <c r="L35" s="414"/>
      <c r="M35" s="414"/>
      <c r="N35" s="414"/>
      <c r="O35" s="414"/>
      <c r="P35" s="414"/>
      <c r="Q35" s="414"/>
      <c r="R35" s="414"/>
      <c r="S35" s="414"/>
      <c r="T35" s="414"/>
      <c r="U35" s="414"/>
      <c r="V35" s="414"/>
      <c r="W35" s="414"/>
      <c r="X35" s="414"/>
      <c r="Y35" s="414"/>
      <c r="Z35" s="414"/>
    </row>
    <row r="36" ht="21.75" customHeight="1">
      <c r="A36" s="426" t="s">
        <v>1533</v>
      </c>
      <c r="B36" s="27"/>
      <c r="C36" s="421" t="s">
        <v>8</v>
      </c>
      <c r="D36" s="422" t="s">
        <v>9</v>
      </c>
      <c r="E36" s="422" t="s">
        <v>10</v>
      </c>
      <c r="F36" s="427" t="s">
        <v>11</v>
      </c>
      <c r="G36" s="52"/>
      <c r="H36" s="414"/>
      <c r="I36" s="414"/>
      <c r="J36" s="414"/>
      <c r="K36" s="414"/>
      <c r="L36" s="414"/>
      <c r="M36" s="414"/>
      <c r="N36" s="414"/>
      <c r="O36" s="414"/>
      <c r="P36" s="414"/>
      <c r="Q36" s="414"/>
      <c r="R36" s="414"/>
      <c r="S36" s="414"/>
      <c r="T36" s="414"/>
      <c r="U36" s="414"/>
      <c r="V36" s="414"/>
      <c r="W36" s="414"/>
      <c r="X36" s="414"/>
      <c r="Y36" s="414"/>
      <c r="Z36" s="414"/>
    </row>
    <row r="37" ht="21.75" customHeight="1">
      <c r="A37" s="428" t="s">
        <v>12</v>
      </c>
      <c r="B37" s="37"/>
      <c r="C37" s="429"/>
      <c r="D37" s="430"/>
      <c r="E37" s="430"/>
      <c r="F37" s="365" t="s">
        <v>13</v>
      </c>
      <c r="G37" s="52"/>
      <c r="H37" s="414"/>
      <c r="I37" s="414"/>
      <c r="J37" s="414"/>
      <c r="K37" s="414"/>
      <c r="L37" s="414"/>
      <c r="M37" s="414"/>
      <c r="N37" s="414"/>
      <c r="O37" s="414"/>
      <c r="P37" s="414"/>
      <c r="Q37" s="414"/>
      <c r="R37" s="414"/>
      <c r="S37" s="414"/>
      <c r="T37" s="414"/>
      <c r="U37" s="414"/>
      <c r="V37" s="414"/>
      <c r="W37" s="414"/>
      <c r="X37" s="414"/>
      <c r="Y37" s="414"/>
      <c r="Z37" s="414"/>
    </row>
    <row r="38" ht="21.75" customHeight="1">
      <c r="A38" s="173" t="s">
        <v>1508</v>
      </c>
      <c r="B38" s="415" t="s">
        <v>15</v>
      </c>
      <c r="C38" s="50">
        <v>918.0</v>
      </c>
      <c r="D38" s="45">
        <v>26673.86</v>
      </c>
      <c r="E38" s="45">
        <v>27934.16</v>
      </c>
      <c r="F38" s="365" t="s">
        <v>1534</v>
      </c>
      <c r="G38" s="52"/>
      <c r="H38" s="414"/>
      <c r="I38" s="414"/>
      <c r="J38" s="414"/>
      <c r="K38" s="414"/>
      <c r="L38" s="414"/>
      <c r="M38" s="414"/>
      <c r="N38" s="414"/>
      <c r="O38" s="414"/>
      <c r="P38" s="414"/>
      <c r="Q38" s="414"/>
      <c r="R38" s="414"/>
      <c r="S38" s="414"/>
      <c r="T38" s="414"/>
      <c r="U38" s="414"/>
      <c r="V38" s="414"/>
      <c r="W38" s="414"/>
      <c r="X38" s="414"/>
      <c r="Y38" s="414"/>
      <c r="Z38" s="414"/>
    </row>
    <row r="39" ht="21.75" customHeight="1">
      <c r="A39" s="416" t="s">
        <v>1535</v>
      </c>
      <c r="B39" s="431"/>
      <c r="C39" s="429"/>
      <c r="D39" s="430"/>
      <c r="E39" s="430"/>
      <c r="F39" s="365" t="s">
        <v>1536</v>
      </c>
      <c r="G39" s="52"/>
      <c r="H39" s="414"/>
      <c r="I39" s="414"/>
      <c r="J39" s="414"/>
      <c r="K39" s="414"/>
      <c r="L39" s="414"/>
      <c r="M39" s="414"/>
      <c r="N39" s="414"/>
      <c r="O39" s="414"/>
      <c r="P39" s="414"/>
      <c r="Q39" s="414"/>
      <c r="R39" s="414"/>
      <c r="S39" s="414"/>
      <c r="T39" s="414"/>
      <c r="U39" s="414"/>
      <c r="V39" s="414"/>
      <c r="W39" s="414"/>
      <c r="X39" s="414"/>
      <c r="Y39" s="414"/>
      <c r="Z39" s="414"/>
    </row>
    <row r="40" ht="21.75" customHeight="1">
      <c r="A40" s="432"/>
      <c r="B40" s="433"/>
      <c r="C40" s="434"/>
      <c r="D40" s="435"/>
      <c r="E40" s="435"/>
      <c r="F40" s="425" t="s">
        <v>1537</v>
      </c>
      <c r="G40" s="52"/>
      <c r="H40" s="414"/>
      <c r="I40" s="414"/>
      <c r="J40" s="414"/>
      <c r="K40" s="414"/>
      <c r="L40" s="414"/>
      <c r="M40" s="414"/>
      <c r="N40" s="414"/>
      <c r="O40" s="414"/>
      <c r="P40" s="414"/>
      <c r="Q40" s="414"/>
      <c r="R40" s="414"/>
      <c r="S40" s="414"/>
      <c r="T40" s="414"/>
      <c r="U40" s="414"/>
      <c r="V40" s="414"/>
      <c r="W40" s="414"/>
      <c r="X40" s="414"/>
      <c r="Y40" s="414"/>
      <c r="Z40" s="414"/>
    </row>
    <row r="41" ht="21.75" customHeight="1">
      <c r="A41" s="426" t="s">
        <v>1538</v>
      </c>
      <c r="B41" s="27"/>
      <c r="C41" s="421" t="s">
        <v>8</v>
      </c>
      <c r="D41" s="422" t="s">
        <v>9</v>
      </c>
      <c r="E41" s="422" t="s">
        <v>10</v>
      </c>
      <c r="F41" s="427" t="s">
        <v>11</v>
      </c>
      <c r="G41" s="52"/>
      <c r="H41" s="414"/>
      <c r="I41" s="414"/>
      <c r="J41" s="414"/>
      <c r="K41" s="414"/>
      <c r="L41" s="414"/>
      <c r="M41" s="414"/>
      <c r="N41" s="414"/>
      <c r="O41" s="414"/>
      <c r="P41" s="414"/>
      <c r="Q41" s="414"/>
      <c r="R41" s="414"/>
      <c r="S41" s="414"/>
      <c r="T41" s="414"/>
      <c r="U41" s="414"/>
      <c r="V41" s="414"/>
      <c r="W41" s="414"/>
      <c r="X41" s="414"/>
      <c r="Y41" s="414"/>
      <c r="Z41" s="414"/>
    </row>
    <row r="42" ht="21.75" customHeight="1">
      <c r="A42" s="428" t="s">
        <v>12</v>
      </c>
      <c r="B42" s="37"/>
      <c r="C42" s="429"/>
      <c r="D42" s="430"/>
      <c r="E42" s="430"/>
      <c r="F42" s="365" t="s">
        <v>13</v>
      </c>
      <c r="G42" s="52"/>
      <c r="H42" s="414"/>
      <c r="I42" s="414"/>
      <c r="J42" s="414"/>
      <c r="K42" s="414"/>
      <c r="L42" s="414"/>
      <c r="M42" s="414"/>
      <c r="N42" s="414"/>
      <c r="O42" s="414"/>
      <c r="P42" s="414"/>
      <c r="Q42" s="414"/>
      <c r="R42" s="414"/>
      <c r="S42" s="414"/>
      <c r="T42" s="414"/>
      <c r="U42" s="414"/>
      <c r="V42" s="414"/>
      <c r="W42" s="414"/>
      <c r="X42" s="414"/>
      <c r="Y42" s="414"/>
      <c r="Z42" s="414"/>
    </row>
    <row r="43" ht="21.75" customHeight="1">
      <c r="A43" s="173" t="s">
        <v>1508</v>
      </c>
      <c r="B43" s="415" t="s">
        <v>15</v>
      </c>
      <c r="C43" s="50">
        <v>900.0</v>
      </c>
      <c r="D43" s="45">
        <v>26240.69</v>
      </c>
      <c r="E43" s="45">
        <v>27338.59</v>
      </c>
      <c r="F43" s="365" t="s">
        <v>1539</v>
      </c>
      <c r="G43" s="52"/>
      <c r="H43" s="414"/>
      <c r="I43" s="414"/>
      <c r="J43" s="414"/>
      <c r="K43" s="414"/>
      <c r="L43" s="414"/>
      <c r="M43" s="414"/>
      <c r="N43" s="414"/>
      <c r="O43" s="414"/>
      <c r="P43" s="414"/>
      <c r="Q43" s="414"/>
      <c r="R43" s="414"/>
      <c r="S43" s="414"/>
      <c r="T43" s="414"/>
      <c r="U43" s="414"/>
      <c r="V43" s="414"/>
      <c r="W43" s="414"/>
      <c r="X43" s="414"/>
      <c r="Y43" s="414"/>
      <c r="Z43" s="414"/>
    </row>
    <row r="44" ht="21.75" customHeight="1">
      <c r="A44" s="416" t="s">
        <v>1540</v>
      </c>
      <c r="B44" s="431"/>
      <c r="C44" s="429"/>
      <c r="D44" s="430"/>
      <c r="E44" s="430"/>
      <c r="F44" s="365" t="s">
        <v>1541</v>
      </c>
      <c r="G44" s="52"/>
      <c r="H44" s="414"/>
      <c r="I44" s="414"/>
      <c r="J44" s="414"/>
      <c r="K44" s="414"/>
      <c r="L44" s="414"/>
      <c r="M44" s="414"/>
      <c r="N44" s="414"/>
      <c r="O44" s="414"/>
      <c r="P44" s="414"/>
      <c r="Q44" s="414"/>
      <c r="R44" s="414"/>
      <c r="S44" s="414"/>
      <c r="T44" s="414"/>
      <c r="U44" s="414"/>
      <c r="V44" s="414"/>
      <c r="W44" s="414"/>
      <c r="X44" s="414"/>
      <c r="Y44" s="414"/>
      <c r="Z44" s="414"/>
    </row>
    <row r="45" ht="21.75" customHeight="1">
      <c r="A45" s="432"/>
      <c r="B45" s="433"/>
      <c r="C45" s="434"/>
      <c r="D45" s="435"/>
      <c r="E45" s="435"/>
      <c r="F45" s="425" t="s">
        <v>1542</v>
      </c>
      <c r="G45" s="52"/>
      <c r="H45" s="414"/>
      <c r="I45" s="414"/>
      <c r="J45" s="414"/>
      <c r="K45" s="414"/>
      <c r="L45" s="414"/>
      <c r="M45" s="414"/>
      <c r="N45" s="414"/>
      <c r="O45" s="414"/>
      <c r="P45" s="414"/>
      <c r="Q45" s="414"/>
      <c r="R45" s="414"/>
      <c r="S45" s="414"/>
      <c r="T45" s="414"/>
      <c r="U45" s="414"/>
      <c r="V45" s="414"/>
      <c r="W45" s="414"/>
      <c r="X45" s="414"/>
      <c r="Y45" s="414"/>
      <c r="Z45" s="414"/>
    </row>
    <row r="46" ht="21.75" customHeight="1">
      <c r="A46" s="426" t="s">
        <v>1543</v>
      </c>
      <c r="B46" s="27"/>
      <c r="C46" s="421" t="s">
        <v>8</v>
      </c>
      <c r="D46" s="422" t="s">
        <v>9</v>
      </c>
      <c r="E46" s="422" t="s">
        <v>10</v>
      </c>
      <c r="F46" s="427" t="s">
        <v>11</v>
      </c>
      <c r="G46" s="52"/>
      <c r="H46" s="414"/>
      <c r="I46" s="414"/>
      <c r="J46" s="414"/>
      <c r="K46" s="414"/>
      <c r="L46" s="414"/>
      <c r="M46" s="414"/>
      <c r="N46" s="414"/>
      <c r="O46" s="414"/>
      <c r="P46" s="414"/>
      <c r="Q46" s="414"/>
      <c r="R46" s="414"/>
      <c r="S46" s="414"/>
      <c r="T46" s="414"/>
      <c r="U46" s="414"/>
      <c r="V46" s="414"/>
      <c r="W46" s="414"/>
      <c r="X46" s="414"/>
      <c r="Y46" s="414"/>
      <c r="Z46" s="414"/>
    </row>
    <row r="47" ht="21.75" customHeight="1">
      <c r="A47" s="428" t="s">
        <v>12</v>
      </c>
      <c r="B47" s="37"/>
      <c r="C47" s="429"/>
      <c r="D47" s="430"/>
      <c r="E47" s="430"/>
      <c r="F47" s="365" t="s">
        <v>13</v>
      </c>
      <c r="G47" s="52"/>
      <c r="H47" s="414"/>
      <c r="I47" s="414"/>
      <c r="J47" s="414"/>
      <c r="K47" s="414"/>
      <c r="L47" s="414"/>
      <c r="M47" s="414"/>
      <c r="N47" s="414"/>
      <c r="O47" s="414"/>
      <c r="P47" s="414"/>
      <c r="Q47" s="414"/>
      <c r="R47" s="414"/>
      <c r="S47" s="414"/>
      <c r="T47" s="414"/>
      <c r="U47" s="414"/>
      <c r="V47" s="414"/>
      <c r="W47" s="414"/>
      <c r="X47" s="414"/>
      <c r="Y47" s="414"/>
      <c r="Z47" s="414"/>
    </row>
    <row r="48" ht="21.75" customHeight="1">
      <c r="A48" s="173" t="s">
        <v>1508</v>
      </c>
      <c r="B48" s="415" t="s">
        <v>15</v>
      </c>
      <c r="C48" s="50">
        <v>929.0</v>
      </c>
      <c r="D48" s="45">
        <v>26676.3</v>
      </c>
      <c r="E48" s="45">
        <v>27845.95</v>
      </c>
      <c r="F48" s="365" t="s">
        <v>1544</v>
      </c>
      <c r="G48" s="52"/>
      <c r="H48" s="414"/>
      <c r="I48" s="414"/>
      <c r="J48" s="414"/>
      <c r="K48" s="414"/>
      <c r="L48" s="414"/>
      <c r="M48" s="414"/>
      <c r="N48" s="414"/>
      <c r="O48" s="414"/>
      <c r="P48" s="414"/>
      <c r="Q48" s="414"/>
      <c r="R48" s="414"/>
      <c r="S48" s="414"/>
      <c r="T48" s="414"/>
      <c r="U48" s="414"/>
      <c r="V48" s="414"/>
      <c r="W48" s="414"/>
      <c r="X48" s="414"/>
      <c r="Y48" s="414"/>
      <c r="Z48" s="414"/>
    </row>
    <row r="49" ht="21.75" customHeight="1">
      <c r="A49" s="416" t="s">
        <v>1545</v>
      </c>
      <c r="B49" s="431"/>
      <c r="C49" s="429"/>
      <c r="D49" s="430"/>
      <c r="E49" s="430"/>
      <c r="F49" s="365" t="s">
        <v>1546</v>
      </c>
      <c r="G49" s="52"/>
      <c r="H49" s="414"/>
      <c r="I49" s="414"/>
      <c r="J49" s="414"/>
      <c r="K49" s="414"/>
      <c r="L49" s="414"/>
      <c r="M49" s="414"/>
      <c r="N49" s="414"/>
      <c r="O49" s="414"/>
      <c r="P49" s="414"/>
      <c r="Q49" s="414"/>
      <c r="R49" s="414"/>
      <c r="S49" s="414"/>
      <c r="T49" s="414"/>
      <c r="U49" s="414"/>
      <c r="V49" s="414"/>
      <c r="W49" s="414"/>
      <c r="X49" s="414"/>
      <c r="Y49" s="414"/>
      <c r="Z49" s="414"/>
    </row>
    <row r="50" ht="21.75" customHeight="1">
      <c r="A50" s="432"/>
      <c r="B50" s="433"/>
      <c r="C50" s="434"/>
      <c r="D50" s="435"/>
      <c r="E50" s="435"/>
      <c r="F50" s="425" t="s">
        <v>1547</v>
      </c>
      <c r="G50" s="52"/>
      <c r="H50" s="414"/>
      <c r="I50" s="414"/>
      <c r="J50" s="414"/>
      <c r="K50" s="414"/>
      <c r="L50" s="414"/>
      <c r="M50" s="414"/>
      <c r="N50" s="414"/>
      <c r="O50" s="414"/>
      <c r="P50" s="414"/>
      <c r="Q50" s="414"/>
      <c r="R50" s="414"/>
      <c r="S50" s="414"/>
      <c r="T50" s="414"/>
      <c r="U50" s="414"/>
      <c r="V50" s="414"/>
      <c r="W50" s="414"/>
      <c r="X50" s="414"/>
      <c r="Y50" s="414"/>
      <c r="Z50" s="414"/>
    </row>
    <row r="51" ht="21.75" customHeight="1">
      <c r="A51" s="426" t="s">
        <v>1548</v>
      </c>
      <c r="B51" s="27"/>
      <c r="C51" s="421" t="s">
        <v>8</v>
      </c>
      <c r="D51" s="422" t="s">
        <v>9</v>
      </c>
      <c r="E51" s="422" t="s">
        <v>10</v>
      </c>
      <c r="F51" s="427" t="s">
        <v>11</v>
      </c>
      <c r="G51" s="52"/>
      <c r="H51" s="414"/>
      <c r="I51" s="414"/>
      <c r="J51" s="414"/>
      <c r="K51" s="414"/>
      <c r="L51" s="414"/>
      <c r="M51" s="414"/>
      <c r="N51" s="414"/>
      <c r="O51" s="414"/>
      <c r="P51" s="414"/>
      <c r="Q51" s="414"/>
      <c r="R51" s="414"/>
      <c r="S51" s="414"/>
      <c r="T51" s="414"/>
      <c r="U51" s="414"/>
      <c r="V51" s="414"/>
      <c r="W51" s="414"/>
      <c r="X51" s="414"/>
      <c r="Y51" s="414"/>
      <c r="Z51" s="414"/>
    </row>
    <row r="52" ht="21.75" customHeight="1">
      <c r="A52" s="428" t="s">
        <v>12</v>
      </c>
      <c r="B52" s="37"/>
      <c r="C52" s="429"/>
      <c r="D52" s="430"/>
      <c r="E52" s="430"/>
      <c r="F52" s="365" t="s">
        <v>13</v>
      </c>
      <c r="G52" s="52"/>
      <c r="H52" s="414"/>
      <c r="I52" s="414"/>
      <c r="J52" s="414"/>
      <c r="K52" s="414"/>
      <c r="L52" s="414"/>
      <c r="M52" s="414"/>
      <c r="N52" s="414"/>
      <c r="O52" s="414"/>
      <c r="P52" s="414"/>
      <c r="Q52" s="414"/>
      <c r="R52" s="414"/>
      <c r="S52" s="414"/>
      <c r="T52" s="414"/>
      <c r="U52" s="414"/>
      <c r="V52" s="414"/>
      <c r="W52" s="414"/>
      <c r="X52" s="414"/>
      <c r="Y52" s="414"/>
      <c r="Z52" s="414"/>
    </row>
    <row r="53" ht="21.75" customHeight="1">
      <c r="A53" s="173" t="s">
        <v>1508</v>
      </c>
      <c r="B53" s="415" t="s">
        <v>15</v>
      </c>
      <c r="C53" s="50">
        <v>912.0</v>
      </c>
      <c r="D53" s="45">
        <v>26595.03</v>
      </c>
      <c r="E53" s="45">
        <v>27680.23</v>
      </c>
      <c r="F53" s="365" t="s">
        <v>1549</v>
      </c>
      <c r="G53" s="52"/>
      <c r="H53" s="414"/>
      <c r="I53" s="414"/>
      <c r="J53" s="414"/>
      <c r="K53" s="414"/>
      <c r="L53" s="414"/>
      <c r="M53" s="414"/>
      <c r="N53" s="414"/>
      <c r="O53" s="414"/>
      <c r="P53" s="414"/>
      <c r="Q53" s="414"/>
      <c r="R53" s="414"/>
      <c r="S53" s="414"/>
      <c r="T53" s="414"/>
      <c r="U53" s="414"/>
      <c r="V53" s="414"/>
      <c r="W53" s="414"/>
      <c r="X53" s="414"/>
      <c r="Y53" s="414"/>
      <c r="Z53" s="414"/>
    </row>
    <row r="54" ht="21.75" customHeight="1">
      <c r="A54" s="416" t="s">
        <v>1550</v>
      </c>
      <c r="B54" s="431"/>
      <c r="C54" s="429"/>
      <c r="D54" s="430"/>
      <c r="E54" s="430"/>
      <c r="F54" s="365" t="s">
        <v>1551</v>
      </c>
      <c r="G54" s="52"/>
      <c r="H54" s="414"/>
      <c r="I54" s="414"/>
      <c r="J54" s="414"/>
      <c r="K54" s="414"/>
      <c r="L54" s="414"/>
      <c r="M54" s="414"/>
      <c r="N54" s="414"/>
      <c r="O54" s="414"/>
      <c r="P54" s="414"/>
      <c r="Q54" s="414"/>
      <c r="R54" s="414"/>
      <c r="S54" s="414"/>
      <c r="T54" s="414"/>
      <c r="U54" s="414"/>
      <c r="V54" s="414"/>
      <c r="W54" s="414"/>
      <c r="X54" s="414"/>
      <c r="Y54" s="414"/>
      <c r="Z54" s="414"/>
    </row>
    <row r="55" ht="21.75" customHeight="1">
      <c r="A55" s="432"/>
      <c r="B55" s="433"/>
      <c r="C55" s="434"/>
      <c r="D55" s="435"/>
      <c r="E55" s="435"/>
      <c r="F55" s="425" t="s">
        <v>1552</v>
      </c>
      <c r="G55" s="52"/>
      <c r="H55" s="414"/>
      <c r="I55" s="414"/>
      <c r="J55" s="414"/>
      <c r="K55" s="414"/>
      <c r="L55" s="414"/>
      <c r="M55" s="414"/>
      <c r="N55" s="414"/>
      <c r="O55" s="414"/>
      <c r="P55" s="414"/>
      <c r="Q55" s="414"/>
      <c r="R55" s="414"/>
      <c r="S55" s="414"/>
      <c r="T55" s="414"/>
      <c r="U55" s="414"/>
      <c r="V55" s="414"/>
      <c r="W55" s="414"/>
      <c r="X55" s="414"/>
      <c r="Y55" s="414"/>
      <c r="Z55" s="414"/>
    </row>
    <row r="56" ht="21.75" customHeight="1">
      <c r="A56" s="426" t="s">
        <v>1553</v>
      </c>
      <c r="B56" s="27"/>
      <c r="C56" s="421" t="s">
        <v>8</v>
      </c>
      <c r="D56" s="422" t="s">
        <v>9</v>
      </c>
      <c r="E56" s="422" t="s">
        <v>10</v>
      </c>
      <c r="F56" s="427" t="s">
        <v>11</v>
      </c>
      <c r="G56" s="52"/>
      <c r="H56" s="414"/>
      <c r="I56" s="414"/>
      <c r="J56" s="414"/>
      <c r="K56" s="414"/>
      <c r="L56" s="414"/>
      <c r="M56" s="414"/>
      <c r="N56" s="414"/>
      <c r="O56" s="414"/>
      <c r="P56" s="414"/>
      <c r="Q56" s="414"/>
      <c r="R56" s="414"/>
      <c r="S56" s="414"/>
      <c r="T56" s="414"/>
      <c r="U56" s="414"/>
      <c r="V56" s="414"/>
      <c r="W56" s="414"/>
      <c r="X56" s="414"/>
      <c r="Y56" s="414"/>
      <c r="Z56" s="414"/>
    </row>
    <row r="57" ht="21.75" customHeight="1">
      <c r="A57" s="428" t="s">
        <v>12</v>
      </c>
      <c r="B57" s="37"/>
      <c r="C57" s="429"/>
      <c r="D57" s="430"/>
      <c r="E57" s="430"/>
      <c r="F57" s="365" t="s">
        <v>13</v>
      </c>
      <c r="G57" s="52"/>
      <c r="H57" s="414"/>
      <c r="I57" s="414"/>
      <c r="J57" s="414"/>
      <c r="K57" s="414"/>
      <c r="L57" s="414"/>
      <c r="M57" s="414"/>
      <c r="N57" s="414"/>
      <c r="O57" s="414"/>
      <c r="P57" s="414"/>
      <c r="Q57" s="414"/>
      <c r="R57" s="414"/>
      <c r="S57" s="414"/>
      <c r="T57" s="414"/>
      <c r="U57" s="414"/>
      <c r="V57" s="414"/>
      <c r="W57" s="414"/>
      <c r="X57" s="414"/>
      <c r="Y57" s="414"/>
      <c r="Z57" s="414"/>
    </row>
    <row r="58" ht="21.75" customHeight="1">
      <c r="A58" s="173" t="s">
        <v>1508</v>
      </c>
      <c r="B58" s="415" t="s">
        <v>15</v>
      </c>
      <c r="C58" s="50">
        <v>900.0</v>
      </c>
      <c r="D58" s="45">
        <v>26056.28</v>
      </c>
      <c r="E58" s="45">
        <v>27169.28</v>
      </c>
      <c r="F58" s="365" t="s">
        <v>1554</v>
      </c>
      <c r="G58" s="52"/>
      <c r="H58" s="414"/>
      <c r="I58" s="414"/>
      <c r="J58" s="414"/>
      <c r="K58" s="414"/>
      <c r="L58" s="414"/>
      <c r="M58" s="414"/>
      <c r="N58" s="414"/>
      <c r="O58" s="414"/>
      <c r="P58" s="414"/>
      <c r="Q58" s="414"/>
      <c r="R58" s="414"/>
      <c r="S58" s="414"/>
      <c r="T58" s="414"/>
      <c r="U58" s="414"/>
      <c r="V58" s="414"/>
      <c r="W58" s="414"/>
      <c r="X58" s="414"/>
      <c r="Y58" s="414"/>
      <c r="Z58" s="414"/>
    </row>
    <row r="59" ht="21.75" customHeight="1">
      <c r="A59" s="416" t="s">
        <v>1555</v>
      </c>
      <c r="B59" s="431"/>
      <c r="C59" s="429"/>
      <c r="D59" s="430"/>
      <c r="E59" s="430"/>
      <c r="F59" s="365" t="s">
        <v>1556</v>
      </c>
      <c r="G59" s="52"/>
      <c r="H59" s="414"/>
      <c r="I59" s="414"/>
      <c r="J59" s="414"/>
      <c r="K59" s="414"/>
      <c r="L59" s="414"/>
      <c r="M59" s="414"/>
      <c r="N59" s="414"/>
      <c r="O59" s="414"/>
      <c r="P59" s="414"/>
      <c r="Q59" s="414"/>
      <c r="R59" s="414"/>
      <c r="S59" s="414"/>
      <c r="T59" s="414"/>
      <c r="U59" s="414"/>
      <c r="V59" s="414"/>
      <c r="W59" s="414"/>
      <c r="X59" s="414"/>
      <c r="Y59" s="414"/>
      <c r="Z59" s="414"/>
    </row>
    <row r="60" ht="21.75" customHeight="1">
      <c r="A60" s="432"/>
      <c r="B60" s="433"/>
      <c r="C60" s="434"/>
      <c r="D60" s="435"/>
      <c r="E60" s="435"/>
      <c r="F60" s="425" t="s">
        <v>1557</v>
      </c>
      <c r="G60" s="52"/>
      <c r="H60" s="414"/>
      <c r="I60" s="414"/>
      <c r="J60" s="414"/>
      <c r="K60" s="414"/>
      <c r="L60" s="414"/>
      <c r="M60" s="414"/>
      <c r="N60" s="414"/>
      <c r="O60" s="414"/>
      <c r="P60" s="414"/>
      <c r="Q60" s="414"/>
      <c r="R60" s="414"/>
      <c r="S60" s="414"/>
      <c r="T60" s="414"/>
      <c r="U60" s="414"/>
      <c r="V60" s="414"/>
      <c r="W60" s="414"/>
      <c r="X60" s="414"/>
      <c r="Y60" s="414"/>
      <c r="Z60" s="414"/>
    </row>
    <row r="61" ht="21.75" customHeight="1">
      <c r="A61" s="426" t="s">
        <v>1558</v>
      </c>
      <c r="B61" s="27"/>
      <c r="C61" s="421" t="s">
        <v>8</v>
      </c>
      <c r="D61" s="422" t="s">
        <v>9</v>
      </c>
      <c r="E61" s="422" t="s">
        <v>10</v>
      </c>
      <c r="F61" s="427" t="s">
        <v>11</v>
      </c>
      <c r="G61" s="52"/>
      <c r="H61" s="414"/>
      <c r="I61" s="414"/>
      <c r="J61" s="414"/>
      <c r="K61" s="414"/>
      <c r="L61" s="414"/>
      <c r="M61" s="414"/>
      <c r="N61" s="414"/>
      <c r="O61" s="414"/>
      <c r="P61" s="414"/>
      <c r="Q61" s="414"/>
      <c r="R61" s="414"/>
      <c r="S61" s="414"/>
      <c r="T61" s="414"/>
      <c r="U61" s="414"/>
      <c r="V61" s="414"/>
      <c r="W61" s="414"/>
      <c r="X61" s="414"/>
      <c r="Y61" s="414"/>
      <c r="Z61" s="414"/>
    </row>
    <row r="62" ht="21.75" customHeight="1">
      <c r="A62" s="428" t="s">
        <v>12</v>
      </c>
      <c r="B62" s="37"/>
      <c r="C62" s="429"/>
      <c r="D62" s="430"/>
      <c r="E62" s="430"/>
      <c r="F62" s="365" t="s">
        <v>13</v>
      </c>
      <c r="G62" s="52"/>
      <c r="H62" s="414"/>
      <c r="I62" s="414"/>
      <c r="J62" s="414"/>
      <c r="K62" s="414"/>
      <c r="L62" s="414"/>
      <c r="M62" s="414"/>
      <c r="N62" s="414"/>
      <c r="O62" s="414"/>
      <c r="P62" s="414"/>
      <c r="Q62" s="414"/>
      <c r="R62" s="414"/>
      <c r="S62" s="414"/>
      <c r="T62" s="414"/>
      <c r="U62" s="414"/>
      <c r="V62" s="414"/>
      <c r="W62" s="414"/>
      <c r="X62" s="414"/>
      <c r="Y62" s="414"/>
      <c r="Z62" s="414"/>
    </row>
    <row r="63" ht="21.75" customHeight="1">
      <c r="A63" s="173" t="s">
        <v>1508</v>
      </c>
      <c r="B63" s="415" t="s">
        <v>15</v>
      </c>
      <c r="C63" s="50">
        <v>976.0</v>
      </c>
      <c r="D63" s="45">
        <v>26677.15</v>
      </c>
      <c r="E63" s="45">
        <v>28016.75</v>
      </c>
      <c r="F63" s="365" t="s">
        <v>1559</v>
      </c>
      <c r="G63" s="52"/>
      <c r="H63" s="414"/>
      <c r="I63" s="414"/>
      <c r="J63" s="414"/>
      <c r="K63" s="414"/>
      <c r="L63" s="414"/>
      <c r="M63" s="414"/>
      <c r="N63" s="414"/>
      <c r="O63" s="414"/>
      <c r="P63" s="414"/>
      <c r="Q63" s="414"/>
      <c r="R63" s="414"/>
      <c r="S63" s="414"/>
      <c r="T63" s="414"/>
      <c r="U63" s="414"/>
      <c r="V63" s="414"/>
      <c r="W63" s="414"/>
      <c r="X63" s="414"/>
      <c r="Y63" s="414"/>
      <c r="Z63" s="414"/>
    </row>
    <row r="64" ht="21.75" customHeight="1">
      <c r="A64" s="416" t="s">
        <v>249</v>
      </c>
      <c r="B64" s="431"/>
      <c r="C64" s="429"/>
      <c r="D64" s="430"/>
      <c r="E64" s="430"/>
      <c r="F64" s="365" t="s">
        <v>1560</v>
      </c>
      <c r="G64" s="52"/>
      <c r="H64" s="414"/>
      <c r="I64" s="414"/>
      <c r="J64" s="414"/>
      <c r="K64" s="414"/>
      <c r="L64" s="414"/>
      <c r="M64" s="414"/>
      <c r="N64" s="414"/>
      <c r="O64" s="414"/>
      <c r="P64" s="414"/>
      <c r="Q64" s="414"/>
      <c r="R64" s="414"/>
      <c r="S64" s="414"/>
      <c r="T64" s="414"/>
      <c r="U64" s="414"/>
      <c r="V64" s="414"/>
      <c r="W64" s="414"/>
      <c r="X64" s="414"/>
      <c r="Y64" s="414"/>
      <c r="Z64" s="414"/>
    </row>
    <row r="65" ht="21.75" customHeight="1">
      <c r="A65" s="432"/>
      <c r="B65" s="433"/>
      <c r="C65" s="434"/>
      <c r="D65" s="435"/>
      <c r="E65" s="435"/>
      <c r="F65" s="425" t="s">
        <v>1561</v>
      </c>
      <c r="G65" s="52"/>
      <c r="H65" s="414"/>
      <c r="I65" s="414"/>
      <c r="J65" s="414"/>
      <c r="K65" s="414"/>
      <c r="L65" s="414"/>
      <c r="M65" s="414"/>
      <c r="N65" s="414"/>
      <c r="O65" s="414"/>
      <c r="P65" s="414"/>
      <c r="Q65" s="414"/>
      <c r="R65" s="414"/>
      <c r="S65" s="414"/>
      <c r="T65" s="414"/>
      <c r="U65" s="414"/>
      <c r="V65" s="414"/>
      <c r="W65" s="414"/>
      <c r="X65" s="414"/>
      <c r="Y65" s="414"/>
      <c r="Z65" s="414"/>
    </row>
    <row r="66" ht="21.75" customHeight="1">
      <c r="A66" s="426" t="s">
        <v>1562</v>
      </c>
      <c r="B66" s="27"/>
      <c r="C66" s="421" t="s">
        <v>8</v>
      </c>
      <c r="D66" s="422" t="s">
        <v>9</v>
      </c>
      <c r="E66" s="422" t="s">
        <v>10</v>
      </c>
      <c r="F66" s="427" t="s">
        <v>11</v>
      </c>
      <c r="G66" s="52"/>
      <c r="H66" s="414"/>
      <c r="I66" s="414"/>
      <c r="J66" s="414"/>
      <c r="K66" s="414"/>
      <c r="L66" s="414"/>
      <c r="M66" s="414"/>
      <c r="N66" s="414"/>
      <c r="O66" s="414"/>
      <c r="P66" s="414"/>
      <c r="Q66" s="414"/>
      <c r="R66" s="414"/>
      <c r="S66" s="414"/>
      <c r="T66" s="414"/>
      <c r="U66" s="414"/>
      <c r="V66" s="414"/>
      <c r="W66" s="414"/>
      <c r="X66" s="414"/>
      <c r="Y66" s="414"/>
      <c r="Z66" s="414"/>
    </row>
    <row r="67" ht="21.75" customHeight="1">
      <c r="A67" s="428" t="s">
        <v>12</v>
      </c>
      <c r="B67" s="37"/>
      <c r="C67" s="429"/>
      <c r="D67" s="430"/>
      <c r="E67" s="430"/>
      <c r="F67" s="365" t="s">
        <v>13</v>
      </c>
      <c r="G67" s="52"/>
      <c r="H67" s="414"/>
      <c r="I67" s="414"/>
      <c r="J67" s="414"/>
      <c r="K67" s="414"/>
      <c r="L67" s="414"/>
      <c r="M67" s="414"/>
      <c r="N67" s="414"/>
      <c r="O67" s="414"/>
      <c r="P67" s="414"/>
      <c r="Q67" s="414"/>
      <c r="R67" s="414"/>
      <c r="S67" s="414"/>
      <c r="T67" s="414"/>
      <c r="U67" s="414"/>
      <c r="V67" s="414"/>
      <c r="W67" s="414"/>
      <c r="X67" s="414"/>
      <c r="Y67" s="414"/>
      <c r="Z67" s="414"/>
    </row>
    <row r="68" ht="21.75" customHeight="1">
      <c r="A68" s="173" t="s">
        <v>1508</v>
      </c>
      <c r="B68" s="415" t="s">
        <v>15</v>
      </c>
      <c r="C68" s="50">
        <v>900.0</v>
      </c>
      <c r="D68" s="45">
        <v>25049.02</v>
      </c>
      <c r="E68" s="45">
        <v>26137.76</v>
      </c>
      <c r="F68" s="365" t="s">
        <v>1563</v>
      </c>
      <c r="G68" s="52"/>
      <c r="H68" s="414"/>
      <c r="I68" s="414"/>
      <c r="J68" s="414"/>
      <c r="K68" s="414"/>
      <c r="L68" s="414"/>
      <c r="M68" s="414"/>
      <c r="N68" s="414"/>
      <c r="O68" s="414"/>
      <c r="P68" s="414"/>
      <c r="Q68" s="414"/>
      <c r="R68" s="414"/>
      <c r="S68" s="414"/>
      <c r="T68" s="414"/>
      <c r="U68" s="414"/>
      <c r="V68" s="414"/>
      <c r="W68" s="414"/>
      <c r="X68" s="414"/>
      <c r="Y68" s="414"/>
      <c r="Z68" s="414"/>
    </row>
    <row r="69" ht="21.75" customHeight="1">
      <c r="A69" s="416" t="s">
        <v>1564</v>
      </c>
      <c r="B69" s="431"/>
      <c r="C69" s="429"/>
      <c r="D69" s="430"/>
      <c r="E69" s="430"/>
      <c r="F69" s="365" t="s">
        <v>1565</v>
      </c>
      <c r="G69" s="52"/>
      <c r="H69" s="414"/>
      <c r="I69" s="414"/>
      <c r="J69" s="414"/>
      <c r="K69" s="414"/>
      <c r="L69" s="414"/>
      <c r="M69" s="414"/>
      <c r="N69" s="414"/>
      <c r="O69" s="414"/>
      <c r="P69" s="414"/>
      <c r="Q69" s="414"/>
      <c r="R69" s="414"/>
      <c r="S69" s="414"/>
      <c r="T69" s="414"/>
      <c r="U69" s="414"/>
      <c r="V69" s="414"/>
      <c r="W69" s="414"/>
      <c r="X69" s="414"/>
      <c r="Y69" s="414"/>
      <c r="Z69" s="414"/>
    </row>
    <row r="70" ht="21.75" customHeight="1">
      <c r="A70" s="432"/>
      <c r="B70" s="433"/>
      <c r="C70" s="434"/>
      <c r="D70" s="435"/>
      <c r="E70" s="435"/>
      <c r="F70" s="425" t="s">
        <v>1566</v>
      </c>
      <c r="G70" s="52"/>
      <c r="H70" s="414"/>
      <c r="I70" s="414"/>
      <c r="J70" s="414"/>
      <c r="K70" s="414"/>
      <c r="L70" s="414"/>
      <c r="M70" s="414"/>
      <c r="N70" s="414"/>
      <c r="O70" s="414"/>
      <c r="P70" s="414"/>
      <c r="Q70" s="414"/>
      <c r="R70" s="414"/>
      <c r="S70" s="414"/>
      <c r="T70" s="414"/>
      <c r="U70" s="414"/>
      <c r="V70" s="414"/>
      <c r="W70" s="414"/>
      <c r="X70" s="414"/>
      <c r="Y70" s="414"/>
      <c r="Z70" s="414"/>
    </row>
    <row r="71" ht="21.75" customHeight="1">
      <c r="A71" s="426" t="s">
        <v>1567</v>
      </c>
      <c r="B71" s="27"/>
      <c r="C71" s="421" t="s">
        <v>8</v>
      </c>
      <c r="D71" s="422" t="s">
        <v>9</v>
      </c>
      <c r="E71" s="422" t="s">
        <v>10</v>
      </c>
      <c r="F71" s="427" t="s">
        <v>11</v>
      </c>
      <c r="G71" s="52"/>
      <c r="H71" s="414"/>
      <c r="I71" s="414"/>
      <c r="J71" s="414"/>
      <c r="K71" s="414"/>
      <c r="L71" s="414"/>
      <c r="M71" s="414"/>
      <c r="N71" s="414"/>
      <c r="O71" s="414"/>
      <c r="P71" s="414"/>
      <c r="Q71" s="414"/>
      <c r="R71" s="414"/>
      <c r="S71" s="414"/>
      <c r="T71" s="414"/>
      <c r="U71" s="414"/>
      <c r="V71" s="414"/>
      <c r="W71" s="414"/>
      <c r="X71" s="414"/>
      <c r="Y71" s="414"/>
      <c r="Z71" s="414"/>
    </row>
    <row r="72" ht="21.75" customHeight="1">
      <c r="A72" s="428" t="s">
        <v>12</v>
      </c>
      <c r="B72" s="37"/>
      <c r="C72" s="429"/>
      <c r="D72" s="430"/>
      <c r="E72" s="430"/>
      <c r="F72" s="365" t="s">
        <v>13</v>
      </c>
      <c r="G72" s="52"/>
      <c r="H72" s="414"/>
      <c r="I72" s="414"/>
      <c r="J72" s="414"/>
      <c r="K72" s="414"/>
      <c r="L72" s="414"/>
      <c r="M72" s="414"/>
      <c r="N72" s="414"/>
      <c r="O72" s="414"/>
      <c r="P72" s="414"/>
      <c r="Q72" s="414"/>
      <c r="R72" s="414"/>
      <c r="S72" s="414"/>
      <c r="T72" s="414"/>
      <c r="U72" s="414"/>
      <c r="V72" s="414"/>
      <c r="W72" s="414"/>
      <c r="X72" s="414"/>
      <c r="Y72" s="414"/>
      <c r="Z72" s="414"/>
    </row>
    <row r="73" ht="21.75" customHeight="1">
      <c r="A73" s="173" t="s">
        <v>1508</v>
      </c>
      <c r="B73" s="415" t="s">
        <v>15</v>
      </c>
      <c r="C73" s="50">
        <v>900.0</v>
      </c>
      <c r="D73" s="45">
        <v>26051.77</v>
      </c>
      <c r="E73" s="45">
        <v>27163.17</v>
      </c>
      <c r="F73" s="365" t="s">
        <v>1568</v>
      </c>
      <c r="G73" s="52"/>
      <c r="H73" s="414"/>
      <c r="I73" s="414"/>
      <c r="J73" s="414"/>
      <c r="K73" s="414"/>
      <c r="L73" s="414"/>
      <c r="M73" s="414"/>
      <c r="N73" s="414"/>
      <c r="O73" s="414"/>
      <c r="P73" s="414"/>
      <c r="Q73" s="414"/>
      <c r="R73" s="414"/>
      <c r="S73" s="414"/>
      <c r="T73" s="414"/>
      <c r="U73" s="414"/>
      <c r="V73" s="414"/>
      <c r="W73" s="414"/>
      <c r="X73" s="414"/>
      <c r="Y73" s="414"/>
      <c r="Z73" s="414"/>
    </row>
    <row r="74" ht="21.75" customHeight="1">
      <c r="A74" s="416" t="s">
        <v>1569</v>
      </c>
      <c r="B74" s="431"/>
      <c r="C74" s="429"/>
      <c r="D74" s="430"/>
      <c r="E74" s="430"/>
      <c r="F74" s="365" t="s">
        <v>1570</v>
      </c>
      <c r="G74" s="52"/>
      <c r="H74" s="414"/>
      <c r="I74" s="414"/>
      <c r="J74" s="414"/>
      <c r="K74" s="414"/>
      <c r="L74" s="414"/>
      <c r="M74" s="414"/>
      <c r="N74" s="414"/>
      <c r="O74" s="414"/>
      <c r="P74" s="414"/>
      <c r="Q74" s="414"/>
      <c r="R74" s="414"/>
      <c r="S74" s="414"/>
      <c r="T74" s="414"/>
      <c r="U74" s="414"/>
      <c r="V74" s="414"/>
      <c r="W74" s="414"/>
      <c r="X74" s="414"/>
      <c r="Y74" s="414"/>
      <c r="Z74" s="414"/>
    </row>
    <row r="75" ht="21.75" customHeight="1">
      <c r="A75" s="432"/>
      <c r="B75" s="433"/>
      <c r="C75" s="434"/>
      <c r="D75" s="435"/>
      <c r="E75" s="435"/>
      <c r="F75" s="425" t="s">
        <v>1571</v>
      </c>
      <c r="G75" s="52"/>
      <c r="H75" s="414"/>
      <c r="I75" s="414"/>
      <c r="J75" s="414"/>
      <c r="K75" s="414"/>
      <c r="L75" s="414"/>
      <c r="M75" s="414"/>
      <c r="N75" s="414"/>
      <c r="O75" s="414"/>
      <c r="P75" s="414"/>
      <c r="Q75" s="414"/>
      <c r="R75" s="414"/>
      <c r="S75" s="414"/>
      <c r="T75" s="414"/>
      <c r="U75" s="414"/>
      <c r="V75" s="414"/>
      <c r="W75" s="414"/>
      <c r="X75" s="414"/>
      <c r="Y75" s="414"/>
      <c r="Z75" s="414"/>
    </row>
    <row r="76" ht="21.75" customHeight="1">
      <c r="A76" s="426" t="s">
        <v>1572</v>
      </c>
      <c r="B76" s="27"/>
      <c r="C76" s="421" t="s">
        <v>8</v>
      </c>
      <c r="D76" s="422" t="s">
        <v>9</v>
      </c>
      <c r="E76" s="422" t="s">
        <v>10</v>
      </c>
      <c r="F76" s="427" t="s">
        <v>11</v>
      </c>
      <c r="G76" s="52"/>
      <c r="H76" s="414"/>
      <c r="I76" s="414"/>
      <c r="J76" s="414"/>
      <c r="K76" s="414"/>
      <c r="L76" s="414"/>
      <c r="M76" s="414"/>
      <c r="N76" s="414"/>
      <c r="O76" s="414"/>
      <c r="P76" s="414"/>
      <c r="Q76" s="414"/>
      <c r="R76" s="414"/>
      <c r="S76" s="414"/>
      <c r="T76" s="414"/>
      <c r="U76" s="414"/>
      <c r="V76" s="414"/>
      <c r="W76" s="414"/>
      <c r="X76" s="414"/>
      <c r="Y76" s="414"/>
      <c r="Z76" s="414"/>
    </row>
    <row r="77" ht="21.75" customHeight="1">
      <c r="A77" s="428" t="s">
        <v>12</v>
      </c>
      <c r="B77" s="37"/>
      <c r="C77" s="429"/>
      <c r="D77" s="430"/>
      <c r="E77" s="430"/>
      <c r="F77" s="365" t="s">
        <v>13</v>
      </c>
      <c r="G77" s="52"/>
      <c r="H77" s="414"/>
      <c r="I77" s="414"/>
      <c r="J77" s="414"/>
      <c r="K77" s="414"/>
      <c r="L77" s="414"/>
      <c r="M77" s="414"/>
      <c r="N77" s="414"/>
      <c r="O77" s="414"/>
      <c r="P77" s="414"/>
      <c r="Q77" s="414"/>
      <c r="R77" s="414"/>
      <c r="S77" s="414"/>
      <c r="T77" s="414"/>
      <c r="U77" s="414"/>
      <c r="V77" s="414"/>
      <c r="W77" s="414"/>
      <c r="X77" s="414"/>
      <c r="Y77" s="414"/>
      <c r="Z77" s="414"/>
    </row>
    <row r="78" ht="21.75" customHeight="1">
      <c r="A78" s="173" t="s">
        <v>1573</v>
      </c>
      <c r="B78" s="415" t="s">
        <v>1333</v>
      </c>
      <c r="C78" s="50">
        <v>1242.0</v>
      </c>
      <c r="D78" s="45">
        <v>26671.66</v>
      </c>
      <c r="E78" s="45">
        <v>28197.36</v>
      </c>
      <c r="F78" s="365" t="s">
        <v>1574</v>
      </c>
      <c r="G78" s="52"/>
      <c r="H78" s="414"/>
      <c r="I78" s="414"/>
      <c r="J78" s="414"/>
      <c r="K78" s="414"/>
      <c r="L78" s="414"/>
      <c r="M78" s="414"/>
      <c r="N78" s="414"/>
      <c r="O78" s="414"/>
      <c r="P78" s="414"/>
      <c r="Q78" s="414"/>
      <c r="R78" s="414"/>
      <c r="S78" s="414"/>
      <c r="T78" s="414"/>
      <c r="U78" s="414"/>
      <c r="V78" s="414"/>
      <c r="W78" s="414"/>
      <c r="X78" s="414"/>
      <c r="Y78" s="414"/>
      <c r="Z78" s="414"/>
    </row>
    <row r="79" ht="21.75" customHeight="1">
      <c r="A79" s="416" t="s">
        <v>1575</v>
      </c>
      <c r="B79" s="431"/>
      <c r="C79" s="429"/>
      <c r="D79" s="430"/>
      <c r="E79" s="430"/>
      <c r="F79" s="365" t="s">
        <v>1576</v>
      </c>
      <c r="G79" s="52"/>
      <c r="H79" s="414"/>
      <c r="I79" s="414"/>
      <c r="J79" s="414"/>
      <c r="K79" s="414"/>
      <c r="L79" s="414"/>
      <c r="M79" s="414"/>
      <c r="N79" s="414"/>
      <c r="O79" s="414"/>
      <c r="P79" s="414"/>
      <c r="Q79" s="414"/>
      <c r="R79" s="414"/>
      <c r="S79" s="414"/>
      <c r="T79" s="414"/>
      <c r="U79" s="414"/>
      <c r="V79" s="414"/>
      <c r="W79" s="414"/>
      <c r="X79" s="414"/>
      <c r="Y79" s="414"/>
      <c r="Z79" s="414"/>
    </row>
    <row r="80" ht="21.75" customHeight="1">
      <c r="A80" s="432"/>
      <c r="B80" s="433"/>
      <c r="C80" s="434"/>
      <c r="D80" s="435"/>
      <c r="E80" s="435"/>
      <c r="F80" s="425" t="s">
        <v>1577</v>
      </c>
      <c r="G80" s="52"/>
      <c r="H80" s="414"/>
      <c r="I80" s="414"/>
      <c r="J80" s="414"/>
      <c r="K80" s="414"/>
      <c r="L80" s="414"/>
      <c r="M80" s="414"/>
      <c r="N80" s="414"/>
      <c r="O80" s="414"/>
      <c r="P80" s="414"/>
      <c r="Q80" s="414"/>
      <c r="R80" s="414"/>
      <c r="S80" s="414"/>
      <c r="T80" s="414"/>
      <c r="U80" s="414"/>
      <c r="V80" s="414"/>
      <c r="W80" s="414"/>
      <c r="X80" s="414"/>
      <c r="Y80" s="414"/>
      <c r="Z80" s="414"/>
    </row>
    <row r="81" ht="21.75" customHeight="1">
      <c r="A81" s="426" t="s">
        <v>1578</v>
      </c>
      <c r="B81" s="27"/>
      <c r="C81" s="421" t="s">
        <v>8</v>
      </c>
      <c r="D81" s="422" t="s">
        <v>9</v>
      </c>
      <c r="E81" s="422" t="s">
        <v>10</v>
      </c>
      <c r="F81" s="427" t="s">
        <v>11</v>
      </c>
      <c r="G81" s="52"/>
      <c r="H81" s="414"/>
      <c r="I81" s="414"/>
      <c r="J81" s="414"/>
      <c r="K81" s="414"/>
      <c r="L81" s="414"/>
      <c r="M81" s="414"/>
      <c r="N81" s="414"/>
      <c r="O81" s="414"/>
      <c r="P81" s="414"/>
      <c r="Q81" s="414"/>
      <c r="R81" s="414"/>
      <c r="S81" s="414"/>
      <c r="T81" s="414"/>
      <c r="U81" s="414"/>
      <c r="V81" s="414"/>
      <c r="W81" s="414"/>
      <c r="X81" s="414"/>
      <c r="Y81" s="414"/>
      <c r="Z81" s="414"/>
    </row>
    <row r="82" ht="21.75" customHeight="1">
      <c r="A82" s="428" t="s">
        <v>12</v>
      </c>
      <c r="B82" s="37"/>
      <c r="C82" s="429"/>
      <c r="D82" s="430"/>
      <c r="E82" s="430"/>
      <c r="F82" s="365" t="s">
        <v>13</v>
      </c>
      <c r="G82" s="52"/>
      <c r="H82" s="414"/>
      <c r="I82" s="414"/>
      <c r="J82" s="414"/>
      <c r="K82" s="414"/>
      <c r="L82" s="414"/>
      <c r="M82" s="414"/>
      <c r="N82" s="414"/>
      <c r="O82" s="414"/>
      <c r="P82" s="414"/>
      <c r="Q82" s="414"/>
      <c r="R82" s="414"/>
      <c r="S82" s="414"/>
      <c r="T82" s="414"/>
      <c r="U82" s="414"/>
      <c r="V82" s="414"/>
      <c r="W82" s="414"/>
      <c r="X82" s="414"/>
      <c r="Y82" s="414"/>
      <c r="Z82" s="414"/>
    </row>
    <row r="83" ht="21.75" customHeight="1">
      <c r="A83" s="173" t="s">
        <v>1573</v>
      </c>
      <c r="B83" s="415" t="s">
        <v>1333</v>
      </c>
      <c r="C83" s="50">
        <v>1226.0</v>
      </c>
      <c r="D83" s="45">
        <v>26425.47</v>
      </c>
      <c r="E83" s="45">
        <v>27827.57</v>
      </c>
      <c r="F83" s="365" t="s">
        <v>1579</v>
      </c>
      <c r="G83" s="52"/>
      <c r="H83" s="414"/>
      <c r="I83" s="414"/>
      <c r="J83" s="414"/>
      <c r="K83" s="414"/>
      <c r="L83" s="414"/>
      <c r="M83" s="414"/>
      <c r="N83" s="414"/>
      <c r="O83" s="414"/>
      <c r="P83" s="414"/>
      <c r="Q83" s="414"/>
      <c r="R83" s="414"/>
      <c r="S83" s="414"/>
      <c r="T83" s="414"/>
      <c r="U83" s="414"/>
      <c r="V83" s="414"/>
      <c r="W83" s="414"/>
      <c r="X83" s="414"/>
      <c r="Y83" s="414"/>
      <c r="Z83" s="414"/>
    </row>
    <row r="84" ht="21.75" customHeight="1">
      <c r="A84" s="416" t="s">
        <v>1580</v>
      </c>
      <c r="B84" s="431"/>
      <c r="C84" s="429"/>
      <c r="D84" s="430"/>
      <c r="E84" s="430"/>
      <c r="F84" s="365" t="s">
        <v>1581</v>
      </c>
      <c r="G84" s="52"/>
      <c r="H84" s="414"/>
      <c r="I84" s="414"/>
      <c r="J84" s="414"/>
      <c r="K84" s="414"/>
      <c r="L84" s="414"/>
      <c r="M84" s="414"/>
      <c r="N84" s="414"/>
      <c r="O84" s="414"/>
      <c r="P84" s="414"/>
      <c r="Q84" s="414"/>
      <c r="R84" s="414"/>
      <c r="S84" s="414"/>
      <c r="T84" s="414"/>
      <c r="U84" s="414"/>
      <c r="V84" s="414"/>
      <c r="W84" s="414"/>
      <c r="X84" s="414"/>
      <c r="Y84" s="414"/>
      <c r="Z84" s="414"/>
    </row>
    <row r="85" ht="21.75" customHeight="1">
      <c r="A85" s="432"/>
      <c r="B85" s="433"/>
      <c r="C85" s="434"/>
      <c r="D85" s="435"/>
      <c r="E85" s="435"/>
      <c r="F85" s="425" t="s">
        <v>1582</v>
      </c>
      <c r="G85" s="52"/>
      <c r="H85" s="414"/>
      <c r="I85" s="414"/>
      <c r="J85" s="414"/>
      <c r="K85" s="414"/>
      <c r="L85" s="414"/>
      <c r="M85" s="414"/>
      <c r="N85" s="414"/>
      <c r="O85" s="414"/>
      <c r="P85" s="414"/>
      <c r="Q85" s="414"/>
      <c r="R85" s="414"/>
      <c r="S85" s="414"/>
      <c r="T85" s="414"/>
      <c r="U85" s="414"/>
      <c r="V85" s="414"/>
      <c r="W85" s="414"/>
      <c r="X85" s="414"/>
      <c r="Y85" s="414"/>
      <c r="Z85" s="414"/>
    </row>
    <row r="86" ht="21.75" customHeight="1">
      <c r="A86" s="426" t="s">
        <v>1583</v>
      </c>
      <c r="B86" s="27"/>
      <c r="C86" s="421" t="s">
        <v>8</v>
      </c>
      <c r="D86" s="422" t="s">
        <v>9</v>
      </c>
      <c r="E86" s="422" t="s">
        <v>10</v>
      </c>
      <c r="F86" s="427" t="s">
        <v>11</v>
      </c>
      <c r="G86" s="52"/>
      <c r="H86" s="414"/>
      <c r="I86" s="414"/>
      <c r="J86" s="414"/>
      <c r="K86" s="414"/>
      <c r="L86" s="414"/>
      <c r="M86" s="414"/>
      <c r="N86" s="414"/>
      <c r="O86" s="414"/>
      <c r="P86" s="414"/>
      <c r="Q86" s="414"/>
      <c r="R86" s="414"/>
      <c r="S86" s="414"/>
      <c r="T86" s="414"/>
      <c r="U86" s="414"/>
      <c r="V86" s="414"/>
      <c r="W86" s="414"/>
      <c r="X86" s="414"/>
      <c r="Y86" s="414"/>
      <c r="Z86" s="414"/>
    </row>
    <row r="87" ht="21.75" customHeight="1">
      <c r="A87" s="428" t="s">
        <v>12</v>
      </c>
      <c r="B87" s="37"/>
      <c r="C87" s="429"/>
      <c r="D87" s="430"/>
      <c r="E87" s="430"/>
      <c r="F87" s="365" t="s">
        <v>13</v>
      </c>
      <c r="G87" s="52"/>
      <c r="H87" s="414"/>
      <c r="I87" s="414"/>
      <c r="J87" s="414"/>
      <c r="K87" s="414"/>
      <c r="L87" s="414"/>
      <c r="M87" s="414"/>
      <c r="N87" s="414"/>
      <c r="O87" s="414"/>
      <c r="P87" s="414"/>
      <c r="Q87" s="414"/>
      <c r="R87" s="414"/>
      <c r="S87" s="414"/>
      <c r="T87" s="414"/>
      <c r="U87" s="414"/>
      <c r="V87" s="414"/>
      <c r="W87" s="414"/>
      <c r="X87" s="414"/>
      <c r="Y87" s="414"/>
      <c r="Z87" s="414"/>
    </row>
    <row r="88" ht="21.75" customHeight="1">
      <c r="A88" s="173" t="s">
        <v>1573</v>
      </c>
      <c r="B88" s="415" t="s">
        <v>1333</v>
      </c>
      <c r="C88" s="50">
        <v>1044.0</v>
      </c>
      <c r="D88" s="45">
        <v>26669.16</v>
      </c>
      <c r="E88" s="45">
        <v>28107.44</v>
      </c>
      <c r="F88" s="365" t="s">
        <v>1584</v>
      </c>
      <c r="G88" s="52"/>
      <c r="H88" s="414"/>
      <c r="I88" s="414"/>
      <c r="J88" s="414"/>
      <c r="K88" s="414"/>
      <c r="L88" s="414"/>
      <c r="M88" s="414"/>
      <c r="N88" s="414"/>
      <c r="O88" s="414"/>
      <c r="P88" s="414"/>
      <c r="Q88" s="414"/>
      <c r="R88" s="414"/>
      <c r="S88" s="414"/>
      <c r="T88" s="414"/>
      <c r="U88" s="414"/>
      <c r="V88" s="414"/>
      <c r="W88" s="414"/>
      <c r="X88" s="414"/>
      <c r="Y88" s="414"/>
      <c r="Z88" s="414"/>
    </row>
    <row r="89" ht="21.75" customHeight="1">
      <c r="A89" s="416" t="s">
        <v>67</v>
      </c>
      <c r="B89" s="431"/>
      <c r="C89" s="429"/>
      <c r="D89" s="430"/>
      <c r="E89" s="430"/>
      <c r="F89" s="365" t="s">
        <v>1585</v>
      </c>
      <c r="G89" s="52"/>
      <c r="H89" s="414"/>
      <c r="I89" s="414"/>
      <c r="J89" s="414"/>
      <c r="K89" s="414"/>
      <c r="L89" s="414"/>
      <c r="M89" s="414"/>
      <c r="N89" s="414"/>
      <c r="O89" s="414"/>
      <c r="P89" s="414"/>
      <c r="Q89" s="414"/>
      <c r="R89" s="414"/>
      <c r="S89" s="414"/>
      <c r="T89" s="414"/>
      <c r="U89" s="414"/>
      <c r="V89" s="414"/>
      <c r="W89" s="414"/>
      <c r="X89" s="414"/>
      <c r="Y89" s="414"/>
      <c r="Z89" s="414"/>
    </row>
    <row r="90" ht="21.75" customHeight="1">
      <c r="A90" s="432"/>
      <c r="B90" s="433"/>
      <c r="C90" s="434"/>
      <c r="D90" s="435"/>
      <c r="E90" s="435"/>
      <c r="F90" s="425" t="s">
        <v>1586</v>
      </c>
      <c r="G90" s="52"/>
      <c r="H90" s="414"/>
      <c r="I90" s="414"/>
      <c r="J90" s="414"/>
      <c r="K90" s="414"/>
      <c r="L90" s="414"/>
      <c r="M90" s="414"/>
      <c r="N90" s="414"/>
      <c r="O90" s="414"/>
      <c r="P90" s="414"/>
      <c r="Q90" s="414"/>
      <c r="R90" s="414"/>
      <c r="S90" s="414"/>
      <c r="T90" s="414"/>
      <c r="U90" s="414"/>
      <c r="V90" s="414"/>
      <c r="W90" s="414"/>
      <c r="X90" s="414"/>
      <c r="Y90" s="414"/>
      <c r="Z90" s="414"/>
    </row>
    <row r="91" ht="21.75" customHeight="1">
      <c r="A91" s="426" t="s">
        <v>1587</v>
      </c>
      <c r="B91" s="27"/>
      <c r="C91" s="421" t="s">
        <v>8</v>
      </c>
      <c r="D91" s="422" t="s">
        <v>9</v>
      </c>
      <c r="E91" s="422" t="s">
        <v>10</v>
      </c>
      <c r="F91" s="427" t="s">
        <v>11</v>
      </c>
      <c r="G91" s="52"/>
      <c r="H91" s="414"/>
      <c r="I91" s="414"/>
      <c r="J91" s="414"/>
      <c r="K91" s="414"/>
      <c r="L91" s="414"/>
      <c r="M91" s="414"/>
      <c r="N91" s="414"/>
      <c r="O91" s="414"/>
      <c r="P91" s="414"/>
      <c r="Q91" s="414"/>
      <c r="R91" s="414"/>
      <c r="S91" s="414"/>
      <c r="T91" s="414"/>
      <c r="U91" s="414"/>
      <c r="V91" s="414"/>
      <c r="W91" s="414"/>
      <c r="X91" s="414"/>
      <c r="Y91" s="414"/>
      <c r="Z91" s="414"/>
    </row>
    <row r="92" ht="21.75" customHeight="1">
      <c r="A92" s="428" t="s">
        <v>12</v>
      </c>
      <c r="B92" s="37"/>
      <c r="C92" s="429"/>
      <c r="D92" s="430"/>
      <c r="E92" s="430"/>
      <c r="F92" s="365" t="s">
        <v>13</v>
      </c>
      <c r="G92" s="52"/>
      <c r="H92" s="414"/>
      <c r="I92" s="414"/>
      <c r="J92" s="414"/>
      <c r="K92" s="414"/>
      <c r="L92" s="414"/>
      <c r="M92" s="414"/>
      <c r="N92" s="414"/>
      <c r="O92" s="414"/>
      <c r="P92" s="414"/>
      <c r="Q92" s="414"/>
      <c r="R92" s="414"/>
      <c r="S92" s="414"/>
      <c r="T92" s="414"/>
      <c r="U92" s="414"/>
      <c r="V92" s="414"/>
      <c r="W92" s="414"/>
      <c r="X92" s="414"/>
      <c r="Y92" s="414"/>
      <c r="Z92" s="414"/>
    </row>
    <row r="93" ht="21.75" customHeight="1">
      <c r="A93" s="173" t="s">
        <v>1573</v>
      </c>
      <c r="B93" s="415" t="s">
        <v>1333</v>
      </c>
      <c r="C93" s="50">
        <v>900.0</v>
      </c>
      <c r="D93" s="45">
        <v>26088.3</v>
      </c>
      <c r="E93" s="45">
        <v>27342.29</v>
      </c>
      <c r="F93" s="365" t="s">
        <v>1588</v>
      </c>
      <c r="G93" s="52"/>
      <c r="H93" s="414"/>
      <c r="I93" s="414"/>
      <c r="J93" s="414"/>
      <c r="K93" s="414"/>
      <c r="L93" s="414"/>
      <c r="M93" s="414"/>
      <c r="N93" s="414"/>
      <c r="O93" s="414"/>
      <c r="P93" s="414"/>
      <c r="Q93" s="414"/>
      <c r="R93" s="414"/>
      <c r="S93" s="414"/>
      <c r="T93" s="414"/>
      <c r="U93" s="414"/>
      <c r="V93" s="414"/>
      <c r="W93" s="414"/>
      <c r="X93" s="414"/>
      <c r="Y93" s="414"/>
      <c r="Z93" s="414"/>
    </row>
    <row r="94" ht="21.75" customHeight="1">
      <c r="A94" s="416" t="s">
        <v>164</v>
      </c>
      <c r="B94" s="431"/>
      <c r="C94" s="429"/>
      <c r="D94" s="430"/>
      <c r="E94" s="430"/>
      <c r="F94" s="365" t="s">
        <v>1589</v>
      </c>
      <c r="G94" s="52"/>
      <c r="H94" s="414"/>
      <c r="I94" s="414"/>
      <c r="J94" s="414"/>
      <c r="K94" s="414"/>
      <c r="L94" s="414"/>
      <c r="M94" s="414"/>
      <c r="N94" s="414"/>
      <c r="O94" s="414"/>
      <c r="P94" s="414"/>
      <c r="Q94" s="414"/>
      <c r="R94" s="414"/>
      <c r="S94" s="414"/>
      <c r="T94" s="414"/>
      <c r="U94" s="414"/>
      <c r="V94" s="414"/>
      <c r="W94" s="414"/>
      <c r="X94" s="414"/>
      <c r="Y94" s="414"/>
      <c r="Z94" s="414"/>
    </row>
    <row r="95" ht="21.75" customHeight="1">
      <c r="A95" s="432"/>
      <c r="B95" s="433"/>
      <c r="C95" s="434"/>
      <c r="D95" s="435"/>
      <c r="E95" s="435"/>
      <c r="F95" s="425" t="s">
        <v>1590</v>
      </c>
      <c r="G95" s="52"/>
      <c r="H95" s="414"/>
      <c r="I95" s="414"/>
      <c r="J95" s="414"/>
      <c r="K95" s="414"/>
      <c r="L95" s="414"/>
      <c r="M95" s="414"/>
      <c r="N95" s="414"/>
      <c r="O95" s="414"/>
      <c r="P95" s="414"/>
      <c r="Q95" s="414"/>
      <c r="R95" s="414"/>
      <c r="S95" s="414"/>
      <c r="T95" s="414"/>
      <c r="U95" s="414"/>
      <c r="V95" s="414"/>
      <c r="W95" s="414"/>
      <c r="X95" s="414"/>
      <c r="Y95" s="414"/>
      <c r="Z95" s="414"/>
    </row>
    <row r="96" ht="21.75" customHeight="1">
      <c r="A96" s="426" t="s">
        <v>1591</v>
      </c>
      <c r="B96" s="27"/>
      <c r="C96" s="421" t="s">
        <v>8</v>
      </c>
      <c r="D96" s="422" t="s">
        <v>9</v>
      </c>
      <c r="E96" s="422" t="s">
        <v>10</v>
      </c>
      <c r="F96" s="427" t="s">
        <v>11</v>
      </c>
      <c r="G96" s="52"/>
      <c r="H96" s="414"/>
      <c r="I96" s="414"/>
      <c r="J96" s="414"/>
      <c r="K96" s="414"/>
      <c r="L96" s="414"/>
      <c r="M96" s="414"/>
      <c r="N96" s="414"/>
      <c r="O96" s="414"/>
      <c r="P96" s="414"/>
      <c r="Q96" s="414"/>
      <c r="R96" s="414"/>
      <c r="S96" s="414"/>
      <c r="T96" s="414"/>
      <c r="U96" s="414"/>
      <c r="V96" s="414"/>
      <c r="W96" s="414"/>
      <c r="X96" s="414"/>
      <c r="Y96" s="414"/>
      <c r="Z96" s="414"/>
    </row>
    <row r="97" ht="21.75" customHeight="1">
      <c r="A97" s="428" t="s">
        <v>12</v>
      </c>
      <c r="B97" s="37"/>
      <c r="C97" s="429"/>
      <c r="D97" s="430"/>
      <c r="E97" s="430"/>
      <c r="F97" s="365" t="s">
        <v>13</v>
      </c>
      <c r="G97" s="52"/>
      <c r="H97" s="414"/>
      <c r="I97" s="414"/>
      <c r="J97" s="414"/>
      <c r="K97" s="414"/>
      <c r="L97" s="414"/>
      <c r="M97" s="414"/>
      <c r="N97" s="414"/>
      <c r="O97" s="414"/>
      <c r="P97" s="414"/>
      <c r="Q97" s="414"/>
      <c r="R97" s="414"/>
      <c r="S97" s="414"/>
      <c r="T97" s="414"/>
      <c r="U97" s="414"/>
      <c r="V97" s="414"/>
      <c r="W97" s="414"/>
      <c r="X97" s="414"/>
      <c r="Y97" s="414"/>
      <c r="Z97" s="414"/>
    </row>
    <row r="98" ht="21.75" customHeight="1">
      <c r="A98" s="173" t="s">
        <v>1573</v>
      </c>
      <c r="B98" s="415" t="s">
        <v>1333</v>
      </c>
      <c r="C98" s="50">
        <v>744.0</v>
      </c>
      <c r="D98" s="45">
        <v>21740.13</v>
      </c>
      <c r="E98" s="45">
        <v>22767.41</v>
      </c>
      <c r="F98" s="365" t="s">
        <v>1592</v>
      </c>
      <c r="G98" s="52"/>
      <c r="H98" s="414"/>
      <c r="I98" s="414"/>
      <c r="J98" s="414"/>
      <c r="K98" s="414"/>
      <c r="L98" s="414"/>
      <c r="M98" s="414"/>
      <c r="N98" s="414"/>
      <c r="O98" s="414"/>
      <c r="P98" s="414"/>
      <c r="Q98" s="414"/>
      <c r="R98" s="414"/>
      <c r="S98" s="414"/>
      <c r="T98" s="414"/>
      <c r="U98" s="414"/>
      <c r="V98" s="414"/>
      <c r="W98" s="414"/>
      <c r="X98" s="414"/>
      <c r="Y98" s="414"/>
      <c r="Z98" s="414"/>
    </row>
    <row r="99" ht="21.75" customHeight="1">
      <c r="A99" s="416" t="s">
        <v>1593</v>
      </c>
      <c r="B99" s="431"/>
      <c r="C99" s="429"/>
      <c r="D99" s="430"/>
      <c r="E99" s="430"/>
      <c r="F99" s="365" t="s">
        <v>1594</v>
      </c>
      <c r="G99" s="52"/>
      <c r="H99" s="414"/>
      <c r="I99" s="414"/>
      <c r="J99" s="414"/>
      <c r="K99" s="414"/>
      <c r="L99" s="414"/>
      <c r="M99" s="414"/>
      <c r="N99" s="414"/>
      <c r="O99" s="414"/>
      <c r="P99" s="414"/>
      <c r="Q99" s="414"/>
      <c r="R99" s="414"/>
      <c r="S99" s="414"/>
      <c r="T99" s="414"/>
      <c r="U99" s="414"/>
      <c r="V99" s="414"/>
      <c r="W99" s="414"/>
      <c r="X99" s="414"/>
      <c r="Y99" s="414"/>
      <c r="Z99" s="414"/>
    </row>
    <row r="100" ht="21.75" customHeight="1">
      <c r="A100" s="432"/>
      <c r="B100" s="433"/>
      <c r="C100" s="434"/>
      <c r="D100" s="435"/>
      <c r="E100" s="435"/>
      <c r="F100" s="425" t="s">
        <v>1595</v>
      </c>
      <c r="G100" s="52"/>
      <c r="H100" s="414"/>
      <c r="I100" s="414"/>
      <c r="J100" s="414"/>
      <c r="K100" s="414"/>
      <c r="L100" s="414"/>
      <c r="M100" s="414"/>
      <c r="N100" s="414"/>
      <c r="O100" s="414"/>
      <c r="P100" s="414"/>
      <c r="Q100" s="414"/>
      <c r="R100" s="414"/>
      <c r="S100" s="414"/>
      <c r="T100" s="414"/>
      <c r="U100" s="414"/>
      <c r="V100" s="414"/>
      <c r="W100" s="414"/>
      <c r="X100" s="414"/>
      <c r="Y100" s="414"/>
      <c r="Z100" s="414"/>
    </row>
    <row r="101" ht="21.75" customHeight="1">
      <c r="A101" s="426" t="s">
        <v>1596</v>
      </c>
      <c r="B101" s="27"/>
      <c r="C101" s="421" t="s">
        <v>8</v>
      </c>
      <c r="D101" s="422" t="s">
        <v>9</v>
      </c>
      <c r="E101" s="422" t="s">
        <v>10</v>
      </c>
      <c r="F101" s="427" t="s">
        <v>11</v>
      </c>
      <c r="G101" s="52"/>
      <c r="H101" s="414"/>
      <c r="I101" s="414"/>
      <c r="J101" s="414"/>
      <c r="K101" s="414"/>
      <c r="L101" s="414"/>
      <c r="M101" s="414"/>
      <c r="N101" s="414"/>
      <c r="O101" s="414"/>
      <c r="P101" s="414"/>
      <c r="Q101" s="414"/>
      <c r="R101" s="414"/>
      <c r="S101" s="414"/>
      <c r="T101" s="414"/>
      <c r="U101" s="414"/>
      <c r="V101" s="414"/>
      <c r="W101" s="414"/>
      <c r="X101" s="414"/>
      <c r="Y101" s="414"/>
      <c r="Z101" s="414"/>
    </row>
    <row r="102" ht="21.75" customHeight="1">
      <c r="A102" s="428" t="s">
        <v>12</v>
      </c>
      <c r="B102" s="37"/>
      <c r="C102" s="429"/>
      <c r="D102" s="430"/>
      <c r="E102" s="430"/>
      <c r="F102" s="365" t="s">
        <v>13</v>
      </c>
      <c r="G102" s="52"/>
      <c r="H102" s="414"/>
      <c r="I102" s="414"/>
      <c r="J102" s="414"/>
      <c r="K102" s="414"/>
      <c r="L102" s="414"/>
      <c r="M102" s="414"/>
      <c r="N102" s="414"/>
      <c r="O102" s="414"/>
      <c r="P102" s="414"/>
      <c r="Q102" s="414"/>
      <c r="R102" s="414"/>
      <c r="S102" s="414"/>
      <c r="T102" s="414"/>
      <c r="U102" s="414"/>
      <c r="V102" s="414"/>
      <c r="W102" s="414"/>
      <c r="X102" s="414"/>
      <c r="Y102" s="414"/>
      <c r="Z102" s="414"/>
    </row>
    <row r="103" ht="21.75" customHeight="1">
      <c r="A103" s="173" t="s">
        <v>1508</v>
      </c>
      <c r="B103" s="415" t="s">
        <v>15</v>
      </c>
      <c r="C103" s="50">
        <v>868.0</v>
      </c>
      <c r="D103" s="45">
        <v>24005.47</v>
      </c>
      <c r="E103" s="45">
        <v>25043.27</v>
      </c>
      <c r="F103" s="365" t="s">
        <v>1597</v>
      </c>
      <c r="G103" s="52"/>
      <c r="H103" s="414"/>
      <c r="I103" s="414"/>
      <c r="J103" s="414"/>
      <c r="K103" s="414"/>
      <c r="L103" s="414"/>
      <c r="M103" s="414"/>
      <c r="N103" s="414"/>
      <c r="O103" s="414"/>
      <c r="P103" s="414"/>
      <c r="Q103" s="414"/>
      <c r="R103" s="414"/>
      <c r="S103" s="414"/>
      <c r="T103" s="414"/>
      <c r="U103" s="414"/>
      <c r="V103" s="414"/>
      <c r="W103" s="414"/>
      <c r="X103" s="414"/>
      <c r="Y103" s="414"/>
      <c r="Z103" s="414"/>
    </row>
    <row r="104" ht="21.75" customHeight="1">
      <c r="A104" s="416" t="s">
        <v>1598</v>
      </c>
      <c r="B104" s="431"/>
      <c r="C104" s="429"/>
      <c r="D104" s="430"/>
      <c r="E104" s="430"/>
      <c r="F104" s="365" t="s">
        <v>1599</v>
      </c>
      <c r="G104" s="52"/>
      <c r="H104" s="414"/>
      <c r="I104" s="414"/>
      <c r="J104" s="414"/>
      <c r="K104" s="414"/>
      <c r="L104" s="414"/>
      <c r="M104" s="414"/>
      <c r="N104" s="414"/>
      <c r="O104" s="414"/>
      <c r="P104" s="414"/>
      <c r="Q104" s="414"/>
      <c r="R104" s="414"/>
      <c r="S104" s="414"/>
      <c r="T104" s="414"/>
      <c r="U104" s="414"/>
      <c r="V104" s="414"/>
      <c r="W104" s="414"/>
      <c r="X104" s="414"/>
      <c r="Y104" s="414"/>
      <c r="Z104" s="414"/>
    </row>
    <row r="105" ht="21.75" customHeight="1">
      <c r="A105" s="432"/>
      <c r="B105" s="433"/>
      <c r="C105" s="434"/>
      <c r="D105" s="435"/>
      <c r="E105" s="435"/>
      <c r="F105" s="425" t="s">
        <v>1600</v>
      </c>
      <c r="G105" s="52"/>
      <c r="H105" s="414"/>
      <c r="I105" s="414"/>
      <c r="J105" s="414"/>
      <c r="K105" s="414"/>
      <c r="L105" s="414"/>
      <c r="M105" s="414"/>
      <c r="N105" s="414"/>
      <c r="O105" s="414"/>
      <c r="P105" s="414"/>
      <c r="Q105" s="414"/>
      <c r="R105" s="414"/>
      <c r="S105" s="414"/>
      <c r="T105" s="414"/>
      <c r="U105" s="414"/>
      <c r="V105" s="414"/>
      <c r="W105" s="414"/>
      <c r="X105" s="414"/>
      <c r="Y105" s="414"/>
      <c r="Z105" s="414"/>
    </row>
    <row r="106" ht="21.75" customHeight="1">
      <c r="A106" s="426" t="s">
        <v>1601</v>
      </c>
      <c r="B106" s="27"/>
      <c r="C106" s="421" t="s">
        <v>8</v>
      </c>
      <c r="D106" s="422" t="s">
        <v>9</v>
      </c>
      <c r="E106" s="422" t="s">
        <v>10</v>
      </c>
      <c r="F106" s="427" t="s">
        <v>11</v>
      </c>
      <c r="G106" s="52"/>
      <c r="H106" s="414"/>
      <c r="I106" s="414"/>
      <c r="J106" s="414"/>
      <c r="K106" s="414"/>
      <c r="L106" s="414"/>
      <c r="M106" s="414"/>
      <c r="N106" s="414"/>
      <c r="O106" s="414"/>
      <c r="P106" s="414"/>
      <c r="Q106" s="414"/>
      <c r="R106" s="414"/>
      <c r="S106" s="414"/>
      <c r="T106" s="414"/>
      <c r="U106" s="414"/>
      <c r="V106" s="414"/>
      <c r="W106" s="414"/>
      <c r="X106" s="414"/>
      <c r="Y106" s="414"/>
      <c r="Z106" s="414"/>
    </row>
    <row r="107" ht="21.75" customHeight="1">
      <c r="A107" s="428" t="s">
        <v>12</v>
      </c>
      <c r="B107" s="37"/>
      <c r="C107" s="429"/>
      <c r="D107" s="430"/>
      <c r="E107" s="430"/>
      <c r="F107" s="365" t="s">
        <v>13</v>
      </c>
      <c r="G107" s="52"/>
      <c r="H107" s="414"/>
      <c r="I107" s="414"/>
      <c r="J107" s="414"/>
      <c r="K107" s="414"/>
      <c r="L107" s="414"/>
      <c r="M107" s="414"/>
      <c r="N107" s="414"/>
      <c r="O107" s="414"/>
      <c r="P107" s="414"/>
      <c r="Q107" s="414"/>
      <c r="R107" s="414"/>
      <c r="S107" s="414"/>
      <c r="T107" s="414"/>
      <c r="U107" s="414"/>
      <c r="V107" s="414"/>
      <c r="W107" s="414"/>
      <c r="X107" s="414"/>
      <c r="Y107" s="414"/>
      <c r="Z107" s="414"/>
    </row>
    <row r="108" ht="21.75" customHeight="1">
      <c r="A108" s="173" t="s">
        <v>1508</v>
      </c>
      <c r="B108" s="415" t="s">
        <v>15</v>
      </c>
      <c r="C108" s="50">
        <v>878.0</v>
      </c>
      <c r="D108" s="45">
        <v>23951.54</v>
      </c>
      <c r="E108" s="45">
        <v>25110.44</v>
      </c>
      <c r="F108" s="365" t="s">
        <v>1602</v>
      </c>
      <c r="G108" s="52"/>
      <c r="H108" s="414"/>
      <c r="I108" s="414"/>
      <c r="J108" s="414"/>
      <c r="K108" s="414"/>
      <c r="L108" s="414"/>
      <c r="M108" s="414"/>
      <c r="N108" s="414"/>
      <c r="O108" s="414"/>
      <c r="P108" s="414"/>
      <c r="Q108" s="414"/>
      <c r="R108" s="414"/>
      <c r="S108" s="414"/>
      <c r="T108" s="414"/>
      <c r="U108" s="414"/>
      <c r="V108" s="414"/>
      <c r="W108" s="414"/>
      <c r="X108" s="414"/>
      <c r="Y108" s="414"/>
      <c r="Z108" s="414"/>
    </row>
    <row r="109" ht="21.75" customHeight="1">
      <c r="A109" s="416" t="s">
        <v>1603</v>
      </c>
      <c r="B109" s="431"/>
      <c r="C109" s="429"/>
      <c r="D109" s="430"/>
      <c r="E109" s="430"/>
      <c r="F109" s="365" t="s">
        <v>1604</v>
      </c>
      <c r="G109" s="52"/>
      <c r="H109" s="414"/>
      <c r="I109" s="414"/>
      <c r="J109" s="414"/>
      <c r="K109" s="414"/>
      <c r="L109" s="414"/>
      <c r="M109" s="414"/>
      <c r="N109" s="414"/>
      <c r="O109" s="414"/>
      <c r="P109" s="414"/>
      <c r="Q109" s="414"/>
      <c r="R109" s="414"/>
      <c r="S109" s="414"/>
      <c r="T109" s="414"/>
      <c r="U109" s="414"/>
      <c r="V109" s="414"/>
      <c r="W109" s="414"/>
      <c r="X109" s="414"/>
      <c r="Y109" s="414"/>
      <c r="Z109" s="414"/>
    </row>
    <row r="110" ht="21.75" customHeight="1">
      <c r="A110" s="432"/>
      <c r="B110" s="433"/>
      <c r="C110" s="434"/>
      <c r="D110" s="435"/>
      <c r="E110" s="435"/>
      <c r="F110" s="425" t="s">
        <v>1605</v>
      </c>
      <c r="G110" s="52"/>
      <c r="H110" s="414"/>
      <c r="I110" s="414"/>
      <c r="J110" s="414"/>
      <c r="K110" s="414"/>
      <c r="L110" s="414"/>
      <c r="M110" s="414"/>
      <c r="N110" s="414"/>
      <c r="O110" s="414"/>
      <c r="P110" s="414"/>
      <c r="Q110" s="414"/>
      <c r="R110" s="414"/>
      <c r="S110" s="414"/>
      <c r="T110" s="414"/>
      <c r="U110" s="414"/>
      <c r="V110" s="414"/>
      <c r="W110" s="414"/>
      <c r="X110" s="414"/>
      <c r="Y110" s="414"/>
      <c r="Z110" s="414"/>
    </row>
    <row r="111" ht="21.75" customHeight="1">
      <c r="A111" s="426" t="s">
        <v>1606</v>
      </c>
      <c r="B111" s="27"/>
      <c r="C111" s="421" t="s">
        <v>8</v>
      </c>
      <c r="D111" s="422" t="s">
        <v>9</v>
      </c>
      <c r="E111" s="422" t="s">
        <v>10</v>
      </c>
      <c r="F111" s="427" t="s">
        <v>11</v>
      </c>
      <c r="G111" s="52"/>
      <c r="H111" s="414"/>
      <c r="I111" s="414"/>
      <c r="J111" s="414"/>
      <c r="K111" s="414"/>
      <c r="L111" s="414"/>
      <c r="M111" s="414"/>
      <c r="N111" s="414"/>
      <c r="O111" s="414"/>
      <c r="P111" s="414"/>
      <c r="Q111" s="414"/>
      <c r="R111" s="414"/>
      <c r="S111" s="414"/>
      <c r="T111" s="414"/>
      <c r="U111" s="414"/>
      <c r="V111" s="414"/>
      <c r="W111" s="414"/>
      <c r="X111" s="414"/>
      <c r="Y111" s="414"/>
      <c r="Z111" s="414"/>
    </row>
    <row r="112" ht="21.75" customHeight="1">
      <c r="A112" s="428" t="s">
        <v>12</v>
      </c>
      <c r="B112" s="37"/>
      <c r="C112" s="429"/>
      <c r="D112" s="430"/>
      <c r="E112" s="430"/>
      <c r="F112" s="365" t="s">
        <v>13</v>
      </c>
      <c r="G112" s="52"/>
      <c r="H112" s="414"/>
      <c r="I112" s="414"/>
      <c r="J112" s="414"/>
      <c r="K112" s="414"/>
      <c r="L112" s="414"/>
      <c r="M112" s="414"/>
      <c r="N112" s="414"/>
      <c r="O112" s="414"/>
      <c r="P112" s="414"/>
      <c r="Q112" s="414"/>
      <c r="R112" s="414"/>
      <c r="S112" s="414"/>
      <c r="T112" s="414"/>
      <c r="U112" s="414"/>
      <c r="V112" s="414"/>
      <c r="W112" s="414"/>
      <c r="X112" s="414"/>
      <c r="Y112" s="414"/>
      <c r="Z112" s="414"/>
    </row>
    <row r="113" ht="21.75" customHeight="1">
      <c r="A113" s="173" t="s">
        <v>1508</v>
      </c>
      <c r="B113" s="415" t="s">
        <v>15</v>
      </c>
      <c r="C113" s="50">
        <v>838.0</v>
      </c>
      <c r="D113" s="45">
        <v>23967.64</v>
      </c>
      <c r="E113" s="45">
        <v>24981.55</v>
      </c>
      <c r="F113" s="365" t="s">
        <v>1607</v>
      </c>
      <c r="G113" s="52"/>
      <c r="H113" s="414"/>
      <c r="I113" s="414"/>
      <c r="J113" s="414"/>
      <c r="K113" s="414"/>
      <c r="L113" s="414"/>
      <c r="M113" s="414"/>
      <c r="N113" s="414"/>
      <c r="O113" s="414"/>
      <c r="P113" s="414"/>
      <c r="Q113" s="414"/>
      <c r="R113" s="414"/>
      <c r="S113" s="414"/>
      <c r="T113" s="414"/>
      <c r="U113" s="414"/>
      <c r="V113" s="414"/>
      <c r="W113" s="414"/>
      <c r="X113" s="414"/>
      <c r="Y113" s="414"/>
      <c r="Z113" s="414"/>
    </row>
    <row r="114" ht="21.75" customHeight="1">
      <c r="A114" s="416" t="s">
        <v>1608</v>
      </c>
      <c r="B114" s="431"/>
      <c r="C114" s="429"/>
      <c r="D114" s="430"/>
      <c r="E114" s="430"/>
      <c r="F114" s="365" t="s">
        <v>1609</v>
      </c>
      <c r="G114" s="52"/>
      <c r="H114" s="414"/>
      <c r="I114" s="414"/>
      <c r="J114" s="414"/>
      <c r="K114" s="414"/>
      <c r="L114" s="414"/>
      <c r="M114" s="414"/>
      <c r="N114" s="414"/>
      <c r="O114" s="414"/>
      <c r="P114" s="414"/>
      <c r="Q114" s="414"/>
      <c r="R114" s="414"/>
      <c r="S114" s="414"/>
      <c r="T114" s="414"/>
      <c r="U114" s="414"/>
      <c r="V114" s="414"/>
      <c r="W114" s="414"/>
      <c r="X114" s="414"/>
      <c r="Y114" s="414"/>
      <c r="Z114" s="414"/>
    </row>
    <row r="115" ht="21.75" customHeight="1">
      <c r="A115" s="432"/>
      <c r="B115" s="433"/>
      <c r="C115" s="434"/>
      <c r="D115" s="435"/>
      <c r="E115" s="435"/>
      <c r="F115" s="425" t="s">
        <v>1610</v>
      </c>
      <c r="G115" s="52"/>
      <c r="H115" s="414"/>
      <c r="I115" s="414"/>
      <c r="J115" s="414"/>
      <c r="K115" s="414"/>
      <c r="L115" s="414"/>
      <c r="M115" s="414"/>
      <c r="N115" s="414"/>
      <c r="O115" s="414"/>
      <c r="P115" s="414"/>
      <c r="Q115" s="414"/>
      <c r="R115" s="414"/>
      <c r="S115" s="414"/>
      <c r="T115" s="414"/>
      <c r="U115" s="414"/>
      <c r="V115" s="414"/>
      <c r="W115" s="414"/>
      <c r="X115" s="414"/>
      <c r="Y115" s="414"/>
      <c r="Z115" s="414"/>
    </row>
    <row r="116" ht="21.75" customHeight="1">
      <c r="A116" s="426" t="s">
        <v>1611</v>
      </c>
      <c r="B116" s="27"/>
      <c r="C116" s="421" t="s">
        <v>8</v>
      </c>
      <c r="D116" s="422" t="s">
        <v>9</v>
      </c>
      <c r="E116" s="422" t="s">
        <v>10</v>
      </c>
      <c r="F116" s="427" t="s">
        <v>11</v>
      </c>
      <c r="G116" s="52"/>
      <c r="H116" s="414"/>
      <c r="I116" s="414"/>
      <c r="J116" s="414"/>
      <c r="K116" s="414"/>
      <c r="L116" s="414"/>
      <c r="M116" s="414"/>
      <c r="N116" s="414"/>
      <c r="O116" s="414"/>
      <c r="P116" s="414"/>
      <c r="Q116" s="414"/>
      <c r="R116" s="414"/>
      <c r="S116" s="414"/>
      <c r="T116" s="414"/>
      <c r="U116" s="414"/>
      <c r="V116" s="414"/>
      <c r="W116" s="414"/>
      <c r="X116" s="414"/>
      <c r="Y116" s="414"/>
      <c r="Z116" s="414"/>
    </row>
    <row r="117" ht="21.75" customHeight="1">
      <c r="A117" s="428" t="s">
        <v>12</v>
      </c>
      <c r="B117" s="37"/>
      <c r="C117" s="429"/>
      <c r="D117" s="430"/>
      <c r="E117" s="430"/>
      <c r="F117" s="365" t="s">
        <v>13</v>
      </c>
      <c r="G117" s="52"/>
      <c r="H117" s="414"/>
      <c r="I117" s="414"/>
      <c r="J117" s="414"/>
      <c r="K117" s="414"/>
      <c r="L117" s="414"/>
      <c r="M117" s="414"/>
      <c r="N117" s="414"/>
      <c r="O117" s="414"/>
      <c r="P117" s="414"/>
      <c r="Q117" s="414"/>
      <c r="R117" s="414"/>
      <c r="S117" s="414"/>
      <c r="T117" s="414"/>
      <c r="U117" s="414"/>
      <c r="V117" s="414"/>
      <c r="W117" s="414"/>
      <c r="X117" s="414"/>
      <c r="Y117" s="414"/>
      <c r="Z117" s="414"/>
    </row>
    <row r="118" ht="21.75" customHeight="1">
      <c r="A118" s="173" t="s">
        <v>1508</v>
      </c>
      <c r="B118" s="415" t="s">
        <v>15</v>
      </c>
      <c r="C118" s="50">
        <v>847.0</v>
      </c>
      <c r="D118" s="45">
        <v>23992.2</v>
      </c>
      <c r="E118" s="45">
        <v>25012.15</v>
      </c>
      <c r="F118" s="365" t="s">
        <v>1612</v>
      </c>
      <c r="G118" s="52"/>
      <c r="H118" s="414"/>
      <c r="I118" s="414"/>
      <c r="J118" s="414"/>
      <c r="K118" s="414"/>
      <c r="L118" s="414"/>
      <c r="M118" s="414"/>
      <c r="N118" s="414"/>
      <c r="O118" s="414"/>
      <c r="P118" s="414"/>
      <c r="Q118" s="414"/>
      <c r="R118" s="414"/>
      <c r="S118" s="414"/>
      <c r="T118" s="414"/>
      <c r="U118" s="414"/>
      <c r="V118" s="414"/>
      <c r="W118" s="414"/>
      <c r="X118" s="414"/>
      <c r="Y118" s="414"/>
      <c r="Z118" s="414"/>
    </row>
    <row r="119" ht="21.75" customHeight="1">
      <c r="A119" s="416" t="s">
        <v>1613</v>
      </c>
      <c r="B119" s="431"/>
      <c r="C119" s="429"/>
      <c r="D119" s="430"/>
      <c r="E119" s="430"/>
      <c r="F119" s="365" t="s">
        <v>1614</v>
      </c>
      <c r="G119" s="52"/>
      <c r="H119" s="414"/>
      <c r="I119" s="414"/>
      <c r="J119" s="414"/>
      <c r="K119" s="414"/>
      <c r="L119" s="414"/>
      <c r="M119" s="414"/>
      <c r="N119" s="414"/>
      <c r="O119" s="414"/>
      <c r="P119" s="414"/>
      <c r="Q119" s="414"/>
      <c r="R119" s="414"/>
      <c r="S119" s="414"/>
      <c r="T119" s="414"/>
      <c r="U119" s="414"/>
      <c r="V119" s="414"/>
      <c r="W119" s="414"/>
      <c r="X119" s="414"/>
      <c r="Y119" s="414"/>
      <c r="Z119" s="414"/>
    </row>
    <row r="120" ht="21.75" customHeight="1">
      <c r="A120" s="432"/>
      <c r="B120" s="433"/>
      <c r="C120" s="434"/>
      <c r="D120" s="435"/>
      <c r="E120" s="435"/>
      <c r="F120" s="425" t="s">
        <v>1615</v>
      </c>
      <c r="G120" s="52"/>
      <c r="H120" s="414"/>
      <c r="I120" s="414"/>
      <c r="J120" s="414"/>
      <c r="K120" s="414"/>
      <c r="L120" s="414"/>
      <c r="M120" s="414"/>
      <c r="N120" s="414"/>
      <c r="O120" s="414"/>
      <c r="P120" s="414"/>
      <c r="Q120" s="414"/>
      <c r="R120" s="414"/>
      <c r="S120" s="414"/>
      <c r="T120" s="414"/>
      <c r="U120" s="414"/>
      <c r="V120" s="414"/>
      <c r="W120" s="414"/>
      <c r="X120" s="414"/>
      <c r="Y120" s="414"/>
      <c r="Z120" s="414"/>
    </row>
    <row r="121" ht="21.75" customHeight="1">
      <c r="A121" s="426" t="s">
        <v>1616</v>
      </c>
      <c r="B121" s="27"/>
      <c r="C121" s="421" t="s">
        <v>8</v>
      </c>
      <c r="D121" s="422" t="s">
        <v>9</v>
      </c>
      <c r="E121" s="422" t="s">
        <v>10</v>
      </c>
      <c r="F121" s="427" t="s">
        <v>11</v>
      </c>
      <c r="G121" s="52"/>
      <c r="H121" s="414"/>
      <c r="I121" s="414"/>
      <c r="J121" s="414"/>
      <c r="K121" s="414"/>
      <c r="L121" s="414"/>
      <c r="M121" s="414"/>
      <c r="N121" s="414"/>
      <c r="O121" s="414"/>
      <c r="P121" s="414"/>
      <c r="Q121" s="414"/>
      <c r="R121" s="414"/>
      <c r="S121" s="414"/>
      <c r="T121" s="414"/>
      <c r="U121" s="414"/>
      <c r="V121" s="414"/>
      <c r="W121" s="414"/>
      <c r="X121" s="414"/>
      <c r="Y121" s="414"/>
      <c r="Z121" s="414"/>
    </row>
    <row r="122" ht="21.75" customHeight="1">
      <c r="A122" s="428" t="s">
        <v>12</v>
      </c>
      <c r="B122" s="37"/>
      <c r="C122" s="429"/>
      <c r="D122" s="430"/>
      <c r="E122" s="430"/>
      <c r="F122" s="365" t="s">
        <v>13</v>
      </c>
      <c r="G122" s="52"/>
      <c r="H122" s="414"/>
      <c r="I122" s="414"/>
      <c r="J122" s="414"/>
      <c r="K122" s="414"/>
      <c r="L122" s="414"/>
      <c r="M122" s="414"/>
      <c r="N122" s="414"/>
      <c r="O122" s="414"/>
      <c r="P122" s="414"/>
      <c r="Q122" s="414"/>
      <c r="R122" s="414"/>
      <c r="S122" s="414"/>
      <c r="T122" s="414"/>
      <c r="U122" s="414"/>
      <c r="V122" s="414"/>
      <c r="W122" s="414"/>
      <c r="X122" s="414"/>
      <c r="Y122" s="414"/>
      <c r="Z122" s="414"/>
    </row>
    <row r="123" ht="21.75" customHeight="1">
      <c r="A123" s="173" t="s">
        <v>1508</v>
      </c>
      <c r="B123" s="415" t="s">
        <v>15</v>
      </c>
      <c r="C123" s="50">
        <v>914.0</v>
      </c>
      <c r="D123" s="45">
        <v>24994.26</v>
      </c>
      <c r="E123" s="45">
        <v>26203.44</v>
      </c>
      <c r="F123" s="365" t="s">
        <v>1617</v>
      </c>
      <c r="G123" s="52"/>
      <c r="H123" s="414"/>
      <c r="I123" s="414"/>
      <c r="J123" s="414"/>
      <c r="K123" s="414"/>
      <c r="L123" s="414"/>
      <c r="M123" s="414"/>
      <c r="N123" s="414"/>
      <c r="O123" s="414"/>
      <c r="P123" s="414"/>
      <c r="Q123" s="414"/>
      <c r="R123" s="414"/>
      <c r="S123" s="414"/>
      <c r="T123" s="414"/>
      <c r="U123" s="414"/>
      <c r="V123" s="414"/>
      <c r="W123" s="414"/>
      <c r="X123" s="414"/>
      <c r="Y123" s="414"/>
      <c r="Z123" s="414"/>
    </row>
    <row r="124" ht="21.75" customHeight="1">
      <c r="A124" s="416" t="s">
        <v>1618</v>
      </c>
      <c r="B124" s="431"/>
      <c r="C124" s="429"/>
      <c r="D124" s="430"/>
      <c r="E124" s="430"/>
      <c r="F124" s="365" t="s">
        <v>1619</v>
      </c>
      <c r="G124" s="52"/>
      <c r="H124" s="414"/>
      <c r="I124" s="414"/>
      <c r="J124" s="414"/>
      <c r="K124" s="414"/>
      <c r="L124" s="414"/>
      <c r="M124" s="414"/>
      <c r="N124" s="414"/>
      <c r="O124" s="414"/>
      <c r="P124" s="414"/>
      <c r="Q124" s="414"/>
      <c r="R124" s="414"/>
      <c r="S124" s="414"/>
      <c r="T124" s="414"/>
      <c r="U124" s="414"/>
      <c r="V124" s="414"/>
      <c r="W124" s="414"/>
      <c r="X124" s="414"/>
      <c r="Y124" s="414"/>
      <c r="Z124" s="414"/>
    </row>
    <row r="125" ht="21.75" customHeight="1">
      <c r="A125" s="432"/>
      <c r="B125" s="433"/>
      <c r="C125" s="434"/>
      <c r="D125" s="435"/>
      <c r="E125" s="435"/>
      <c r="F125" s="425" t="s">
        <v>1620</v>
      </c>
      <c r="G125" s="52"/>
      <c r="H125" s="414"/>
      <c r="I125" s="414"/>
      <c r="J125" s="414"/>
      <c r="K125" s="414"/>
      <c r="L125" s="414"/>
      <c r="M125" s="414"/>
      <c r="N125" s="414"/>
      <c r="O125" s="414"/>
      <c r="P125" s="414"/>
      <c r="Q125" s="414"/>
      <c r="R125" s="414"/>
      <c r="S125" s="414"/>
      <c r="T125" s="414"/>
      <c r="U125" s="414"/>
      <c r="V125" s="414"/>
      <c r="W125" s="414"/>
      <c r="X125" s="414"/>
      <c r="Y125" s="414"/>
      <c r="Z125" s="414"/>
    </row>
    <row r="126" ht="21.75" customHeight="1">
      <c r="A126" s="426" t="s">
        <v>1621</v>
      </c>
      <c r="B126" s="27"/>
      <c r="C126" s="421" t="s">
        <v>8</v>
      </c>
      <c r="D126" s="422" t="s">
        <v>9</v>
      </c>
      <c r="E126" s="422" t="s">
        <v>10</v>
      </c>
      <c r="F126" s="427" t="s">
        <v>11</v>
      </c>
      <c r="G126" s="52"/>
      <c r="H126" s="414"/>
      <c r="I126" s="414"/>
      <c r="J126" s="414"/>
      <c r="K126" s="414"/>
      <c r="L126" s="414"/>
      <c r="M126" s="414"/>
      <c r="N126" s="414"/>
      <c r="O126" s="414"/>
      <c r="P126" s="414"/>
      <c r="Q126" s="414"/>
      <c r="R126" s="414"/>
      <c r="S126" s="414"/>
      <c r="T126" s="414"/>
      <c r="U126" s="414"/>
      <c r="V126" s="414"/>
      <c r="W126" s="414"/>
      <c r="X126" s="414"/>
      <c r="Y126" s="414"/>
      <c r="Z126" s="414"/>
    </row>
    <row r="127" ht="21.75" customHeight="1">
      <c r="A127" s="428" t="s">
        <v>12</v>
      </c>
      <c r="B127" s="37"/>
      <c r="C127" s="429"/>
      <c r="D127" s="430"/>
      <c r="E127" s="430"/>
      <c r="F127" s="365" t="s">
        <v>13</v>
      </c>
      <c r="G127" s="52"/>
      <c r="H127" s="414"/>
      <c r="I127" s="414"/>
      <c r="J127" s="414"/>
      <c r="K127" s="414"/>
      <c r="L127" s="414"/>
      <c r="M127" s="414"/>
      <c r="N127" s="414"/>
      <c r="O127" s="414"/>
      <c r="P127" s="414"/>
      <c r="Q127" s="414"/>
      <c r="R127" s="414"/>
      <c r="S127" s="414"/>
      <c r="T127" s="414"/>
      <c r="U127" s="414"/>
      <c r="V127" s="414"/>
      <c r="W127" s="414"/>
      <c r="X127" s="414"/>
      <c r="Y127" s="414"/>
      <c r="Z127" s="414"/>
    </row>
    <row r="128" ht="21.75" customHeight="1">
      <c r="A128" s="173" t="s">
        <v>1508</v>
      </c>
      <c r="B128" s="415" t="s">
        <v>15</v>
      </c>
      <c r="C128" s="50">
        <v>915.0</v>
      </c>
      <c r="D128" s="45">
        <v>25002.95</v>
      </c>
      <c r="E128" s="45">
        <v>26254.44</v>
      </c>
      <c r="F128" s="365" t="s">
        <v>1622</v>
      </c>
      <c r="G128" s="52"/>
      <c r="H128" s="414"/>
      <c r="I128" s="414"/>
      <c r="J128" s="414"/>
      <c r="K128" s="414"/>
      <c r="L128" s="414"/>
      <c r="M128" s="414"/>
      <c r="N128" s="414"/>
      <c r="O128" s="414"/>
      <c r="P128" s="414"/>
      <c r="Q128" s="414"/>
      <c r="R128" s="414"/>
      <c r="S128" s="414"/>
      <c r="T128" s="414"/>
      <c r="U128" s="414"/>
      <c r="V128" s="414"/>
      <c r="W128" s="414"/>
      <c r="X128" s="414"/>
      <c r="Y128" s="414"/>
      <c r="Z128" s="414"/>
    </row>
    <row r="129" ht="21.75" customHeight="1">
      <c r="A129" s="416" t="s">
        <v>1623</v>
      </c>
      <c r="B129" s="431"/>
      <c r="C129" s="429"/>
      <c r="D129" s="430"/>
      <c r="E129" s="430"/>
      <c r="F129" s="365" t="s">
        <v>1624</v>
      </c>
      <c r="G129" s="52"/>
      <c r="H129" s="414"/>
      <c r="I129" s="414"/>
      <c r="J129" s="414"/>
      <c r="K129" s="414"/>
      <c r="L129" s="414"/>
      <c r="M129" s="414"/>
      <c r="N129" s="414"/>
      <c r="O129" s="414"/>
      <c r="P129" s="414"/>
      <c r="Q129" s="414"/>
      <c r="R129" s="414"/>
      <c r="S129" s="414"/>
      <c r="T129" s="414"/>
      <c r="U129" s="414"/>
      <c r="V129" s="414"/>
      <c r="W129" s="414"/>
      <c r="X129" s="414"/>
      <c r="Y129" s="414"/>
      <c r="Z129" s="414"/>
    </row>
    <row r="130" ht="21.75" customHeight="1">
      <c r="A130" s="432"/>
      <c r="B130" s="433"/>
      <c r="C130" s="434"/>
      <c r="D130" s="435"/>
      <c r="E130" s="435"/>
      <c r="F130" s="425" t="s">
        <v>1625</v>
      </c>
      <c r="G130" s="52"/>
      <c r="H130" s="414"/>
      <c r="I130" s="414"/>
      <c r="J130" s="414"/>
      <c r="K130" s="414"/>
      <c r="L130" s="414"/>
      <c r="M130" s="414"/>
      <c r="N130" s="414"/>
      <c r="O130" s="414"/>
      <c r="P130" s="414"/>
      <c r="Q130" s="414"/>
      <c r="R130" s="414"/>
      <c r="S130" s="414"/>
      <c r="T130" s="414"/>
      <c r="U130" s="414"/>
      <c r="V130" s="414"/>
      <c r="W130" s="414"/>
      <c r="X130" s="414"/>
      <c r="Y130" s="414"/>
      <c r="Z130" s="414"/>
    </row>
    <row r="131" ht="21.75" customHeight="1">
      <c r="A131" s="426" t="s">
        <v>1626</v>
      </c>
      <c r="B131" s="27"/>
      <c r="C131" s="421" t="s">
        <v>8</v>
      </c>
      <c r="D131" s="422" t="s">
        <v>9</v>
      </c>
      <c r="E131" s="422" t="s">
        <v>10</v>
      </c>
      <c r="F131" s="427" t="s">
        <v>11</v>
      </c>
      <c r="G131" s="52"/>
      <c r="H131" s="414"/>
      <c r="I131" s="414"/>
      <c r="J131" s="414"/>
      <c r="K131" s="414"/>
      <c r="L131" s="414"/>
      <c r="M131" s="414"/>
      <c r="N131" s="414"/>
      <c r="O131" s="414"/>
      <c r="P131" s="414"/>
      <c r="Q131" s="414"/>
      <c r="R131" s="414"/>
      <c r="S131" s="414"/>
      <c r="T131" s="414"/>
      <c r="U131" s="414"/>
      <c r="V131" s="414"/>
      <c r="W131" s="414"/>
      <c r="X131" s="414"/>
      <c r="Y131" s="414"/>
      <c r="Z131" s="414"/>
    </row>
    <row r="132" ht="21.75" customHeight="1">
      <c r="A132" s="428" t="s">
        <v>12</v>
      </c>
      <c r="B132" s="37"/>
      <c r="C132" s="429"/>
      <c r="D132" s="430"/>
      <c r="E132" s="430"/>
      <c r="F132" s="365" t="s">
        <v>13</v>
      </c>
      <c r="G132" s="52"/>
      <c r="H132" s="414"/>
      <c r="I132" s="414"/>
      <c r="J132" s="414"/>
      <c r="K132" s="414"/>
      <c r="L132" s="414"/>
      <c r="M132" s="414"/>
      <c r="N132" s="414"/>
      <c r="O132" s="414"/>
      <c r="P132" s="414"/>
      <c r="Q132" s="414"/>
      <c r="R132" s="414"/>
      <c r="S132" s="414"/>
      <c r="T132" s="414"/>
      <c r="U132" s="414"/>
      <c r="V132" s="414"/>
      <c r="W132" s="414"/>
      <c r="X132" s="414"/>
      <c r="Y132" s="414"/>
      <c r="Z132" s="414"/>
    </row>
    <row r="133" ht="21.75" customHeight="1">
      <c r="A133" s="173" t="s">
        <v>1508</v>
      </c>
      <c r="B133" s="415" t="s">
        <v>15</v>
      </c>
      <c r="C133" s="50">
        <v>919.0</v>
      </c>
      <c r="D133" s="45">
        <v>25007.81</v>
      </c>
      <c r="E133" s="45">
        <v>26269.02</v>
      </c>
      <c r="F133" s="365" t="s">
        <v>1627</v>
      </c>
      <c r="G133" s="52"/>
      <c r="H133" s="414"/>
      <c r="I133" s="414"/>
      <c r="J133" s="414"/>
      <c r="K133" s="414"/>
      <c r="L133" s="414"/>
      <c r="M133" s="414"/>
      <c r="N133" s="414"/>
      <c r="O133" s="414"/>
      <c r="P133" s="414"/>
      <c r="Q133" s="414"/>
      <c r="R133" s="414"/>
      <c r="S133" s="414"/>
      <c r="T133" s="414"/>
      <c r="U133" s="414"/>
      <c r="V133" s="414"/>
      <c r="W133" s="414"/>
      <c r="X133" s="414"/>
      <c r="Y133" s="414"/>
      <c r="Z133" s="414"/>
    </row>
    <row r="134" ht="21.75" customHeight="1">
      <c r="A134" s="416" t="s">
        <v>1628</v>
      </c>
      <c r="B134" s="431"/>
      <c r="C134" s="429"/>
      <c r="D134" s="430"/>
      <c r="E134" s="430"/>
      <c r="F134" s="365" t="s">
        <v>1629</v>
      </c>
      <c r="G134" s="52"/>
      <c r="H134" s="414"/>
      <c r="I134" s="414"/>
      <c r="J134" s="414"/>
      <c r="K134" s="414"/>
      <c r="L134" s="414"/>
      <c r="M134" s="414"/>
      <c r="N134" s="414"/>
      <c r="O134" s="414"/>
      <c r="P134" s="414"/>
      <c r="Q134" s="414"/>
      <c r="R134" s="414"/>
      <c r="S134" s="414"/>
      <c r="T134" s="414"/>
      <c r="U134" s="414"/>
      <c r="V134" s="414"/>
      <c r="W134" s="414"/>
      <c r="X134" s="414"/>
      <c r="Y134" s="414"/>
      <c r="Z134" s="414"/>
    </row>
    <row r="135" ht="21.75" customHeight="1">
      <c r="A135" s="432"/>
      <c r="B135" s="433"/>
      <c r="C135" s="434"/>
      <c r="D135" s="435"/>
      <c r="E135" s="435"/>
      <c r="F135" s="425" t="s">
        <v>1630</v>
      </c>
      <c r="G135" s="52"/>
      <c r="H135" s="414"/>
      <c r="I135" s="414"/>
      <c r="J135" s="414"/>
      <c r="K135" s="414"/>
      <c r="L135" s="414"/>
      <c r="M135" s="414"/>
      <c r="N135" s="414"/>
      <c r="O135" s="414"/>
      <c r="P135" s="414"/>
      <c r="Q135" s="414"/>
      <c r="R135" s="414"/>
      <c r="S135" s="414"/>
      <c r="T135" s="414"/>
      <c r="U135" s="414"/>
      <c r="V135" s="414"/>
      <c r="W135" s="414"/>
      <c r="X135" s="414"/>
      <c r="Y135" s="414"/>
      <c r="Z135" s="414"/>
    </row>
    <row r="136" ht="21.75" customHeight="1">
      <c r="A136" s="426" t="s">
        <v>1631</v>
      </c>
      <c r="B136" s="27"/>
      <c r="C136" s="421" t="s">
        <v>8</v>
      </c>
      <c r="D136" s="422" t="s">
        <v>9</v>
      </c>
      <c r="E136" s="422" t="s">
        <v>10</v>
      </c>
      <c r="F136" s="427" t="s">
        <v>11</v>
      </c>
      <c r="G136" s="52"/>
      <c r="H136" s="414"/>
      <c r="I136" s="414"/>
      <c r="J136" s="414"/>
      <c r="K136" s="414"/>
      <c r="L136" s="414"/>
      <c r="M136" s="414"/>
      <c r="N136" s="414"/>
      <c r="O136" s="414"/>
      <c r="P136" s="414"/>
      <c r="Q136" s="414"/>
      <c r="R136" s="414"/>
      <c r="S136" s="414"/>
      <c r="T136" s="414"/>
      <c r="U136" s="414"/>
      <c r="V136" s="414"/>
      <c r="W136" s="414"/>
      <c r="X136" s="414"/>
      <c r="Y136" s="414"/>
      <c r="Z136" s="414"/>
    </row>
    <row r="137" ht="21.75" customHeight="1">
      <c r="A137" s="428" t="s">
        <v>12</v>
      </c>
      <c r="B137" s="37"/>
      <c r="C137" s="429"/>
      <c r="D137" s="430"/>
      <c r="E137" s="430"/>
      <c r="F137" s="365" t="s">
        <v>13</v>
      </c>
      <c r="G137" s="52"/>
      <c r="H137" s="414"/>
      <c r="I137" s="414"/>
      <c r="J137" s="414"/>
      <c r="K137" s="414"/>
      <c r="L137" s="414"/>
      <c r="M137" s="414"/>
      <c r="N137" s="414"/>
      <c r="O137" s="414"/>
      <c r="P137" s="414"/>
      <c r="Q137" s="414"/>
      <c r="R137" s="414"/>
      <c r="S137" s="414"/>
      <c r="T137" s="414"/>
      <c r="U137" s="414"/>
      <c r="V137" s="414"/>
      <c r="W137" s="414"/>
      <c r="X137" s="414"/>
      <c r="Y137" s="414"/>
      <c r="Z137" s="414"/>
    </row>
    <row r="138" ht="21.75" customHeight="1">
      <c r="A138" s="173" t="s">
        <v>1508</v>
      </c>
      <c r="B138" s="415" t="s">
        <v>15</v>
      </c>
      <c r="C138" s="50">
        <v>934.0</v>
      </c>
      <c r="D138" s="45">
        <v>24977.31</v>
      </c>
      <c r="E138" s="45">
        <v>26161.21</v>
      </c>
      <c r="F138" s="365" t="s">
        <v>1632</v>
      </c>
      <c r="G138" s="52"/>
      <c r="H138" s="414"/>
      <c r="I138" s="414"/>
      <c r="J138" s="414"/>
      <c r="K138" s="414"/>
      <c r="L138" s="414"/>
      <c r="M138" s="414"/>
      <c r="N138" s="414"/>
      <c r="O138" s="414"/>
      <c r="P138" s="414"/>
      <c r="Q138" s="414"/>
      <c r="R138" s="414"/>
      <c r="S138" s="414"/>
      <c r="T138" s="414"/>
      <c r="U138" s="414"/>
      <c r="V138" s="414"/>
      <c r="W138" s="414"/>
      <c r="X138" s="414"/>
      <c r="Y138" s="414"/>
      <c r="Z138" s="414"/>
    </row>
    <row r="139" ht="21.75" customHeight="1">
      <c r="A139" s="416" t="s">
        <v>1633</v>
      </c>
      <c r="B139" s="431"/>
      <c r="C139" s="429"/>
      <c r="D139" s="430"/>
      <c r="E139" s="430"/>
      <c r="F139" s="365" t="s">
        <v>1634</v>
      </c>
      <c r="G139" s="52"/>
      <c r="H139" s="414"/>
      <c r="I139" s="414"/>
      <c r="J139" s="414"/>
      <c r="K139" s="414"/>
      <c r="L139" s="414"/>
      <c r="M139" s="414"/>
      <c r="N139" s="414"/>
      <c r="O139" s="414"/>
      <c r="P139" s="414"/>
      <c r="Q139" s="414"/>
      <c r="R139" s="414"/>
      <c r="S139" s="414"/>
      <c r="T139" s="414"/>
      <c r="U139" s="414"/>
      <c r="V139" s="414"/>
      <c r="W139" s="414"/>
      <c r="X139" s="414"/>
      <c r="Y139" s="414"/>
      <c r="Z139" s="414"/>
    </row>
    <row r="140" ht="21.75" customHeight="1">
      <c r="A140" s="432"/>
      <c r="B140" s="433"/>
      <c r="C140" s="434"/>
      <c r="D140" s="435"/>
      <c r="E140" s="435"/>
      <c r="F140" s="425" t="s">
        <v>1635</v>
      </c>
      <c r="G140" s="52"/>
      <c r="H140" s="414"/>
      <c r="I140" s="414"/>
      <c r="J140" s="414"/>
      <c r="K140" s="414"/>
      <c r="L140" s="414"/>
      <c r="M140" s="414"/>
      <c r="N140" s="414"/>
      <c r="O140" s="414"/>
      <c r="P140" s="414"/>
      <c r="Q140" s="414"/>
      <c r="R140" s="414"/>
      <c r="S140" s="414"/>
      <c r="T140" s="414"/>
      <c r="U140" s="414"/>
      <c r="V140" s="414"/>
      <c r="W140" s="414"/>
      <c r="X140" s="414"/>
      <c r="Y140" s="414"/>
      <c r="Z140" s="414"/>
    </row>
    <row r="141" ht="21.75" customHeight="1">
      <c r="A141" s="426" t="s">
        <v>1636</v>
      </c>
      <c r="B141" s="27"/>
      <c r="C141" s="421" t="s">
        <v>8</v>
      </c>
      <c r="D141" s="422" t="s">
        <v>9</v>
      </c>
      <c r="E141" s="422" t="s">
        <v>10</v>
      </c>
      <c r="F141" s="427" t="s">
        <v>11</v>
      </c>
      <c r="G141" s="52"/>
      <c r="H141" s="414"/>
      <c r="I141" s="414"/>
      <c r="J141" s="414"/>
      <c r="K141" s="414"/>
      <c r="L141" s="414"/>
      <c r="M141" s="414"/>
      <c r="N141" s="414"/>
      <c r="O141" s="414"/>
      <c r="P141" s="414"/>
      <c r="Q141" s="414"/>
      <c r="R141" s="414"/>
      <c r="S141" s="414"/>
      <c r="T141" s="414"/>
      <c r="U141" s="414"/>
      <c r="V141" s="414"/>
      <c r="W141" s="414"/>
      <c r="X141" s="414"/>
      <c r="Y141" s="414"/>
      <c r="Z141" s="414"/>
    </row>
    <row r="142" ht="21.75" customHeight="1">
      <c r="A142" s="428" t="s">
        <v>12</v>
      </c>
      <c r="B142" s="37"/>
      <c r="C142" s="429"/>
      <c r="D142" s="430"/>
      <c r="E142" s="430"/>
      <c r="F142" s="365" t="s">
        <v>13</v>
      </c>
      <c r="G142" s="52"/>
      <c r="H142" s="414"/>
      <c r="I142" s="414"/>
      <c r="J142" s="414"/>
      <c r="K142" s="414"/>
      <c r="L142" s="414"/>
      <c r="M142" s="414"/>
      <c r="N142" s="414"/>
      <c r="O142" s="414"/>
      <c r="P142" s="414"/>
      <c r="Q142" s="414"/>
      <c r="R142" s="414"/>
      <c r="S142" s="414"/>
      <c r="T142" s="414"/>
      <c r="U142" s="414"/>
      <c r="V142" s="414"/>
      <c r="W142" s="414"/>
      <c r="X142" s="414"/>
      <c r="Y142" s="414"/>
      <c r="Z142" s="414"/>
    </row>
    <row r="143" ht="21.75" customHeight="1">
      <c r="A143" s="173" t="s">
        <v>1508</v>
      </c>
      <c r="B143" s="415" t="s">
        <v>15</v>
      </c>
      <c r="C143" s="50">
        <v>913.0</v>
      </c>
      <c r="D143" s="45">
        <v>25000.8</v>
      </c>
      <c r="E143" s="45">
        <v>26116.85</v>
      </c>
      <c r="F143" s="365" t="s">
        <v>1637</v>
      </c>
      <c r="G143" s="52"/>
      <c r="H143" s="414"/>
      <c r="I143" s="414"/>
      <c r="J143" s="414"/>
      <c r="K143" s="414"/>
      <c r="L143" s="414"/>
      <c r="M143" s="414"/>
      <c r="N143" s="414"/>
      <c r="O143" s="414"/>
      <c r="P143" s="414"/>
      <c r="Q143" s="414"/>
      <c r="R143" s="414"/>
      <c r="S143" s="414"/>
      <c r="T143" s="414"/>
      <c r="U143" s="414"/>
      <c r="V143" s="414"/>
      <c r="W143" s="414"/>
      <c r="X143" s="414"/>
      <c r="Y143" s="414"/>
      <c r="Z143" s="414"/>
    </row>
    <row r="144" ht="21.75" customHeight="1">
      <c r="A144" s="416" t="s">
        <v>1638</v>
      </c>
      <c r="B144" s="431"/>
      <c r="C144" s="429"/>
      <c r="D144" s="430"/>
      <c r="E144" s="430"/>
      <c r="F144" s="365" t="s">
        <v>1639</v>
      </c>
      <c r="G144" s="52"/>
      <c r="H144" s="414"/>
      <c r="I144" s="414"/>
      <c r="J144" s="414"/>
      <c r="K144" s="414"/>
      <c r="L144" s="414"/>
      <c r="M144" s="414"/>
      <c r="N144" s="414"/>
      <c r="O144" s="414"/>
      <c r="P144" s="414"/>
      <c r="Q144" s="414"/>
      <c r="R144" s="414"/>
      <c r="S144" s="414"/>
      <c r="T144" s="414"/>
      <c r="U144" s="414"/>
      <c r="V144" s="414"/>
      <c r="W144" s="414"/>
      <c r="X144" s="414"/>
      <c r="Y144" s="414"/>
      <c r="Z144" s="414"/>
    </row>
    <row r="145" ht="21.75" customHeight="1">
      <c r="A145" s="432"/>
      <c r="B145" s="433"/>
      <c r="C145" s="434"/>
      <c r="D145" s="435"/>
      <c r="E145" s="435"/>
      <c r="F145" s="425" t="s">
        <v>1640</v>
      </c>
      <c r="G145" s="52"/>
      <c r="H145" s="414"/>
      <c r="I145" s="414"/>
      <c r="J145" s="414"/>
      <c r="K145" s="414"/>
      <c r="L145" s="414"/>
      <c r="M145" s="414"/>
      <c r="N145" s="414"/>
      <c r="O145" s="414"/>
      <c r="P145" s="414"/>
      <c r="Q145" s="414"/>
      <c r="R145" s="414"/>
      <c r="S145" s="414"/>
      <c r="T145" s="414"/>
      <c r="U145" s="414"/>
      <c r="V145" s="414"/>
      <c r="W145" s="414"/>
      <c r="X145" s="414"/>
      <c r="Y145" s="414"/>
      <c r="Z145" s="414"/>
    </row>
    <row r="146" ht="21.75" customHeight="1">
      <c r="A146" s="426" t="s">
        <v>1641</v>
      </c>
      <c r="B146" s="27"/>
      <c r="C146" s="421" t="s">
        <v>8</v>
      </c>
      <c r="D146" s="422" t="s">
        <v>9</v>
      </c>
      <c r="E146" s="422" t="s">
        <v>10</v>
      </c>
      <c r="F146" s="427" t="s">
        <v>11</v>
      </c>
      <c r="G146" s="52"/>
      <c r="H146" s="414"/>
      <c r="I146" s="414"/>
      <c r="J146" s="414"/>
      <c r="K146" s="414"/>
      <c r="L146" s="414"/>
      <c r="M146" s="414"/>
      <c r="N146" s="414"/>
      <c r="O146" s="414"/>
      <c r="P146" s="414"/>
      <c r="Q146" s="414"/>
      <c r="R146" s="414"/>
      <c r="S146" s="414"/>
      <c r="T146" s="414"/>
      <c r="U146" s="414"/>
      <c r="V146" s="414"/>
      <c r="W146" s="414"/>
      <c r="X146" s="414"/>
      <c r="Y146" s="414"/>
      <c r="Z146" s="414"/>
    </row>
    <row r="147" ht="21.75" customHeight="1">
      <c r="A147" s="428" t="s">
        <v>12</v>
      </c>
      <c r="B147" s="37"/>
      <c r="C147" s="429"/>
      <c r="D147" s="430"/>
      <c r="E147" s="430"/>
      <c r="F147" s="365" t="s">
        <v>13</v>
      </c>
      <c r="G147" s="52"/>
      <c r="H147" s="414"/>
      <c r="I147" s="414"/>
      <c r="J147" s="414"/>
      <c r="K147" s="414"/>
      <c r="L147" s="414"/>
      <c r="M147" s="414"/>
      <c r="N147" s="414"/>
      <c r="O147" s="414"/>
      <c r="P147" s="414"/>
      <c r="Q147" s="414"/>
      <c r="R147" s="414"/>
      <c r="S147" s="414"/>
      <c r="T147" s="414"/>
      <c r="U147" s="414"/>
      <c r="V147" s="414"/>
      <c r="W147" s="414"/>
      <c r="X147" s="414"/>
      <c r="Y147" s="414"/>
      <c r="Z147" s="414"/>
    </row>
    <row r="148" ht="21.75" customHeight="1">
      <c r="A148" s="173" t="s">
        <v>1508</v>
      </c>
      <c r="B148" s="415" t="s">
        <v>15</v>
      </c>
      <c r="C148" s="50">
        <v>889.0</v>
      </c>
      <c r="D148" s="45">
        <v>25017.15</v>
      </c>
      <c r="E148" s="45">
        <v>26038.93</v>
      </c>
      <c r="F148" s="365" t="s">
        <v>1642</v>
      </c>
      <c r="G148" s="52"/>
      <c r="H148" s="414"/>
      <c r="I148" s="414"/>
      <c r="J148" s="414"/>
      <c r="K148" s="414"/>
      <c r="L148" s="414"/>
      <c r="M148" s="414"/>
      <c r="N148" s="414"/>
      <c r="O148" s="414"/>
      <c r="P148" s="414"/>
      <c r="Q148" s="414"/>
      <c r="R148" s="414"/>
      <c r="S148" s="414"/>
      <c r="T148" s="414"/>
      <c r="U148" s="414"/>
      <c r="V148" s="414"/>
      <c r="W148" s="414"/>
      <c r="X148" s="414"/>
      <c r="Y148" s="414"/>
      <c r="Z148" s="414"/>
    </row>
    <row r="149" ht="21.75" customHeight="1">
      <c r="A149" s="416" t="s">
        <v>1643</v>
      </c>
      <c r="B149" s="431"/>
      <c r="C149" s="429"/>
      <c r="D149" s="430"/>
      <c r="E149" s="430"/>
      <c r="F149" s="365" t="s">
        <v>1644</v>
      </c>
      <c r="G149" s="52"/>
      <c r="H149" s="414"/>
      <c r="I149" s="414"/>
      <c r="J149" s="414"/>
      <c r="K149" s="414"/>
      <c r="L149" s="414"/>
      <c r="M149" s="414"/>
      <c r="N149" s="414"/>
      <c r="O149" s="414"/>
      <c r="P149" s="414"/>
      <c r="Q149" s="414"/>
      <c r="R149" s="414"/>
      <c r="S149" s="414"/>
      <c r="T149" s="414"/>
      <c r="U149" s="414"/>
      <c r="V149" s="414"/>
      <c r="W149" s="414"/>
      <c r="X149" s="414"/>
      <c r="Y149" s="414"/>
      <c r="Z149" s="414"/>
    </row>
    <row r="150" ht="21.75" customHeight="1">
      <c r="A150" s="432"/>
      <c r="B150" s="433"/>
      <c r="C150" s="434"/>
      <c r="D150" s="435"/>
      <c r="E150" s="435"/>
      <c r="F150" s="425" t="s">
        <v>1645</v>
      </c>
      <c r="G150" s="52"/>
      <c r="H150" s="414"/>
      <c r="I150" s="414"/>
      <c r="J150" s="414"/>
      <c r="K150" s="414"/>
      <c r="L150" s="414"/>
      <c r="M150" s="414"/>
      <c r="N150" s="414"/>
      <c r="O150" s="414"/>
      <c r="P150" s="414"/>
      <c r="Q150" s="414"/>
      <c r="R150" s="414"/>
      <c r="S150" s="414"/>
      <c r="T150" s="414"/>
      <c r="U150" s="414"/>
      <c r="V150" s="414"/>
      <c r="W150" s="414"/>
      <c r="X150" s="414"/>
      <c r="Y150" s="414"/>
      <c r="Z150" s="414"/>
    </row>
    <row r="151" ht="21.75" customHeight="1">
      <c r="A151" s="426" t="s">
        <v>1646</v>
      </c>
      <c r="B151" s="27"/>
      <c r="C151" s="421" t="s">
        <v>8</v>
      </c>
      <c r="D151" s="422" t="s">
        <v>9</v>
      </c>
      <c r="E151" s="422" t="s">
        <v>10</v>
      </c>
      <c r="F151" s="427" t="s">
        <v>11</v>
      </c>
      <c r="G151" s="52"/>
      <c r="H151" s="414"/>
      <c r="I151" s="414"/>
      <c r="J151" s="414"/>
      <c r="K151" s="414"/>
      <c r="L151" s="414"/>
      <c r="M151" s="414"/>
      <c r="N151" s="414"/>
      <c r="O151" s="414"/>
      <c r="P151" s="414"/>
      <c r="Q151" s="414"/>
      <c r="R151" s="414"/>
      <c r="S151" s="414"/>
      <c r="T151" s="414"/>
      <c r="U151" s="414"/>
      <c r="V151" s="414"/>
      <c r="W151" s="414"/>
      <c r="X151" s="414"/>
      <c r="Y151" s="414"/>
      <c r="Z151" s="414"/>
    </row>
    <row r="152" ht="21.75" customHeight="1">
      <c r="A152" s="428" t="s">
        <v>12</v>
      </c>
      <c r="B152" s="37"/>
      <c r="C152" s="429"/>
      <c r="D152" s="430"/>
      <c r="E152" s="430"/>
      <c r="F152" s="365" t="s">
        <v>13</v>
      </c>
      <c r="G152" s="52"/>
      <c r="H152" s="414"/>
      <c r="I152" s="414"/>
      <c r="J152" s="414"/>
      <c r="K152" s="414"/>
      <c r="L152" s="414"/>
      <c r="M152" s="414"/>
      <c r="N152" s="414"/>
      <c r="O152" s="414"/>
      <c r="P152" s="414"/>
      <c r="Q152" s="414"/>
      <c r="R152" s="414"/>
      <c r="S152" s="414"/>
      <c r="T152" s="414"/>
      <c r="U152" s="414"/>
      <c r="V152" s="414"/>
      <c r="W152" s="414"/>
      <c r="X152" s="414"/>
      <c r="Y152" s="414"/>
      <c r="Z152" s="414"/>
    </row>
    <row r="153" ht="21.75" customHeight="1">
      <c r="A153" s="173" t="s">
        <v>1508</v>
      </c>
      <c r="B153" s="415" t="s">
        <v>15</v>
      </c>
      <c r="C153" s="50">
        <v>889.0</v>
      </c>
      <c r="D153" s="45">
        <v>25019.05</v>
      </c>
      <c r="E153" s="45">
        <v>26222.48</v>
      </c>
      <c r="F153" s="365" t="s">
        <v>1647</v>
      </c>
      <c r="G153" s="52"/>
      <c r="H153" s="414"/>
      <c r="I153" s="414"/>
      <c r="J153" s="414"/>
      <c r="K153" s="414"/>
      <c r="L153" s="414"/>
      <c r="M153" s="414"/>
      <c r="N153" s="414"/>
      <c r="O153" s="414"/>
      <c r="P153" s="414"/>
      <c r="Q153" s="414"/>
      <c r="R153" s="414"/>
      <c r="S153" s="414"/>
      <c r="T153" s="414"/>
      <c r="U153" s="414"/>
      <c r="V153" s="414"/>
      <c r="W153" s="414"/>
      <c r="X153" s="414"/>
      <c r="Y153" s="414"/>
      <c r="Z153" s="414"/>
    </row>
    <row r="154" ht="21.75" customHeight="1">
      <c r="A154" s="416" t="s">
        <v>1648</v>
      </c>
      <c r="B154" s="431"/>
      <c r="C154" s="429"/>
      <c r="D154" s="430"/>
      <c r="E154" s="430"/>
      <c r="F154" s="365" t="s">
        <v>1649</v>
      </c>
      <c r="G154" s="52"/>
      <c r="H154" s="414"/>
      <c r="I154" s="414"/>
      <c r="J154" s="414"/>
      <c r="K154" s="414"/>
      <c r="L154" s="414"/>
      <c r="M154" s="414"/>
      <c r="N154" s="414"/>
      <c r="O154" s="414"/>
      <c r="P154" s="414"/>
      <c r="Q154" s="414"/>
      <c r="R154" s="414"/>
      <c r="S154" s="414"/>
      <c r="T154" s="414"/>
      <c r="U154" s="414"/>
      <c r="V154" s="414"/>
      <c r="W154" s="414"/>
      <c r="X154" s="414"/>
      <c r="Y154" s="414"/>
      <c r="Z154" s="414"/>
    </row>
    <row r="155" ht="21.75" customHeight="1">
      <c r="A155" s="432"/>
      <c r="B155" s="433"/>
      <c r="C155" s="434"/>
      <c r="D155" s="435"/>
      <c r="E155" s="435"/>
      <c r="F155" s="425" t="s">
        <v>1650</v>
      </c>
      <c r="G155" s="52"/>
      <c r="H155" s="414"/>
      <c r="I155" s="414"/>
      <c r="J155" s="414"/>
      <c r="K155" s="414"/>
      <c r="L155" s="414"/>
      <c r="M155" s="414"/>
      <c r="N155" s="414"/>
      <c r="O155" s="414"/>
      <c r="P155" s="414"/>
      <c r="Q155" s="414"/>
      <c r="R155" s="414"/>
      <c r="S155" s="414"/>
      <c r="T155" s="414"/>
      <c r="U155" s="414"/>
      <c r="V155" s="414"/>
      <c r="W155" s="414"/>
      <c r="X155" s="414"/>
      <c r="Y155" s="414"/>
      <c r="Z155" s="414"/>
    </row>
    <row r="156" ht="21.75" customHeight="1">
      <c r="A156" s="426" t="s">
        <v>1651</v>
      </c>
      <c r="B156" s="27"/>
      <c r="C156" s="421" t="s">
        <v>8</v>
      </c>
      <c r="D156" s="422" t="s">
        <v>9</v>
      </c>
      <c r="E156" s="422" t="s">
        <v>10</v>
      </c>
      <c r="F156" s="427" t="s">
        <v>11</v>
      </c>
      <c r="G156" s="52"/>
      <c r="H156" s="414"/>
      <c r="I156" s="414"/>
      <c r="J156" s="414"/>
      <c r="K156" s="414"/>
      <c r="L156" s="414"/>
      <c r="M156" s="414"/>
      <c r="N156" s="414"/>
      <c r="O156" s="414"/>
      <c r="P156" s="414"/>
      <c r="Q156" s="414"/>
      <c r="R156" s="414"/>
      <c r="S156" s="414"/>
      <c r="T156" s="414"/>
      <c r="U156" s="414"/>
      <c r="V156" s="414"/>
      <c r="W156" s="414"/>
      <c r="X156" s="414"/>
      <c r="Y156" s="414"/>
      <c r="Z156" s="414"/>
    </row>
    <row r="157" ht="21.75" customHeight="1">
      <c r="A157" s="428" t="s">
        <v>12</v>
      </c>
      <c r="B157" s="37"/>
      <c r="C157" s="429"/>
      <c r="D157" s="430"/>
      <c r="E157" s="430"/>
      <c r="F157" s="365" t="s">
        <v>13</v>
      </c>
      <c r="G157" s="52"/>
      <c r="H157" s="414"/>
      <c r="I157" s="414"/>
      <c r="J157" s="414"/>
      <c r="K157" s="414"/>
      <c r="L157" s="414"/>
      <c r="M157" s="414"/>
      <c r="N157" s="414"/>
      <c r="O157" s="414"/>
      <c r="P157" s="414"/>
      <c r="Q157" s="414"/>
      <c r="R157" s="414"/>
      <c r="S157" s="414"/>
      <c r="T157" s="414"/>
      <c r="U157" s="414"/>
      <c r="V157" s="414"/>
      <c r="W157" s="414"/>
      <c r="X157" s="414"/>
      <c r="Y157" s="414"/>
      <c r="Z157" s="414"/>
    </row>
    <row r="158" ht="21.75" customHeight="1">
      <c r="A158" s="173" t="s">
        <v>1508</v>
      </c>
      <c r="B158" s="415" t="s">
        <v>15</v>
      </c>
      <c r="C158" s="50">
        <v>900.0</v>
      </c>
      <c r="D158" s="45">
        <v>25015.58</v>
      </c>
      <c r="E158" s="45">
        <v>26258.58</v>
      </c>
      <c r="F158" s="365" t="s">
        <v>1652</v>
      </c>
      <c r="G158" s="52"/>
      <c r="H158" s="414"/>
      <c r="I158" s="414"/>
      <c r="J158" s="414"/>
      <c r="K158" s="414"/>
      <c r="L158" s="414"/>
      <c r="M158" s="414"/>
      <c r="N158" s="414"/>
      <c r="O158" s="414"/>
      <c r="P158" s="414"/>
      <c r="Q158" s="414"/>
      <c r="R158" s="414"/>
      <c r="S158" s="414"/>
      <c r="T158" s="414"/>
      <c r="U158" s="414"/>
      <c r="V158" s="414"/>
      <c r="W158" s="414"/>
      <c r="X158" s="414"/>
      <c r="Y158" s="414"/>
      <c r="Z158" s="414"/>
    </row>
    <row r="159" ht="21.75" customHeight="1">
      <c r="A159" s="416" t="s">
        <v>1653</v>
      </c>
      <c r="B159" s="431"/>
      <c r="C159" s="429"/>
      <c r="D159" s="430"/>
      <c r="E159" s="430"/>
      <c r="F159" s="365" t="s">
        <v>1654</v>
      </c>
      <c r="G159" s="52"/>
      <c r="H159" s="414"/>
      <c r="I159" s="414"/>
      <c r="J159" s="414"/>
      <c r="K159" s="414"/>
      <c r="L159" s="414"/>
      <c r="M159" s="414"/>
      <c r="N159" s="414"/>
      <c r="O159" s="414"/>
      <c r="P159" s="414"/>
      <c r="Q159" s="414"/>
      <c r="R159" s="414"/>
      <c r="S159" s="414"/>
      <c r="T159" s="414"/>
      <c r="U159" s="414"/>
      <c r="V159" s="414"/>
      <c r="W159" s="414"/>
      <c r="X159" s="414"/>
      <c r="Y159" s="414"/>
      <c r="Z159" s="414"/>
    </row>
    <row r="160" ht="21.75" customHeight="1">
      <c r="A160" s="432"/>
      <c r="B160" s="433"/>
      <c r="C160" s="434"/>
      <c r="D160" s="435"/>
      <c r="E160" s="435"/>
      <c r="F160" s="425" t="s">
        <v>1655</v>
      </c>
      <c r="G160" s="52"/>
      <c r="H160" s="414"/>
      <c r="I160" s="414"/>
      <c r="J160" s="414"/>
      <c r="K160" s="414"/>
      <c r="L160" s="414"/>
      <c r="M160" s="414"/>
      <c r="N160" s="414"/>
      <c r="O160" s="414"/>
      <c r="P160" s="414"/>
      <c r="Q160" s="414"/>
      <c r="R160" s="414"/>
      <c r="S160" s="414"/>
      <c r="T160" s="414"/>
      <c r="U160" s="414"/>
      <c r="V160" s="414"/>
      <c r="W160" s="414"/>
      <c r="X160" s="414"/>
      <c r="Y160" s="414"/>
      <c r="Z160" s="414"/>
    </row>
    <row r="161" ht="18.75" customHeight="1">
      <c r="A161" s="417"/>
      <c r="B161" s="418"/>
      <c r="C161" s="55"/>
      <c r="D161" s="56"/>
      <c r="E161" s="56"/>
      <c r="F161" s="425"/>
      <c r="G161" s="52"/>
      <c r="H161" s="414"/>
      <c r="I161" s="414"/>
      <c r="J161" s="414"/>
      <c r="K161" s="414"/>
      <c r="L161" s="414"/>
      <c r="M161" s="414"/>
      <c r="N161" s="414"/>
      <c r="O161" s="414"/>
      <c r="P161" s="414"/>
      <c r="Q161" s="414"/>
      <c r="R161" s="414"/>
      <c r="S161" s="414"/>
      <c r="T161" s="414"/>
      <c r="U161" s="414"/>
      <c r="V161" s="414"/>
      <c r="W161" s="414"/>
      <c r="X161" s="414"/>
      <c r="Y161" s="414"/>
      <c r="Z161" s="414"/>
    </row>
    <row r="162" ht="18.75" customHeight="1">
      <c r="A162" s="89"/>
      <c r="B162" s="90"/>
      <c r="C162" s="91" t="s">
        <v>292</v>
      </c>
      <c r="D162" s="92" t="s">
        <v>292</v>
      </c>
      <c r="E162" s="92" t="s">
        <v>292</v>
      </c>
      <c r="F162" s="94"/>
      <c r="G162" s="414"/>
      <c r="H162" s="414"/>
      <c r="I162" s="414"/>
      <c r="J162" s="414"/>
      <c r="K162" s="414"/>
      <c r="L162" s="414"/>
      <c r="M162" s="414"/>
      <c r="N162" s="414"/>
      <c r="O162" s="414"/>
      <c r="P162" s="414"/>
      <c r="Q162" s="414"/>
      <c r="R162" s="414"/>
      <c r="S162" s="414"/>
      <c r="T162" s="414"/>
      <c r="U162" s="414"/>
      <c r="V162" s="414"/>
      <c r="W162" s="414"/>
      <c r="X162" s="414"/>
      <c r="Y162" s="414"/>
      <c r="Z162" s="414"/>
    </row>
    <row r="163" ht="12.75" customHeight="1">
      <c r="A163" s="436"/>
      <c r="B163" s="437"/>
      <c r="C163" s="97">
        <v>28161.0</v>
      </c>
      <c r="D163" s="98">
        <v>769401.5</v>
      </c>
      <c r="E163" s="98">
        <v>805151.9</v>
      </c>
      <c r="F163" s="438"/>
      <c r="G163" s="414"/>
      <c r="H163" s="414"/>
      <c r="I163" s="414"/>
      <c r="J163" s="414"/>
      <c r="K163" s="414"/>
      <c r="L163" s="414"/>
      <c r="M163" s="414"/>
      <c r="N163" s="414"/>
      <c r="O163" s="414"/>
      <c r="P163" s="414"/>
      <c r="Q163" s="414"/>
      <c r="R163" s="414"/>
      <c r="S163" s="414"/>
      <c r="T163" s="414"/>
      <c r="U163" s="414"/>
      <c r="V163" s="414"/>
      <c r="W163" s="414"/>
      <c r="X163" s="414"/>
      <c r="Y163" s="414"/>
      <c r="Z163" s="414"/>
    </row>
    <row r="164" ht="12.75" customHeight="1">
      <c r="A164" s="4"/>
      <c r="B164" s="101"/>
      <c r="C164" s="4"/>
      <c r="D164" s="102"/>
      <c r="E164" s="103"/>
      <c r="F164" s="10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75" customHeight="1">
      <c r="A165" s="4"/>
      <c r="B165" s="101"/>
      <c r="C165" s="4"/>
      <c r="D165" s="102"/>
      <c r="E165" s="103"/>
      <c r="F165" s="10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75" customHeight="1">
      <c r="A166" s="4"/>
      <c r="B166" s="101"/>
      <c r="C166" s="4"/>
      <c r="D166" s="102"/>
      <c r="E166" s="103"/>
      <c r="F166" s="10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.75" customHeight="1">
      <c r="A167" s="4"/>
      <c r="B167" s="101"/>
      <c r="C167" s="4"/>
      <c r="D167" s="102"/>
      <c r="E167" s="103"/>
      <c r="F167" s="10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75" customHeight="1">
      <c r="A168" s="4"/>
      <c r="B168" s="101"/>
      <c r="C168" s="4"/>
      <c r="D168" s="102"/>
      <c r="E168" s="103"/>
      <c r="F168" s="10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75" customHeight="1">
      <c r="A169" s="4"/>
      <c r="B169" s="101"/>
      <c r="C169" s="4"/>
      <c r="D169" s="102"/>
      <c r="E169" s="103"/>
      <c r="F169" s="10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75" customHeight="1">
      <c r="A170" s="4"/>
      <c r="B170" s="101"/>
      <c r="C170" s="4"/>
      <c r="D170" s="102"/>
      <c r="E170" s="103"/>
      <c r="F170" s="10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75" customHeight="1">
      <c r="A171" s="4"/>
      <c r="B171" s="101"/>
      <c r="C171" s="4"/>
      <c r="D171" s="102"/>
      <c r="E171" s="103"/>
      <c r="F171" s="10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75" customHeight="1">
      <c r="A172" s="4"/>
      <c r="B172" s="101"/>
      <c r="C172" s="4"/>
      <c r="D172" s="102"/>
      <c r="E172" s="103"/>
      <c r="F172" s="10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75" customHeight="1">
      <c r="A173" s="4"/>
      <c r="B173" s="101"/>
      <c r="C173" s="4"/>
      <c r="D173" s="102"/>
      <c r="E173" s="103"/>
      <c r="F173" s="10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75" customHeight="1">
      <c r="A174" s="4"/>
      <c r="B174" s="101"/>
      <c r="C174" s="4"/>
      <c r="D174" s="102"/>
      <c r="E174" s="103"/>
      <c r="F174" s="10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75" customHeight="1">
      <c r="A175" s="4"/>
      <c r="B175" s="101"/>
      <c r="C175" s="4"/>
      <c r="D175" s="102"/>
      <c r="E175" s="103"/>
      <c r="F175" s="10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75" customHeight="1">
      <c r="A176" s="4"/>
      <c r="B176" s="101"/>
      <c r="C176" s="4"/>
      <c r="D176" s="102"/>
      <c r="E176" s="103"/>
      <c r="F176" s="10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75" customHeight="1">
      <c r="A177" s="4"/>
      <c r="B177" s="101"/>
      <c r="C177" s="4"/>
      <c r="D177" s="102"/>
      <c r="E177" s="103"/>
      <c r="F177" s="10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75" customHeight="1">
      <c r="A178" s="4"/>
      <c r="B178" s="101"/>
      <c r="C178" s="4"/>
      <c r="D178" s="102"/>
      <c r="E178" s="103"/>
      <c r="F178" s="10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75" customHeight="1">
      <c r="A179" s="4"/>
      <c r="B179" s="101"/>
      <c r="C179" s="4"/>
      <c r="D179" s="102"/>
      <c r="E179" s="103"/>
      <c r="F179" s="10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75" customHeight="1">
      <c r="A180" s="4"/>
      <c r="B180" s="101"/>
      <c r="C180" s="4"/>
      <c r="D180" s="102"/>
      <c r="E180" s="103"/>
      <c r="F180" s="10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75" customHeight="1">
      <c r="A181" s="4"/>
      <c r="B181" s="101"/>
      <c r="C181" s="4"/>
      <c r="D181" s="102"/>
      <c r="E181" s="103"/>
      <c r="F181" s="10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75" customHeight="1">
      <c r="A182" s="4"/>
      <c r="B182" s="101"/>
      <c r="C182" s="4"/>
      <c r="D182" s="102"/>
      <c r="E182" s="103"/>
      <c r="F182" s="10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75" customHeight="1">
      <c r="A183" s="4"/>
      <c r="B183" s="101"/>
      <c r="C183" s="4"/>
      <c r="D183" s="102"/>
      <c r="E183" s="103"/>
      <c r="F183" s="10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75" customHeight="1">
      <c r="A184" s="4"/>
      <c r="B184" s="101"/>
      <c r="C184" s="4"/>
      <c r="D184" s="102"/>
      <c r="E184" s="103"/>
      <c r="F184" s="10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75" customHeight="1">
      <c r="A185" s="4"/>
      <c r="B185" s="101"/>
      <c r="C185" s="4"/>
      <c r="D185" s="102"/>
      <c r="E185" s="103"/>
      <c r="F185" s="10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75" customHeight="1">
      <c r="A186" s="4"/>
      <c r="B186" s="101"/>
      <c r="C186" s="4"/>
      <c r="D186" s="102"/>
      <c r="E186" s="103"/>
      <c r="F186" s="10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75" customHeight="1">
      <c r="A187" s="4"/>
      <c r="B187" s="101"/>
      <c r="C187" s="4"/>
      <c r="D187" s="102"/>
      <c r="E187" s="103"/>
      <c r="F187" s="10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75" customHeight="1">
      <c r="A188" s="4"/>
      <c r="B188" s="101"/>
      <c r="C188" s="4"/>
      <c r="D188" s="102"/>
      <c r="E188" s="103"/>
      <c r="F188" s="10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75" customHeight="1">
      <c r="A189" s="4"/>
      <c r="B189" s="101"/>
      <c r="C189" s="4"/>
      <c r="D189" s="102"/>
      <c r="E189" s="103"/>
      <c r="F189" s="10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75" customHeight="1">
      <c r="A190" s="4"/>
      <c r="B190" s="101"/>
      <c r="C190" s="4"/>
      <c r="D190" s="102"/>
      <c r="E190" s="103"/>
      <c r="F190" s="10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75" customHeight="1">
      <c r="A191" s="4"/>
      <c r="B191" s="101"/>
      <c r="C191" s="4"/>
      <c r="D191" s="102"/>
      <c r="E191" s="103"/>
      <c r="F191" s="10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75" customHeight="1">
      <c r="A192" s="4"/>
      <c r="B192" s="101"/>
      <c r="C192" s="4"/>
      <c r="D192" s="102"/>
      <c r="E192" s="103"/>
      <c r="F192" s="10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75" customHeight="1">
      <c r="A193" s="4"/>
      <c r="B193" s="101"/>
      <c r="C193" s="4"/>
      <c r="D193" s="102"/>
      <c r="E193" s="103"/>
      <c r="F193" s="10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75" customHeight="1">
      <c r="A194" s="4"/>
      <c r="B194" s="101"/>
      <c r="C194" s="4"/>
      <c r="D194" s="102"/>
      <c r="E194" s="103"/>
      <c r="F194" s="10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75" customHeight="1">
      <c r="A195" s="4"/>
      <c r="B195" s="101"/>
      <c r="C195" s="4"/>
      <c r="D195" s="102"/>
      <c r="E195" s="103"/>
      <c r="F195" s="10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75" customHeight="1">
      <c r="A196" s="4"/>
      <c r="B196" s="101"/>
      <c r="C196" s="4"/>
      <c r="D196" s="102"/>
      <c r="E196" s="103"/>
      <c r="F196" s="10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75" customHeight="1">
      <c r="A197" s="4"/>
      <c r="B197" s="101"/>
      <c r="C197" s="4"/>
      <c r="D197" s="102"/>
      <c r="E197" s="103"/>
      <c r="F197" s="10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75" customHeight="1">
      <c r="A198" s="4"/>
      <c r="B198" s="101"/>
      <c r="C198" s="4"/>
      <c r="D198" s="102"/>
      <c r="E198" s="103"/>
      <c r="F198" s="10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75" customHeight="1">
      <c r="A199" s="4"/>
      <c r="B199" s="101"/>
      <c r="C199" s="4"/>
      <c r="D199" s="102"/>
      <c r="E199" s="103"/>
      <c r="F199" s="10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75" customHeight="1">
      <c r="A200" s="4"/>
      <c r="B200" s="101"/>
      <c r="C200" s="4"/>
      <c r="D200" s="102"/>
      <c r="E200" s="103"/>
      <c r="F200" s="10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75" customHeight="1">
      <c r="A201" s="4"/>
      <c r="B201" s="101"/>
      <c r="C201" s="4"/>
      <c r="D201" s="102"/>
      <c r="E201" s="103"/>
      <c r="F201" s="10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.75" customHeight="1">
      <c r="A202" s="4"/>
      <c r="B202" s="101"/>
      <c r="C202" s="4"/>
      <c r="D202" s="102"/>
      <c r="E202" s="103"/>
      <c r="F202" s="10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75" customHeight="1">
      <c r="A203" s="4"/>
      <c r="B203" s="101"/>
      <c r="C203" s="4"/>
      <c r="D203" s="102"/>
      <c r="E203" s="103"/>
      <c r="F203" s="10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75" customHeight="1">
      <c r="A204" s="4"/>
      <c r="B204" s="101"/>
      <c r="C204" s="4"/>
      <c r="D204" s="102"/>
      <c r="E204" s="103"/>
      <c r="F204" s="10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75" customHeight="1">
      <c r="A205" s="4"/>
      <c r="B205" s="101"/>
      <c r="C205" s="4"/>
      <c r="D205" s="102"/>
      <c r="E205" s="103"/>
      <c r="F205" s="10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75" customHeight="1">
      <c r="A206" s="4"/>
      <c r="B206" s="101"/>
      <c r="C206" s="4"/>
      <c r="D206" s="102"/>
      <c r="E206" s="103"/>
      <c r="F206" s="10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75" customHeight="1">
      <c r="A207" s="4"/>
      <c r="B207" s="101"/>
      <c r="C207" s="4"/>
      <c r="D207" s="102"/>
      <c r="E207" s="103"/>
      <c r="F207" s="10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75" customHeight="1">
      <c r="A208" s="4"/>
      <c r="B208" s="101"/>
      <c r="C208" s="4"/>
      <c r="D208" s="102"/>
      <c r="E208" s="103"/>
      <c r="F208" s="10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75" customHeight="1">
      <c r="A209" s="4"/>
      <c r="B209" s="101"/>
      <c r="C209" s="4"/>
      <c r="D209" s="102"/>
      <c r="E209" s="103"/>
      <c r="F209" s="10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75" customHeight="1">
      <c r="A210" s="4"/>
      <c r="B210" s="101"/>
      <c r="C210" s="4"/>
      <c r="D210" s="102"/>
      <c r="E210" s="103"/>
      <c r="F210" s="10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.75" customHeight="1">
      <c r="A211" s="4"/>
      <c r="B211" s="101"/>
      <c r="C211" s="4"/>
      <c r="D211" s="102"/>
      <c r="E211" s="103"/>
      <c r="F211" s="10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75" customHeight="1">
      <c r="A212" s="4"/>
      <c r="B212" s="101"/>
      <c r="C212" s="4"/>
      <c r="D212" s="102"/>
      <c r="E212" s="103"/>
      <c r="F212" s="10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75" customHeight="1">
      <c r="A213" s="4"/>
      <c r="B213" s="101"/>
      <c r="C213" s="4"/>
      <c r="D213" s="102"/>
      <c r="E213" s="103"/>
      <c r="F213" s="10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75" customHeight="1">
      <c r="A214" s="4"/>
      <c r="B214" s="101"/>
      <c r="C214" s="4"/>
      <c r="D214" s="102"/>
      <c r="E214" s="103"/>
      <c r="F214" s="10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75" customHeight="1">
      <c r="A215" s="4"/>
      <c r="B215" s="101"/>
      <c r="C215" s="4"/>
      <c r="D215" s="102"/>
      <c r="E215" s="103"/>
      <c r="F215" s="10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75" customHeight="1">
      <c r="A216" s="4"/>
      <c r="B216" s="101"/>
      <c r="C216" s="4"/>
      <c r="D216" s="102"/>
      <c r="E216" s="103"/>
      <c r="F216" s="10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75" customHeight="1">
      <c r="A217" s="4"/>
      <c r="B217" s="101"/>
      <c r="C217" s="4"/>
      <c r="D217" s="102"/>
      <c r="E217" s="103"/>
      <c r="F217" s="10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75" customHeight="1">
      <c r="A218" s="4"/>
      <c r="B218" s="101"/>
      <c r="C218" s="4"/>
      <c r="D218" s="102"/>
      <c r="E218" s="103"/>
      <c r="F218" s="10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75" customHeight="1">
      <c r="A219" s="4"/>
      <c r="B219" s="101"/>
      <c r="C219" s="4"/>
      <c r="D219" s="102"/>
      <c r="E219" s="103"/>
      <c r="F219" s="10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75" customHeight="1">
      <c r="A220" s="4"/>
      <c r="B220" s="101"/>
      <c r="C220" s="4"/>
      <c r="D220" s="102"/>
      <c r="E220" s="103"/>
      <c r="F220" s="10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2.75" customHeight="1">
      <c r="A221" s="4"/>
      <c r="B221" s="101"/>
      <c r="C221" s="4"/>
      <c r="D221" s="102"/>
      <c r="E221" s="103"/>
      <c r="F221" s="10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2.75" customHeight="1">
      <c r="A222" s="4"/>
      <c r="B222" s="101"/>
      <c r="C222" s="4"/>
      <c r="D222" s="102"/>
      <c r="E222" s="103"/>
      <c r="F222" s="10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2.75" customHeight="1">
      <c r="A223" s="4"/>
      <c r="B223" s="101"/>
      <c r="C223" s="4"/>
      <c r="D223" s="102"/>
      <c r="E223" s="103"/>
      <c r="F223" s="10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2.75" customHeight="1">
      <c r="A224" s="4"/>
      <c r="B224" s="101"/>
      <c r="C224" s="4"/>
      <c r="D224" s="102"/>
      <c r="E224" s="103"/>
      <c r="F224" s="10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2.75" customHeight="1">
      <c r="A225" s="4"/>
      <c r="B225" s="101"/>
      <c r="C225" s="4"/>
      <c r="D225" s="102"/>
      <c r="E225" s="103"/>
      <c r="F225" s="10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2.75" customHeight="1">
      <c r="A226" s="4"/>
      <c r="B226" s="101"/>
      <c r="C226" s="4"/>
      <c r="D226" s="102"/>
      <c r="E226" s="103"/>
      <c r="F226" s="10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2.75" customHeight="1">
      <c r="A227" s="4"/>
      <c r="B227" s="101"/>
      <c r="C227" s="4"/>
      <c r="D227" s="102"/>
      <c r="E227" s="103"/>
      <c r="F227" s="10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2.75" customHeight="1">
      <c r="A228" s="4"/>
      <c r="B228" s="101"/>
      <c r="C228" s="4"/>
      <c r="D228" s="102"/>
      <c r="E228" s="103"/>
      <c r="F228" s="10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2.75" customHeight="1">
      <c r="A229" s="4"/>
      <c r="B229" s="101"/>
      <c r="C229" s="4"/>
      <c r="D229" s="102"/>
      <c r="E229" s="103"/>
      <c r="F229" s="10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2.75" customHeight="1">
      <c r="A230" s="4"/>
      <c r="B230" s="101"/>
      <c r="C230" s="4"/>
      <c r="D230" s="102"/>
      <c r="E230" s="103"/>
      <c r="F230" s="10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2.75" customHeight="1">
      <c r="A231" s="4"/>
      <c r="B231" s="101"/>
      <c r="C231" s="4"/>
      <c r="D231" s="102"/>
      <c r="E231" s="103"/>
      <c r="F231" s="10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2.75" customHeight="1">
      <c r="A232" s="4"/>
      <c r="B232" s="101"/>
      <c r="C232" s="4"/>
      <c r="D232" s="102"/>
      <c r="E232" s="103"/>
      <c r="F232" s="10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2.75" customHeight="1">
      <c r="A233" s="4"/>
      <c r="B233" s="101"/>
      <c r="C233" s="4"/>
      <c r="D233" s="102"/>
      <c r="E233" s="103"/>
      <c r="F233" s="10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2.75" customHeight="1">
      <c r="A234" s="4"/>
      <c r="B234" s="101"/>
      <c r="C234" s="4"/>
      <c r="D234" s="102"/>
      <c r="E234" s="103"/>
      <c r="F234" s="10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2.75" customHeight="1">
      <c r="A235" s="4"/>
      <c r="B235" s="101"/>
      <c r="C235" s="4"/>
      <c r="D235" s="102"/>
      <c r="E235" s="103"/>
      <c r="F235" s="10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2.75" customHeight="1">
      <c r="A236" s="4"/>
      <c r="B236" s="101"/>
      <c r="C236" s="4"/>
      <c r="D236" s="102"/>
      <c r="E236" s="103"/>
      <c r="F236" s="10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2.75" customHeight="1">
      <c r="A237" s="4"/>
      <c r="B237" s="101"/>
      <c r="C237" s="4"/>
      <c r="D237" s="102"/>
      <c r="E237" s="103"/>
      <c r="F237" s="10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2.75" customHeight="1">
      <c r="A238" s="4"/>
      <c r="B238" s="101"/>
      <c r="C238" s="4"/>
      <c r="D238" s="102"/>
      <c r="E238" s="103"/>
      <c r="F238" s="10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2.75" customHeight="1">
      <c r="A239" s="4"/>
      <c r="B239" s="101"/>
      <c r="C239" s="4"/>
      <c r="D239" s="102"/>
      <c r="E239" s="103"/>
      <c r="F239" s="10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2.75" customHeight="1">
      <c r="A240" s="4"/>
      <c r="B240" s="101"/>
      <c r="C240" s="4"/>
      <c r="D240" s="102"/>
      <c r="E240" s="103"/>
      <c r="F240" s="10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2.75" customHeight="1">
      <c r="A241" s="4"/>
      <c r="B241" s="101"/>
      <c r="C241" s="4"/>
      <c r="D241" s="102"/>
      <c r="E241" s="103"/>
      <c r="F241" s="10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2.75" customHeight="1">
      <c r="A242" s="4"/>
      <c r="B242" s="101"/>
      <c r="C242" s="4"/>
      <c r="D242" s="102"/>
      <c r="E242" s="103"/>
      <c r="F242" s="10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2.75" customHeight="1">
      <c r="A243" s="4"/>
      <c r="B243" s="101"/>
      <c r="C243" s="4"/>
      <c r="D243" s="102"/>
      <c r="E243" s="103"/>
      <c r="F243" s="10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2.75" customHeight="1">
      <c r="A244" s="4"/>
      <c r="B244" s="101"/>
      <c r="C244" s="4"/>
      <c r="D244" s="102"/>
      <c r="E244" s="103"/>
      <c r="F244" s="10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2.75" customHeight="1">
      <c r="A245" s="4"/>
      <c r="B245" s="101"/>
      <c r="C245" s="4"/>
      <c r="D245" s="102"/>
      <c r="E245" s="103"/>
      <c r="F245" s="10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2.75" customHeight="1">
      <c r="A246" s="4"/>
      <c r="B246" s="101"/>
      <c r="C246" s="4"/>
      <c r="D246" s="102"/>
      <c r="E246" s="103"/>
      <c r="F246" s="10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2.75" customHeight="1">
      <c r="A247" s="4"/>
      <c r="B247" s="101"/>
      <c r="C247" s="4"/>
      <c r="D247" s="102"/>
      <c r="E247" s="103"/>
      <c r="F247" s="10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2.75" customHeight="1">
      <c r="A248" s="4"/>
      <c r="B248" s="101"/>
      <c r="C248" s="4"/>
      <c r="D248" s="102"/>
      <c r="E248" s="103"/>
      <c r="F248" s="10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2.75" customHeight="1">
      <c r="A249" s="4"/>
      <c r="B249" s="101"/>
      <c r="C249" s="4"/>
      <c r="D249" s="102"/>
      <c r="E249" s="103"/>
      <c r="F249" s="10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2.75" customHeight="1">
      <c r="A250" s="4"/>
      <c r="B250" s="101"/>
      <c r="C250" s="4"/>
      <c r="D250" s="102"/>
      <c r="E250" s="103"/>
      <c r="F250" s="10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2.75" customHeight="1">
      <c r="A251" s="4"/>
      <c r="B251" s="101"/>
      <c r="C251" s="4"/>
      <c r="D251" s="102"/>
      <c r="E251" s="103"/>
      <c r="F251" s="10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2.75" customHeight="1">
      <c r="A252" s="4"/>
      <c r="B252" s="101"/>
      <c r="C252" s="4"/>
      <c r="D252" s="102"/>
      <c r="E252" s="103"/>
      <c r="F252" s="10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2.75" customHeight="1">
      <c r="A253" s="4"/>
      <c r="B253" s="101"/>
      <c r="C253" s="4"/>
      <c r="D253" s="102"/>
      <c r="E253" s="103"/>
      <c r="F253" s="10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2.75" customHeight="1">
      <c r="A254" s="4"/>
      <c r="B254" s="101"/>
      <c r="C254" s="4"/>
      <c r="D254" s="102"/>
      <c r="E254" s="103"/>
      <c r="F254" s="10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2.75" customHeight="1">
      <c r="A255" s="4"/>
      <c r="B255" s="101"/>
      <c r="C255" s="4"/>
      <c r="D255" s="102"/>
      <c r="E255" s="103"/>
      <c r="F255" s="10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2.75" customHeight="1">
      <c r="A256" s="4"/>
      <c r="B256" s="101"/>
      <c r="C256" s="4"/>
      <c r="D256" s="102"/>
      <c r="E256" s="103"/>
      <c r="F256" s="10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2.75" customHeight="1">
      <c r="A257" s="4"/>
      <c r="B257" s="101"/>
      <c r="C257" s="4"/>
      <c r="D257" s="102"/>
      <c r="E257" s="103"/>
      <c r="F257" s="10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2.75" customHeight="1">
      <c r="A258" s="4"/>
      <c r="B258" s="101"/>
      <c r="C258" s="4"/>
      <c r="D258" s="102"/>
      <c r="E258" s="103"/>
      <c r="F258" s="10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2.75" customHeight="1">
      <c r="A259" s="4"/>
      <c r="B259" s="101"/>
      <c r="C259" s="4"/>
      <c r="D259" s="102"/>
      <c r="E259" s="103"/>
      <c r="F259" s="10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2.75" customHeight="1">
      <c r="A260" s="4"/>
      <c r="B260" s="101"/>
      <c r="C260" s="4"/>
      <c r="D260" s="102"/>
      <c r="E260" s="103"/>
      <c r="F260" s="10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2.75" customHeight="1">
      <c r="A261" s="4"/>
      <c r="B261" s="101"/>
      <c r="C261" s="4"/>
      <c r="D261" s="102"/>
      <c r="E261" s="103"/>
      <c r="F261" s="10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2.75" customHeight="1">
      <c r="A262" s="4"/>
      <c r="B262" s="101"/>
      <c r="C262" s="4"/>
      <c r="D262" s="102"/>
      <c r="E262" s="103"/>
      <c r="F262" s="10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2.75" customHeight="1">
      <c r="A263" s="4"/>
      <c r="B263" s="101"/>
      <c r="C263" s="4"/>
      <c r="D263" s="102"/>
      <c r="E263" s="103"/>
      <c r="F263" s="10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2.75" customHeight="1">
      <c r="A264" s="4"/>
      <c r="B264" s="101"/>
      <c r="C264" s="4"/>
      <c r="D264" s="102"/>
      <c r="E264" s="103"/>
      <c r="F264" s="10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2.75" customHeight="1">
      <c r="A265" s="4"/>
      <c r="B265" s="101"/>
      <c r="C265" s="4"/>
      <c r="D265" s="102"/>
      <c r="E265" s="103"/>
      <c r="F265" s="10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2.75" customHeight="1">
      <c r="A266" s="4"/>
      <c r="B266" s="101"/>
      <c r="C266" s="4"/>
      <c r="D266" s="102"/>
      <c r="E266" s="103"/>
      <c r="F266" s="10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2.75" customHeight="1">
      <c r="A267" s="4"/>
      <c r="B267" s="101"/>
      <c r="C267" s="4"/>
      <c r="D267" s="102"/>
      <c r="E267" s="103"/>
      <c r="F267" s="10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2.75" customHeight="1">
      <c r="A268" s="4"/>
      <c r="B268" s="101"/>
      <c r="C268" s="4"/>
      <c r="D268" s="102"/>
      <c r="E268" s="103"/>
      <c r="F268" s="10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2.75" customHeight="1">
      <c r="A269" s="4"/>
      <c r="B269" s="101"/>
      <c r="C269" s="4"/>
      <c r="D269" s="102"/>
      <c r="E269" s="103"/>
      <c r="F269" s="10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2.75" customHeight="1">
      <c r="A270" s="4"/>
      <c r="B270" s="101"/>
      <c r="C270" s="4"/>
      <c r="D270" s="102"/>
      <c r="E270" s="103"/>
      <c r="F270" s="10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2.75" customHeight="1">
      <c r="A271" s="4"/>
      <c r="B271" s="101"/>
      <c r="C271" s="4"/>
      <c r="D271" s="102"/>
      <c r="E271" s="103"/>
      <c r="F271" s="10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2.75" customHeight="1">
      <c r="A272" s="4"/>
      <c r="B272" s="101"/>
      <c r="C272" s="4"/>
      <c r="D272" s="102"/>
      <c r="E272" s="103"/>
      <c r="F272" s="10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2.75" customHeight="1">
      <c r="A273" s="4"/>
      <c r="B273" s="101"/>
      <c r="C273" s="4"/>
      <c r="D273" s="102"/>
      <c r="E273" s="103"/>
      <c r="F273" s="10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2.75" customHeight="1">
      <c r="A274" s="4"/>
      <c r="B274" s="101"/>
      <c r="C274" s="4"/>
      <c r="D274" s="102"/>
      <c r="E274" s="103"/>
      <c r="F274" s="10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2.75" customHeight="1">
      <c r="A275" s="4"/>
      <c r="B275" s="101"/>
      <c r="C275" s="4"/>
      <c r="D275" s="102"/>
      <c r="E275" s="103"/>
      <c r="F275" s="10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2.75" customHeight="1">
      <c r="A276" s="4"/>
      <c r="B276" s="101"/>
      <c r="C276" s="4"/>
      <c r="D276" s="102"/>
      <c r="E276" s="103"/>
      <c r="F276" s="10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2.75" customHeight="1">
      <c r="A277" s="4"/>
      <c r="B277" s="101"/>
      <c r="C277" s="4"/>
      <c r="D277" s="102"/>
      <c r="E277" s="103"/>
      <c r="F277" s="10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2.75" customHeight="1">
      <c r="A278" s="4"/>
      <c r="B278" s="101"/>
      <c r="C278" s="4"/>
      <c r="D278" s="102"/>
      <c r="E278" s="103"/>
      <c r="F278" s="10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2.75" customHeight="1">
      <c r="A279" s="4"/>
      <c r="B279" s="101"/>
      <c r="C279" s="4"/>
      <c r="D279" s="102"/>
      <c r="E279" s="103"/>
      <c r="F279" s="10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2.75" customHeight="1">
      <c r="A280" s="4"/>
      <c r="B280" s="101"/>
      <c r="C280" s="4"/>
      <c r="D280" s="102"/>
      <c r="E280" s="103"/>
      <c r="F280" s="10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2.75" customHeight="1">
      <c r="A281" s="4"/>
      <c r="B281" s="101"/>
      <c r="C281" s="4"/>
      <c r="D281" s="102"/>
      <c r="E281" s="103"/>
      <c r="F281" s="10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2.75" customHeight="1">
      <c r="A282" s="4"/>
      <c r="B282" s="101"/>
      <c r="C282" s="4"/>
      <c r="D282" s="102"/>
      <c r="E282" s="103"/>
      <c r="F282" s="10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2.75" customHeight="1">
      <c r="A283" s="4"/>
      <c r="B283" s="101"/>
      <c r="C283" s="4"/>
      <c r="D283" s="102"/>
      <c r="E283" s="103"/>
      <c r="F283" s="10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2.75" customHeight="1">
      <c r="A284" s="4"/>
      <c r="B284" s="101"/>
      <c r="C284" s="4"/>
      <c r="D284" s="102"/>
      <c r="E284" s="103"/>
      <c r="F284" s="10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2.75" customHeight="1">
      <c r="A285" s="4"/>
      <c r="B285" s="101"/>
      <c r="C285" s="4"/>
      <c r="D285" s="102"/>
      <c r="E285" s="103"/>
      <c r="F285" s="10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2.75" customHeight="1">
      <c r="A286" s="4"/>
      <c r="B286" s="101"/>
      <c r="C286" s="4"/>
      <c r="D286" s="102"/>
      <c r="E286" s="103"/>
      <c r="F286" s="10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2.75" customHeight="1">
      <c r="A287" s="4"/>
      <c r="B287" s="101"/>
      <c r="C287" s="4"/>
      <c r="D287" s="102"/>
      <c r="E287" s="103"/>
      <c r="F287" s="10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2.75" customHeight="1">
      <c r="A288" s="4"/>
      <c r="B288" s="101"/>
      <c r="C288" s="4"/>
      <c r="D288" s="102"/>
      <c r="E288" s="103"/>
      <c r="F288" s="10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2.75" customHeight="1">
      <c r="A289" s="4"/>
      <c r="B289" s="101"/>
      <c r="C289" s="4"/>
      <c r="D289" s="102"/>
      <c r="E289" s="103"/>
      <c r="F289" s="10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2.75" customHeight="1">
      <c r="A290" s="4"/>
      <c r="B290" s="101"/>
      <c r="C290" s="4"/>
      <c r="D290" s="102"/>
      <c r="E290" s="103"/>
      <c r="F290" s="10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2.75" customHeight="1">
      <c r="A291" s="4"/>
      <c r="B291" s="101"/>
      <c r="C291" s="4"/>
      <c r="D291" s="102"/>
      <c r="E291" s="103"/>
      <c r="F291" s="10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2.75" customHeight="1">
      <c r="A292" s="4"/>
      <c r="B292" s="101"/>
      <c r="C292" s="4"/>
      <c r="D292" s="102"/>
      <c r="E292" s="103"/>
      <c r="F292" s="10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2.75" customHeight="1">
      <c r="A293" s="4"/>
      <c r="B293" s="101"/>
      <c r="C293" s="4"/>
      <c r="D293" s="102"/>
      <c r="E293" s="103"/>
      <c r="F293" s="10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2.75" customHeight="1">
      <c r="A294" s="4"/>
      <c r="B294" s="101"/>
      <c r="C294" s="4"/>
      <c r="D294" s="102"/>
      <c r="E294" s="103"/>
      <c r="F294" s="10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2.75" customHeight="1">
      <c r="A295" s="4"/>
      <c r="B295" s="101"/>
      <c r="C295" s="4"/>
      <c r="D295" s="102"/>
      <c r="E295" s="103"/>
      <c r="F295" s="10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2.75" customHeight="1">
      <c r="A296" s="4"/>
      <c r="B296" s="101"/>
      <c r="C296" s="4"/>
      <c r="D296" s="102"/>
      <c r="E296" s="103"/>
      <c r="F296" s="10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2.75" customHeight="1">
      <c r="A297" s="4"/>
      <c r="B297" s="101"/>
      <c r="C297" s="4"/>
      <c r="D297" s="102"/>
      <c r="E297" s="103"/>
      <c r="F297" s="10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2.75" customHeight="1">
      <c r="A298" s="4"/>
      <c r="B298" s="101"/>
      <c r="C298" s="4"/>
      <c r="D298" s="102"/>
      <c r="E298" s="103"/>
      <c r="F298" s="10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2.75" customHeight="1">
      <c r="A299" s="4"/>
      <c r="B299" s="101"/>
      <c r="C299" s="4"/>
      <c r="D299" s="102"/>
      <c r="E299" s="103"/>
      <c r="F299" s="10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2.75" customHeight="1">
      <c r="A300" s="4"/>
      <c r="B300" s="101"/>
      <c r="C300" s="4"/>
      <c r="D300" s="102"/>
      <c r="E300" s="103"/>
      <c r="F300" s="10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2.75" customHeight="1">
      <c r="A301" s="4"/>
      <c r="B301" s="101"/>
      <c r="C301" s="4"/>
      <c r="D301" s="102"/>
      <c r="E301" s="103"/>
      <c r="F301" s="10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2.75" customHeight="1">
      <c r="A302" s="4"/>
      <c r="B302" s="101"/>
      <c r="C302" s="4"/>
      <c r="D302" s="102"/>
      <c r="E302" s="103"/>
      <c r="F302" s="10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2.75" customHeight="1">
      <c r="A303" s="4"/>
      <c r="B303" s="101"/>
      <c r="C303" s="4"/>
      <c r="D303" s="102"/>
      <c r="E303" s="103"/>
      <c r="F303" s="10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2.75" customHeight="1">
      <c r="A304" s="4"/>
      <c r="B304" s="101"/>
      <c r="C304" s="4"/>
      <c r="D304" s="102"/>
      <c r="E304" s="103"/>
      <c r="F304" s="10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2.75" customHeight="1">
      <c r="A305" s="4"/>
      <c r="B305" s="101"/>
      <c r="C305" s="4"/>
      <c r="D305" s="102"/>
      <c r="E305" s="103"/>
      <c r="F305" s="10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2.75" customHeight="1">
      <c r="A306" s="4"/>
      <c r="B306" s="101"/>
      <c r="C306" s="4"/>
      <c r="D306" s="102"/>
      <c r="E306" s="103"/>
      <c r="F306" s="10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2.75" customHeight="1">
      <c r="A307" s="4"/>
      <c r="B307" s="101"/>
      <c r="C307" s="4"/>
      <c r="D307" s="102"/>
      <c r="E307" s="103"/>
      <c r="F307" s="10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2.75" customHeight="1">
      <c r="A308" s="4"/>
      <c r="B308" s="101"/>
      <c r="C308" s="4"/>
      <c r="D308" s="102"/>
      <c r="E308" s="103"/>
      <c r="F308" s="10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2.75" customHeight="1">
      <c r="A309" s="4"/>
      <c r="B309" s="101"/>
      <c r="C309" s="4"/>
      <c r="D309" s="102"/>
      <c r="E309" s="103"/>
      <c r="F309" s="10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2.75" customHeight="1">
      <c r="A310" s="4"/>
      <c r="B310" s="101"/>
      <c r="C310" s="4"/>
      <c r="D310" s="102"/>
      <c r="E310" s="103"/>
      <c r="F310" s="10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2.75" customHeight="1">
      <c r="A311" s="4"/>
      <c r="B311" s="101"/>
      <c r="C311" s="4"/>
      <c r="D311" s="102"/>
      <c r="E311" s="103"/>
      <c r="F311" s="10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2.75" customHeight="1">
      <c r="A312" s="4"/>
      <c r="B312" s="101"/>
      <c r="C312" s="4"/>
      <c r="D312" s="102"/>
      <c r="E312" s="103"/>
      <c r="F312" s="10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2.75" customHeight="1">
      <c r="A313" s="4"/>
      <c r="B313" s="101"/>
      <c r="C313" s="4"/>
      <c r="D313" s="102"/>
      <c r="E313" s="103"/>
      <c r="F313" s="10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2.75" customHeight="1">
      <c r="A314" s="4"/>
      <c r="B314" s="101"/>
      <c r="C314" s="4"/>
      <c r="D314" s="102"/>
      <c r="E314" s="103"/>
      <c r="F314" s="10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2.75" customHeight="1">
      <c r="A315" s="4"/>
      <c r="B315" s="101"/>
      <c r="C315" s="4"/>
      <c r="D315" s="102"/>
      <c r="E315" s="103"/>
      <c r="F315" s="10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2.75" customHeight="1">
      <c r="A316" s="4"/>
      <c r="B316" s="101"/>
      <c r="C316" s="4"/>
      <c r="D316" s="102"/>
      <c r="E316" s="103"/>
      <c r="F316" s="10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2.75" customHeight="1">
      <c r="A317" s="4"/>
      <c r="B317" s="101"/>
      <c r="C317" s="4"/>
      <c r="D317" s="102"/>
      <c r="E317" s="103"/>
      <c r="F317" s="10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2.75" customHeight="1">
      <c r="A318" s="4"/>
      <c r="B318" s="101"/>
      <c r="C318" s="4"/>
      <c r="D318" s="102"/>
      <c r="E318" s="103"/>
      <c r="F318" s="10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2.75" customHeight="1">
      <c r="A319" s="4"/>
      <c r="B319" s="101"/>
      <c r="C319" s="4"/>
      <c r="D319" s="102"/>
      <c r="E319" s="103"/>
      <c r="F319" s="10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2.75" customHeight="1">
      <c r="A320" s="4"/>
      <c r="B320" s="101"/>
      <c r="C320" s="4"/>
      <c r="D320" s="102"/>
      <c r="E320" s="103"/>
      <c r="F320" s="10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2.75" customHeight="1">
      <c r="A321" s="4"/>
      <c r="B321" s="101"/>
      <c r="C321" s="4"/>
      <c r="D321" s="102"/>
      <c r="E321" s="103"/>
      <c r="F321" s="10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2.75" customHeight="1">
      <c r="A322" s="4"/>
      <c r="B322" s="101"/>
      <c r="C322" s="4"/>
      <c r="D322" s="102"/>
      <c r="E322" s="103"/>
      <c r="F322" s="10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2.75" customHeight="1">
      <c r="A323" s="4"/>
      <c r="B323" s="101"/>
      <c r="C323" s="4"/>
      <c r="D323" s="102"/>
      <c r="E323" s="103"/>
      <c r="F323" s="10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2.75" customHeight="1">
      <c r="A324" s="4"/>
      <c r="B324" s="101"/>
      <c r="C324" s="4"/>
      <c r="D324" s="102"/>
      <c r="E324" s="103"/>
      <c r="F324" s="10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2.75" customHeight="1">
      <c r="A325" s="4"/>
      <c r="B325" s="101"/>
      <c r="C325" s="4"/>
      <c r="D325" s="102"/>
      <c r="E325" s="103"/>
      <c r="F325" s="10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2.75" customHeight="1">
      <c r="A326" s="4"/>
      <c r="B326" s="101"/>
      <c r="C326" s="4"/>
      <c r="D326" s="102"/>
      <c r="E326" s="103"/>
      <c r="F326" s="10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2.75" customHeight="1">
      <c r="A327" s="4"/>
      <c r="B327" s="101"/>
      <c r="C327" s="4"/>
      <c r="D327" s="102"/>
      <c r="E327" s="103"/>
      <c r="F327" s="10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2.75" customHeight="1">
      <c r="A328" s="4"/>
      <c r="B328" s="101"/>
      <c r="C328" s="4"/>
      <c r="D328" s="102"/>
      <c r="E328" s="103"/>
      <c r="F328" s="10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2.75" customHeight="1">
      <c r="A329" s="4"/>
      <c r="B329" s="101"/>
      <c r="C329" s="4"/>
      <c r="D329" s="102"/>
      <c r="E329" s="103"/>
      <c r="F329" s="10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2.75" customHeight="1">
      <c r="A330" s="4"/>
      <c r="B330" s="101"/>
      <c r="C330" s="4"/>
      <c r="D330" s="102"/>
      <c r="E330" s="103"/>
      <c r="F330" s="10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2.75" customHeight="1">
      <c r="A331" s="4"/>
      <c r="B331" s="101"/>
      <c r="C331" s="4"/>
      <c r="D331" s="102"/>
      <c r="E331" s="103"/>
      <c r="F331" s="10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2.75" customHeight="1">
      <c r="A332" s="4"/>
      <c r="B332" s="101"/>
      <c r="C332" s="4"/>
      <c r="D332" s="102"/>
      <c r="E332" s="103"/>
      <c r="F332" s="10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2.75" customHeight="1">
      <c r="A333" s="4"/>
      <c r="B333" s="101"/>
      <c r="C333" s="4"/>
      <c r="D333" s="102"/>
      <c r="E333" s="103"/>
      <c r="F333" s="10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2.75" customHeight="1">
      <c r="A334" s="4"/>
      <c r="B334" s="101"/>
      <c r="C334" s="4"/>
      <c r="D334" s="102"/>
      <c r="E334" s="103"/>
      <c r="F334" s="10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2.75" customHeight="1">
      <c r="A335" s="4"/>
      <c r="B335" s="101"/>
      <c r="C335" s="4"/>
      <c r="D335" s="102"/>
      <c r="E335" s="103"/>
      <c r="F335" s="10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2.75" customHeight="1">
      <c r="A336" s="4"/>
      <c r="B336" s="101"/>
      <c r="C336" s="4"/>
      <c r="D336" s="102"/>
      <c r="E336" s="103"/>
      <c r="F336" s="10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2.75" customHeight="1">
      <c r="A337" s="4"/>
      <c r="B337" s="101"/>
      <c r="C337" s="4"/>
      <c r="D337" s="102"/>
      <c r="E337" s="103"/>
      <c r="F337" s="10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2.75" customHeight="1">
      <c r="A338" s="4"/>
      <c r="B338" s="101"/>
      <c r="C338" s="4"/>
      <c r="D338" s="102"/>
      <c r="E338" s="103"/>
      <c r="F338" s="10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2.75" customHeight="1">
      <c r="A339" s="4"/>
      <c r="B339" s="101"/>
      <c r="C339" s="4"/>
      <c r="D339" s="102"/>
      <c r="E339" s="103"/>
      <c r="F339" s="10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2.75" customHeight="1">
      <c r="A340" s="4"/>
      <c r="B340" s="101"/>
      <c r="C340" s="4"/>
      <c r="D340" s="102"/>
      <c r="E340" s="103"/>
      <c r="F340" s="10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2.75" customHeight="1">
      <c r="A341" s="4"/>
      <c r="B341" s="101"/>
      <c r="C341" s="4"/>
      <c r="D341" s="102"/>
      <c r="E341" s="103"/>
      <c r="F341" s="10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2.75" customHeight="1">
      <c r="A342" s="4"/>
      <c r="B342" s="101"/>
      <c r="C342" s="4"/>
      <c r="D342" s="102"/>
      <c r="E342" s="103"/>
      <c r="F342" s="10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2.75" customHeight="1">
      <c r="A343" s="4"/>
      <c r="B343" s="101"/>
      <c r="C343" s="4"/>
      <c r="D343" s="102"/>
      <c r="E343" s="103"/>
      <c r="F343" s="10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2.75" customHeight="1">
      <c r="A344" s="4"/>
      <c r="B344" s="101"/>
      <c r="C344" s="4"/>
      <c r="D344" s="102"/>
      <c r="E344" s="103"/>
      <c r="F344" s="10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2.75" customHeight="1">
      <c r="A345" s="4"/>
      <c r="B345" s="101"/>
      <c r="C345" s="4"/>
      <c r="D345" s="102"/>
      <c r="E345" s="103"/>
      <c r="F345" s="10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2.75" customHeight="1">
      <c r="A346" s="4"/>
      <c r="B346" s="101"/>
      <c r="C346" s="4"/>
      <c r="D346" s="102"/>
      <c r="E346" s="103"/>
      <c r="F346" s="10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2.75" customHeight="1">
      <c r="A347" s="4"/>
      <c r="B347" s="101"/>
      <c r="C347" s="4"/>
      <c r="D347" s="102"/>
      <c r="E347" s="103"/>
      <c r="F347" s="10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2.75" customHeight="1">
      <c r="A348" s="4"/>
      <c r="B348" s="101"/>
      <c r="C348" s="4"/>
      <c r="D348" s="102"/>
      <c r="E348" s="103"/>
      <c r="F348" s="10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2.75" customHeight="1">
      <c r="A349" s="4"/>
      <c r="B349" s="101"/>
      <c r="C349" s="4"/>
      <c r="D349" s="102"/>
      <c r="E349" s="103"/>
      <c r="F349" s="10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2.75" customHeight="1">
      <c r="A350" s="4"/>
      <c r="B350" s="101"/>
      <c r="C350" s="4"/>
      <c r="D350" s="102"/>
      <c r="E350" s="103"/>
      <c r="F350" s="10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2.75" customHeight="1">
      <c r="A351" s="4"/>
      <c r="B351" s="101"/>
      <c r="C351" s="4"/>
      <c r="D351" s="102"/>
      <c r="E351" s="103"/>
      <c r="F351" s="10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2.75" customHeight="1">
      <c r="A352" s="4"/>
      <c r="B352" s="101"/>
      <c r="C352" s="4"/>
      <c r="D352" s="102"/>
      <c r="E352" s="103"/>
      <c r="F352" s="10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2.75" customHeight="1">
      <c r="A353" s="4"/>
      <c r="B353" s="101"/>
      <c r="C353" s="4"/>
      <c r="D353" s="102"/>
      <c r="E353" s="103"/>
      <c r="F353" s="10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2.75" customHeight="1">
      <c r="A354" s="4"/>
      <c r="B354" s="101"/>
      <c r="C354" s="4"/>
      <c r="D354" s="102"/>
      <c r="E354" s="103"/>
      <c r="F354" s="10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2.75" customHeight="1">
      <c r="A355" s="4"/>
      <c r="B355" s="101"/>
      <c r="C355" s="4"/>
      <c r="D355" s="102"/>
      <c r="E355" s="103"/>
      <c r="F355" s="10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2.75" customHeight="1">
      <c r="A356" s="4"/>
      <c r="B356" s="101"/>
      <c r="C356" s="4"/>
      <c r="D356" s="102"/>
      <c r="E356" s="103"/>
      <c r="F356" s="10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2.75" customHeight="1">
      <c r="A357" s="4"/>
      <c r="B357" s="101"/>
      <c r="C357" s="4"/>
      <c r="D357" s="102"/>
      <c r="E357" s="103"/>
      <c r="F357" s="10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2.75" customHeight="1">
      <c r="A358" s="4"/>
      <c r="B358" s="101"/>
      <c r="C358" s="4"/>
      <c r="D358" s="102"/>
      <c r="E358" s="103"/>
      <c r="F358" s="10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2.75" customHeight="1">
      <c r="A359" s="4"/>
      <c r="B359" s="101"/>
      <c r="C359" s="4"/>
      <c r="D359" s="102"/>
      <c r="E359" s="103"/>
      <c r="F359" s="10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2.75" customHeight="1">
      <c r="A360" s="4"/>
      <c r="B360" s="101"/>
      <c r="C360" s="4"/>
      <c r="D360" s="102"/>
      <c r="E360" s="103"/>
      <c r="F360" s="10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2.75" customHeight="1">
      <c r="A361" s="4"/>
      <c r="B361" s="101"/>
      <c r="C361" s="4"/>
      <c r="D361" s="102"/>
      <c r="E361" s="103"/>
      <c r="F361" s="10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2.75" customHeight="1">
      <c r="A362" s="4"/>
      <c r="B362" s="101"/>
      <c r="C362" s="4"/>
      <c r="D362" s="102"/>
      <c r="E362" s="103"/>
      <c r="F362" s="10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2.75" customHeight="1">
      <c r="A363" s="4"/>
      <c r="B363" s="101"/>
      <c r="C363" s="4"/>
      <c r="D363" s="102"/>
      <c r="E363" s="103"/>
      <c r="F363" s="10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6">
    <mergeCell ref="A101:B101"/>
    <mergeCell ref="A102:B102"/>
    <mergeCell ref="A106:B106"/>
    <mergeCell ref="A107:B107"/>
    <mergeCell ref="A111:B111"/>
    <mergeCell ref="A112:B112"/>
    <mergeCell ref="A116:B116"/>
    <mergeCell ref="A141:B141"/>
    <mergeCell ref="A142:B142"/>
    <mergeCell ref="A146:B146"/>
    <mergeCell ref="A147:B147"/>
    <mergeCell ref="A151:B151"/>
    <mergeCell ref="A152:B152"/>
    <mergeCell ref="A156:B156"/>
    <mergeCell ref="A157:B157"/>
    <mergeCell ref="A117:B117"/>
    <mergeCell ref="A121:B121"/>
    <mergeCell ref="A122:B122"/>
    <mergeCell ref="A126:B126"/>
    <mergeCell ref="A127:B127"/>
    <mergeCell ref="A131:B131"/>
    <mergeCell ref="A132:B132"/>
    <mergeCell ref="A1:F1"/>
    <mergeCell ref="A2:F2"/>
    <mergeCell ref="A3:F3"/>
    <mergeCell ref="A4:F4"/>
    <mergeCell ref="D7:E7"/>
    <mergeCell ref="A9:F9"/>
    <mergeCell ref="A11:B11"/>
    <mergeCell ref="A12:B12"/>
    <mergeCell ref="A16:B16"/>
    <mergeCell ref="A17:B17"/>
    <mergeCell ref="A21:B21"/>
    <mergeCell ref="A22:B22"/>
    <mergeCell ref="A26:B26"/>
    <mergeCell ref="A27:B27"/>
    <mergeCell ref="A31:B31"/>
    <mergeCell ref="A32:B32"/>
    <mergeCell ref="A36:B36"/>
    <mergeCell ref="A37:B37"/>
    <mergeCell ref="A41:B41"/>
    <mergeCell ref="A42:B42"/>
    <mergeCell ref="A46:B46"/>
    <mergeCell ref="A47:B47"/>
    <mergeCell ref="A51:B51"/>
    <mergeCell ref="A52:B52"/>
    <mergeCell ref="A56:B56"/>
    <mergeCell ref="A57:B57"/>
    <mergeCell ref="A61:B61"/>
    <mergeCell ref="A62:B62"/>
    <mergeCell ref="A66:B66"/>
    <mergeCell ref="A67:B67"/>
    <mergeCell ref="A71:B71"/>
    <mergeCell ref="A72:B72"/>
    <mergeCell ref="A76:B76"/>
    <mergeCell ref="A77:B77"/>
    <mergeCell ref="A81:B81"/>
    <mergeCell ref="A82:B82"/>
    <mergeCell ref="A86:B86"/>
    <mergeCell ref="A87:B87"/>
    <mergeCell ref="A91:B91"/>
    <mergeCell ref="A92:B92"/>
    <mergeCell ref="A96:B96"/>
    <mergeCell ref="A97:B97"/>
    <mergeCell ref="A136:B136"/>
    <mergeCell ref="A137:B137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2.63" defaultRowHeight="15.0"/>
  <cols>
    <col customWidth="1" min="1" max="1" width="52.5"/>
    <col customWidth="1" min="2" max="2" width="49.5"/>
    <col customWidth="1" min="3" max="3" width="21.88"/>
    <col customWidth="1" min="4" max="4" width="20.5"/>
    <col customWidth="1" min="5" max="5" width="22.88"/>
    <col customWidth="1" min="6" max="6" width="71.5"/>
    <col customWidth="1" min="7" max="7" width="50.13"/>
    <col customWidth="1" min="8" max="26" width="8.0"/>
  </cols>
  <sheetData>
    <row r="1" ht="12.75" customHeight="1">
      <c r="A1" s="439" t="s">
        <v>0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2.75" customHeight="1">
      <c r="A2" s="5" t="s">
        <v>1</v>
      </c>
      <c r="B2" s="6"/>
      <c r="C2" s="6"/>
      <c r="D2" s="6"/>
      <c r="E2" s="6"/>
      <c r="F2" s="7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2.75" customHeight="1">
      <c r="A3" s="5" t="s">
        <v>2</v>
      </c>
      <c r="B3" s="6"/>
      <c r="C3" s="6"/>
      <c r="D3" s="6"/>
      <c r="E3" s="6"/>
      <c r="F3" s="7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2.75" customHeight="1">
      <c r="A4" s="5" t="s">
        <v>3</v>
      </c>
      <c r="B4" s="6"/>
      <c r="C4" s="6"/>
      <c r="D4" s="6"/>
      <c r="E4" s="6"/>
      <c r="F4" s="7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2.75" customHeight="1">
      <c r="A5" s="8"/>
      <c r="B5" s="9"/>
      <c r="C5" s="10"/>
      <c r="D5" s="11"/>
      <c r="E5" s="11"/>
      <c r="F5" s="12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2.75" customHeight="1">
      <c r="A6" s="13"/>
      <c r="B6" s="9"/>
      <c r="C6" s="10"/>
      <c r="D6" s="14"/>
      <c r="E6" s="14"/>
      <c r="F6" s="15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30.0" customHeight="1">
      <c r="A7" s="16"/>
      <c r="B7" s="9"/>
      <c r="C7" s="17"/>
      <c r="D7" s="18"/>
      <c r="E7" s="19"/>
      <c r="F7" s="15" t="s">
        <v>1505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0.0" customHeight="1">
      <c r="A8" s="20" t="s">
        <v>5</v>
      </c>
      <c r="B8" s="21"/>
      <c r="C8" s="22"/>
      <c r="D8" s="23"/>
      <c r="E8" s="23"/>
      <c r="F8" s="2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7.75" customHeight="1">
      <c r="A9" s="25" t="s">
        <v>1506</v>
      </c>
      <c r="B9" s="26"/>
      <c r="C9" s="26"/>
      <c r="D9" s="26"/>
      <c r="E9" s="26"/>
      <c r="F9" s="27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8.5" customHeight="1">
      <c r="A10" s="28"/>
      <c r="B10" s="29"/>
      <c r="C10" s="29"/>
      <c r="D10" s="30"/>
      <c r="E10" s="30"/>
      <c r="F10" s="31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</row>
    <row r="11" ht="22.5" customHeight="1">
      <c r="A11" s="33" t="s">
        <v>1656</v>
      </c>
      <c r="B11" s="27"/>
      <c r="C11" s="34" t="s">
        <v>8</v>
      </c>
      <c r="D11" s="34" t="s">
        <v>9</v>
      </c>
      <c r="E11" s="440" t="s">
        <v>10</v>
      </c>
      <c r="F11" s="441" t="s">
        <v>11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75" customHeight="1">
      <c r="A12" s="36" t="s">
        <v>12</v>
      </c>
      <c r="B12" s="37"/>
      <c r="C12" s="38"/>
      <c r="D12" s="39"/>
      <c r="E12" s="442"/>
      <c r="F12" s="41" t="s">
        <v>13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75" customHeight="1">
      <c r="A13" s="42" t="s">
        <v>1508</v>
      </c>
      <c r="B13" s="43" t="s">
        <v>15</v>
      </c>
      <c r="C13" s="44">
        <v>900.0</v>
      </c>
      <c r="D13" s="45">
        <v>24695.06</v>
      </c>
      <c r="E13" s="443">
        <v>25767.97</v>
      </c>
      <c r="F13" s="47" t="s">
        <v>1657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2.75" customHeight="1">
      <c r="A14" s="48" t="s">
        <v>1608</v>
      </c>
      <c r="B14" s="49"/>
      <c r="C14" s="50"/>
      <c r="D14" s="45"/>
      <c r="E14" s="443"/>
      <c r="F14" s="51" t="s">
        <v>1658</v>
      </c>
      <c r="G14" s="52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2.75" customHeight="1">
      <c r="A15" s="53"/>
      <c r="B15" s="54"/>
      <c r="C15" s="55"/>
      <c r="D15" s="56"/>
      <c r="E15" s="444"/>
      <c r="F15" s="420" t="s">
        <v>1659</v>
      </c>
      <c r="G15" s="52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2.75" customHeight="1">
      <c r="A16" s="33" t="s">
        <v>1660</v>
      </c>
      <c r="B16" s="27"/>
      <c r="C16" s="59" t="s">
        <v>8</v>
      </c>
      <c r="D16" s="60" t="s">
        <v>9</v>
      </c>
      <c r="E16" s="60" t="s">
        <v>10</v>
      </c>
      <c r="F16" s="61" t="s">
        <v>11</v>
      </c>
      <c r="G16" s="52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2.75" customHeight="1">
      <c r="A17" s="36" t="s">
        <v>12</v>
      </c>
      <c r="B17" s="37"/>
      <c r="C17" s="62"/>
      <c r="D17" s="39"/>
      <c r="E17" s="40"/>
      <c r="F17" s="41" t="s">
        <v>13</v>
      </c>
      <c r="G17" s="52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2.75" customHeight="1">
      <c r="A18" s="42" t="s">
        <v>1508</v>
      </c>
      <c r="B18" s="43" t="s">
        <v>15</v>
      </c>
      <c r="C18" s="50">
        <v>900.0</v>
      </c>
      <c r="D18" s="45">
        <v>26079.51</v>
      </c>
      <c r="E18" s="46">
        <v>27148.64</v>
      </c>
      <c r="F18" s="47" t="s">
        <v>1661</v>
      </c>
      <c r="G18" s="52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48" t="s">
        <v>1628</v>
      </c>
      <c r="B19" s="49"/>
      <c r="C19" s="50"/>
      <c r="D19" s="45"/>
      <c r="E19" s="46"/>
      <c r="F19" s="51" t="s">
        <v>1662</v>
      </c>
      <c r="G19" s="52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4.25" customHeight="1">
      <c r="A20" s="53"/>
      <c r="B20" s="54"/>
      <c r="C20" s="55"/>
      <c r="D20" s="56"/>
      <c r="E20" s="57"/>
      <c r="F20" s="420" t="s">
        <v>1663</v>
      </c>
      <c r="G20" s="52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2.75" customHeight="1">
      <c r="A21" s="33" t="s">
        <v>1664</v>
      </c>
      <c r="B21" s="27"/>
      <c r="C21" s="59" t="s">
        <v>8</v>
      </c>
      <c r="D21" s="60" t="s">
        <v>9</v>
      </c>
      <c r="E21" s="60" t="s">
        <v>10</v>
      </c>
      <c r="F21" s="61" t="s">
        <v>11</v>
      </c>
      <c r="G21" s="52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2.75" customHeight="1">
      <c r="A22" s="36" t="s">
        <v>12</v>
      </c>
      <c r="B22" s="37"/>
      <c r="C22" s="62"/>
      <c r="D22" s="39"/>
      <c r="E22" s="40"/>
      <c r="F22" s="41" t="s">
        <v>13</v>
      </c>
      <c r="G22" s="52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2.75" customHeight="1">
      <c r="A23" s="42" t="s">
        <v>1508</v>
      </c>
      <c r="B23" s="43" t="s">
        <v>15</v>
      </c>
      <c r="C23" s="50">
        <v>900.0</v>
      </c>
      <c r="D23" s="45">
        <v>26109.92</v>
      </c>
      <c r="E23" s="46">
        <v>27200.82</v>
      </c>
      <c r="F23" s="47" t="s">
        <v>1665</v>
      </c>
      <c r="G23" s="52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8" t="s">
        <v>1510</v>
      </c>
      <c r="B24" s="49"/>
      <c r="C24" s="50"/>
      <c r="D24" s="45"/>
      <c r="E24" s="46"/>
      <c r="F24" s="51" t="s">
        <v>1666</v>
      </c>
      <c r="G24" s="52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4.25" customHeight="1">
      <c r="A25" s="53"/>
      <c r="B25" s="54"/>
      <c r="C25" s="55"/>
      <c r="D25" s="56"/>
      <c r="E25" s="57"/>
      <c r="F25" s="420" t="s">
        <v>1667</v>
      </c>
      <c r="G25" s="52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1.75" customHeight="1">
      <c r="A26" s="33" t="s">
        <v>1668</v>
      </c>
      <c r="B26" s="27"/>
      <c r="C26" s="59" t="s">
        <v>8</v>
      </c>
      <c r="D26" s="60" t="s">
        <v>9</v>
      </c>
      <c r="E26" s="60" t="s">
        <v>10</v>
      </c>
      <c r="F26" s="61" t="s">
        <v>11</v>
      </c>
      <c r="G26" s="52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1.75" customHeight="1">
      <c r="A27" s="36" t="s">
        <v>12</v>
      </c>
      <c r="B27" s="37"/>
      <c r="C27" s="62"/>
      <c r="D27" s="39"/>
      <c r="E27" s="40"/>
      <c r="F27" s="41" t="s">
        <v>13</v>
      </c>
      <c r="G27" s="52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1.75" customHeight="1">
      <c r="A28" s="42" t="s">
        <v>1508</v>
      </c>
      <c r="B28" s="43" t="s">
        <v>15</v>
      </c>
      <c r="C28" s="50">
        <v>979.0</v>
      </c>
      <c r="D28" s="45">
        <v>26677.07</v>
      </c>
      <c r="E28" s="46">
        <v>27898.96</v>
      </c>
      <c r="F28" s="47" t="s">
        <v>1669</v>
      </c>
      <c r="G28" s="52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1.75" customHeight="1">
      <c r="A29" s="48" t="s">
        <v>1603</v>
      </c>
      <c r="B29" s="49"/>
      <c r="C29" s="50"/>
      <c r="D29" s="45"/>
      <c r="E29" s="46"/>
      <c r="F29" s="51" t="s">
        <v>1670</v>
      </c>
      <c r="G29" s="52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1.75" customHeight="1">
      <c r="A30" s="53"/>
      <c r="B30" s="445"/>
      <c r="C30" s="55"/>
      <c r="D30" s="56"/>
      <c r="E30" s="57"/>
      <c r="F30" s="420" t="s">
        <v>1671</v>
      </c>
      <c r="G30" s="52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1.75" customHeight="1">
      <c r="A31" s="33" t="s">
        <v>1672</v>
      </c>
      <c r="B31" s="27"/>
      <c r="C31" s="59" t="s">
        <v>8</v>
      </c>
      <c r="D31" s="60" t="s">
        <v>9</v>
      </c>
      <c r="E31" s="60" t="s">
        <v>10</v>
      </c>
      <c r="F31" s="446" t="s">
        <v>11</v>
      </c>
      <c r="G31" s="52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1.75" customHeight="1">
      <c r="A32" s="447" t="s">
        <v>12</v>
      </c>
      <c r="B32" s="37"/>
      <c r="C32" s="448"/>
      <c r="D32" s="449"/>
      <c r="E32" s="449"/>
      <c r="F32" s="41" t="s">
        <v>13</v>
      </c>
      <c r="G32" s="52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1.75" customHeight="1">
      <c r="A33" s="42" t="s">
        <v>1508</v>
      </c>
      <c r="B33" s="43" t="s">
        <v>15</v>
      </c>
      <c r="C33" s="66">
        <v>975.0</v>
      </c>
      <c r="D33" s="46">
        <v>26670.29</v>
      </c>
      <c r="E33" s="46">
        <v>27875.34</v>
      </c>
      <c r="F33" s="47" t="s">
        <v>1673</v>
      </c>
      <c r="G33" s="52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1.75" customHeight="1">
      <c r="A34" s="48" t="s">
        <v>1674</v>
      </c>
      <c r="B34" s="450"/>
      <c r="C34" s="448"/>
      <c r="D34" s="449"/>
      <c r="E34" s="449"/>
      <c r="F34" s="51" t="s">
        <v>1675</v>
      </c>
      <c r="G34" s="52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1.75" customHeight="1">
      <c r="A35" s="451"/>
      <c r="B35" s="445"/>
      <c r="C35" s="452"/>
      <c r="D35" s="453"/>
      <c r="E35" s="453"/>
      <c r="F35" s="420" t="s">
        <v>1676</v>
      </c>
      <c r="G35" s="52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1.75" customHeight="1">
      <c r="A36" s="33" t="s">
        <v>1677</v>
      </c>
      <c r="B36" s="27"/>
      <c r="C36" s="59" t="s">
        <v>8</v>
      </c>
      <c r="D36" s="60" t="s">
        <v>9</v>
      </c>
      <c r="E36" s="60" t="s">
        <v>10</v>
      </c>
      <c r="F36" s="446" t="s">
        <v>11</v>
      </c>
      <c r="G36" s="52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21.75" customHeight="1">
      <c r="A37" s="447" t="s">
        <v>12</v>
      </c>
      <c r="B37" s="37"/>
      <c r="C37" s="448"/>
      <c r="D37" s="449"/>
      <c r="E37" s="449"/>
      <c r="F37" s="41" t="s">
        <v>13</v>
      </c>
      <c r="G37" s="52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1.75" customHeight="1">
      <c r="A38" s="42" t="s">
        <v>1508</v>
      </c>
      <c r="B38" s="43" t="s">
        <v>15</v>
      </c>
      <c r="C38" s="66">
        <v>973.0</v>
      </c>
      <c r="D38" s="46">
        <v>26666.31</v>
      </c>
      <c r="E38" s="46">
        <v>27868.02</v>
      </c>
      <c r="F38" s="47" t="s">
        <v>1678</v>
      </c>
      <c r="G38" s="52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1.75" customHeight="1">
      <c r="A39" s="48" t="s">
        <v>1679</v>
      </c>
      <c r="B39" s="450"/>
      <c r="C39" s="448"/>
      <c r="D39" s="449"/>
      <c r="E39" s="449"/>
      <c r="F39" s="51" t="s">
        <v>1680</v>
      </c>
      <c r="G39" s="52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21.75" customHeight="1">
      <c r="A40" s="451"/>
      <c r="B40" s="445"/>
      <c r="C40" s="452"/>
      <c r="D40" s="453"/>
      <c r="E40" s="453"/>
      <c r="F40" s="420" t="s">
        <v>1681</v>
      </c>
      <c r="G40" s="52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21.75" customHeight="1">
      <c r="A41" s="33" t="s">
        <v>1682</v>
      </c>
      <c r="B41" s="27"/>
      <c r="C41" s="59" t="s">
        <v>8</v>
      </c>
      <c r="D41" s="60" t="s">
        <v>9</v>
      </c>
      <c r="E41" s="60" t="s">
        <v>10</v>
      </c>
      <c r="F41" s="446" t="s">
        <v>11</v>
      </c>
      <c r="G41" s="52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21.75" customHeight="1">
      <c r="A42" s="447" t="s">
        <v>12</v>
      </c>
      <c r="B42" s="37"/>
      <c r="C42" s="448"/>
      <c r="D42" s="449"/>
      <c r="E42" s="449"/>
      <c r="F42" s="41" t="s">
        <v>13</v>
      </c>
      <c r="G42" s="52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21.75" customHeight="1">
      <c r="A43" s="42" t="s">
        <v>1508</v>
      </c>
      <c r="B43" s="43" t="s">
        <v>15</v>
      </c>
      <c r="C43" s="66">
        <v>976.0</v>
      </c>
      <c r="D43" s="46">
        <v>26653.63</v>
      </c>
      <c r="E43" s="46">
        <v>27889.79</v>
      </c>
      <c r="F43" s="47" t="s">
        <v>1683</v>
      </c>
      <c r="G43" s="52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21.75" customHeight="1">
      <c r="A44" s="48" t="s">
        <v>1550</v>
      </c>
      <c r="B44" s="450"/>
      <c r="C44" s="448"/>
      <c r="D44" s="449"/>
      <c r="E44" s="449"/>
      <c r="F44" s="51" t="s">
        <v>1684</v>
      </c>
      <c r="G44" s="52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21.75" customHeight="1">
      <c r="A45" s="451"/>
      <c r="B45" s="445"/>
      <c r="C45" s="452"/>
      <c r="D45" s="453"/>
      <c r="E45" s="453"/>
      <c r="F45" s="420" t="s">
        <v>1685</v>
      </c>
      <c r="G45" s="52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21.75" customHeight="1">
      <c r="A46" s="33" t="s">
        <v>1686</v>
      </c>
      <c r="B46" s="27"/>
      <c r="C46" s="59" t="s">
        <v>8</v>
      </c>
      <c r="D46" s="60" t="s">
        <v>9</v>
      </c>
      <c r="E46" s="60" t="s">
        <v>10</v>
      </c>
      <c r="F46" s="446" t="s">
        <v>11</v>
      </c>
      <c r="G46" s="52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21.75" customHeight="1">
      <c r="A47" s="447" t="s">
        <v>12</v>
      </c>
      <c r="B47" s="37"/>
      <c r="C47" s="448"/>
      <c r="D47" s="449"/>
      <c r="E47" s="449"/>
      <c r="F47" s="41" t="s">
        <v>13</v>
      </c>
      <c r="G47" s="52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21.75" customHeight="1">
      <c r="A48" s="42" t="s">
        <v>1508</v>
      </c>
      <c r="B48" s="43" t="s">
        <v>15</v>
      </c>
      <c r="C48" s="66">
        <v>977.0</v>
      </c>
      <c r="D48" s="46">
        <v>26661.14</v>
      </c>
      <c r="E48" s="46">
        <v>27867.21</v>
      </c>
      <c r="F48" s="47" t="s">
        <v>1687</v>
      </c>
      <c r="G48" s="52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21.75" customHeight="1">
      <c r="A49" s="48" t="s">
        <v>1555</v>
      </c>
      <c r="B49" s="450"/>
      <c r="C49" s="448"/>
      <c r="D49" s="449"/>
      <c r="E49" s="449"/>
      <c r="F49" s="51" t="s">
        <v>1688</v>
      </c>
      <c r="G49" s="52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21.75" customHeight="1">
      <c r="A50" s="451"/>
      <c r="B50" s="445"/>
      <c r="C50" s="452"/>
      <c r="D50" s="453"/>
      <c r="E50" s="453"/>
      <c r="F50" s="420" t="s">
        <v>1689</v>
      </c>
      <c r="G50" s="52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21.75" customHeight="1">
      <c r="A51" s="33" t="s">
        <v>1690</v>
      </c>
      <c r="B51" s="27"/>
      <c r="C51" s="59" t="s">
        <v>8</v>
      </c>
      <c r="D51" s="60" t="s">
        <v>9</v>
      </c>
      <c r="E51" s="60" t="s">
        <v>10</v>
      </c>
      <c r="F51" s="446" t="s">
        <v>11</v>
      </c>
      <c r="G51" s="52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21.75" customHeight="1">
      <c r="A52" s="447" t="s">
        <v>12</v>
      </c>
      <c r="B52" s="37"/>
      <c r="C52" s="448"/>
      <c r="D52" s="449"/>
      <c r="E52" s="449"/>
      <c r="F52" s="41" t="s">
        <v>13</v>
      </c>
      <c r="G52" s="52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21.75" customHeight="1">
      <c r="A53" s="42" t="s">
        <v>1508</v>
      </c>
      <c r="B53" s="43" t="s">
        <v>15</v>
      </c>
      <c r="C53" s="66">
        <v>975.0</v>
      </c>
      <c r="D53" s="46">
        <v>26654.65</v>
      </c>
      <c r="E53" s="46">
        <v>27855.94</v>
      </c>
      <c r="F53" s="47" t="s">
        <v>1691</v>
      </c>
      <c r="G53" s="52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21.75" customHeight="1">
      <c r="A54" s="48" t="s">
        <v>1515</v>
      </c>
      <c r="B54" s="450"/>
      <c r="C54" s="448"/>
      <c r="D54" s="449"/>
      <c r="E54" s="449"/>
      <c r="F54" s="51" t="s">
        <v>1692</v>
      </c>
      <c r="G54" s="52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21.75" customHeight="1">
      <c r="A55" s="451"/>
      <c r="B55" s="445"/>
      <c r="C55" s="452"/>
      <c r="D55" s="453"/>
      <c r="E55" s="453"/>
      <c r="F55" s="420" t="s">
        <v>1693</v>
      </c>
      <c r="G55" s="52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21.75" customHeight="1">
      <c r="A56" s="33" t="s">
        <v>1694</v>
      </c>
      <c r="B56" s="27"/>
      <c r="C56" s="59" t="s">
        <v>8</v>
      </c>
      <c r="D56" s="60" t="s">
        <v>9</v>
      </c>
      <c r="E56" s="60" t="s">
        <v>10</v>
      </c>
      <c r="F56" s="446" t="s">
        <v>11</v>
      </c>
      <c r="G56" s="52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21.75" customHeight="1">
      <c r="A57" s="447" t="s">
        <v>12</v>
      </c>
      <c r="B57" s="37"/>
      <c r="C57" s="448"/>
      <c r="D57" s="449"/>
      <c r="E57" s="449"/>
      <c r="F57" s="41" t="s">
        <v>13</v>
      </c>
      <c r="G57" s="52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21.75" customHeight="1">
      <c r="A58" s="42" t="s">
        <v>1508</v>
      </c>
      <c r="B58" s="43" t="s">
        <v>15</v>
      </c>
      <c r="C58" s="66">
        <v>978.0</v>
      </c>
      <c r="D58" s="46">
        <v>26675.4</v>
      </c>
      <c r="E58" s="46">
        <v>27923.7</v>
      </c>
      <c r="F58" s="47" t="s">
        <v>1695</v>
      </c>
      <c r="G58" s="52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21.75" customHeight="1">
      <c r="A59" s="48" t="s">
        <v>1696</v>
      </c>
      <c r="B59" s="450"/>
      <c r="C59" s="448"/>
      <c r="D59" s="449"/>
      <c r="E59" s="449"/>
      <c r="F59" s="51" t="s">
        <v>1697</v>
      </c>
      <c r="G59" s="52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21.75" customHeight="1">
      <c r="A60" s="451"/>
      <c r="B60" s="445"/>
      <c r="C60" s="452"/>
      <c r="D60" s="453"/>
      <c r="E60" s="453"/>
      <c r="F60" s="420" t="s">
        <v>1698</v>
      </c>
      <c r="G60" s="52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21.75" customHeight="1">
      <c r="A61" s="33" t="s">
        <v>1699</v>
      </c>
      <c r="B61" s="27"/>
      <c r="C61" s="59" t="s">
        <v>8</v>
      </c>
      <c r="D61" s="60" t="s">
        <v>9</v>
      </c>
      <c r="E61" s="60" t="s">
        <v>10</v>
      </c>
      <c r="F61" s="446" t="s">
        <v>11</v>
      </c>
      <c r="G61" s="52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21.75" customHeight="1">
      <c r="A62" s="447" t="s">
        <v>12</v>
      </c>
      <c r="B62" s="37"/>
      <c r="C62" s="448"/>
      <c r="D62" s="449"/>
      <c r="E62" s="449"/>
      <c r="F62" s="41" t="s">
        <v>13</v>
      </c>
      <c r="G62" s="52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21.75" customHeight="1">
      <c r="A63" s="42" t="s">
        <v>1508</v>
      </c>
      <c r="B63" s="43" t="s">
        <v>15</v>
      </c>
      <c r="C63" s="66">
        <v>1005.0</v>
      </c>
      <c r="D63" s="46">
        <v>26557.79</v>
      </c>
      <c r="E63" s="46">
        <v>27873.83</v>
      </c>
      <c r="F63" s="47" t="s">
        <v>1700</v>
      </c>
      <c r="G63" s="52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21.75" customHeight="1">
      <c r="A64" s="48" t="s">
        <v>1701</v>
      </c>
      <c r="B64" s="450"/>
      <c r="C64" s="448"/>
      <c r="D64" s="449"/>
      <c r="E64" s="449"/>
      <c r="F64" s="51" t="s">
        <v>1702</v>
      </c>
      <c r="G64" s="52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21.75" customHeight="1">
      <c r="A65" s="451"/>
      <c r="B65" s="445"/>
      <c r="C65" s="452"/>
      <c r="D65" s="453"/>
      <c r="E65" s="453"/>
      <c r="F65" s="420" t="s">
        <v>1703</v>
      </c>
      <c r="G65" s="52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21.75" customHeight="1">
      <c r="A66" s="33" t="s">
        <v>1704</v>
      </c>
      <c r="B66" s="27"/>
      <c r="C66" s="59" t="s">
        <v>8</v>
      </c>
      <c r="D66" s="60" t="s">
        <v>9</v>
      </c>
      <c r="E66" s="60" t="s">
        <v>10</v>
      </c>
      <c r="F66" s="446" t="s">
        <v>11</v>
      </c>
      <c r="G66" s="52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21.75" customHeight="1">
      <c r="A67" s="447" t="s">
        <v>12</v>
      </c>
      <c r="B67" s="37"/>
      <c r="C67" s="448"/>
      <c r="D67" s="449"/>
      <c r="E67" s="449"/>
      <c r="F67" s="41" t="s">
        <v>13</v>
      </c>
      <c r="G67" s="52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21.75" customHeight="1">
      <c r="A68" s="42" t="s">
        <v>1508</v>
      </c>
      <c r="B68" s="43" t="s">
        <v>15</v>
      </c>
      <c r="C68" s="66">
        <v>976.0</v>
      </c>
      <c r="D68" s="46">
        <v>26681.9</v>
      </c>
      <c r="E68" s="46">
        <v>27961.87</v>
      </c>
      <c r="F68" s="47" t="s">
        <v>1705</v>
      </c>
      <c r="G68" s="52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21.75" customHeight="1">
      <c r="A69" s="48" t="s">
        <v>1525</v>
      </c>
      <c r="B69" s="450"/>
      <c r="C69" s="448"/>
      <c r="D69" s="449"/>
      <c r="E69" s="449"/>
      <c r="F69" s="51" t="s">
        <v>1706</v>
      </c>
      <c r="G69" s="52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21.75" customHeight="1">
      <c r="A70" s="451"/>
      <c r="B70" s="445"/>
      <c r="C70" s="452"/>
      <c r="D70" s="453"/>
      <c r="E70" s="453"/>
      <c r="F70" s="420" t="s">
        <v>1707</v>
      </c>
      <c r="G70" s="52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21.75" customHeight="1">
      <c r="A71" s="33" t="s">
        <v>1708</v>
      </c>
      <c r="B71" s="27"/>
      <c r="C71" s="59" t="s">
        <v>8</v>
      </c>
      <c r="D71" s="60" t="s">
        <v>9</v>
      </c>
      <c r="E71" s="60" t="s">
        <v>10</v>
      </c>
      <c r="F71" s="446" t="s">
        <v>11</v>
      </c>
      <c r="G71" s="52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21.75" customHeight="1">
      <c r="A72" s="447" t="s">
        <v>12</v>
      </c>
      <c r="B72" s="37"/>
      <c r="C72" s="448"/>
      <c r="D72" s="449"/>
      <c r="E72" s="449"/>
      <c r="F72" s="41" t="s">
        <v>13</v>
      </c>
      <c r="G72" s="52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21.75" customHeight="1">
      <c r="A73" s="42" t="s">
        <v>1508</v>
      </c>
      <c r="B73" s="43" t="s">
        <v>15</v>
      </c>
      <c r="C73" s="66">
        <v>971.0</v>
      </c>
      <c r="D73" s="46">
        <v>26678.93</v>
      </c>
      <c r="E73" s="46">
        <v>27897.94</v>
      </c>
      <c r="F73" s="47" t="s">
        <v>1709</v>
      </c>
      <c r="G73" s="52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21.75" customHeight="1">
      <c r="A74" s="48" t="s">
        <v>1710</v>
      </c>
      <c r="B74" s="450"/>
      <c r="C74" s="448"/>
      <c r="D74" s="449"/>
      <c r="E74" s="449"/>
      <c r="F74" s="51" t="s">
        <v>1711</v>
      </c>
      <c r="G74" s="52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21.75" customHeight="1">
      <c r="A75" s="451"/>
      <c r="B75" s="445"/>
      <c r="C75" s="452"/>
      <c r="D75" s="453"/>
      <c r="E75" s="453"/>
      <c r="F75" s="420" t="s">
        <v>1712</v>
      </c>
      <c r="G75" s="52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21.75" customHeight="1">
      <c r="A76" s="33" t="s">
        <v>1713</v>
      </c>
      <c r="B76" s="27"/>
      <c r="C76" s="59" t="s">
        <v>8</v>
      </c>
      <c r="D76" s="60" t="s">
        <v>9</v>
      </c>
      <c r="E76" s="60" t="s">
        <v>10</v>
      </c>
      <c r="F76" s="446" t="s">
        <v>11</v>
      </c>
      <c r="G76" s="52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21.75" customHeight="1">
      <c r="A77" s="447" t="s">
        <v>12</v>
      </c>
      <c r="B77" s="37"/>
      <c r="C77" s="448"/>
      <c r="D77" s="449"/>
      <c r="E77" s="449"/>
      <c r="F77" s="41" t="s">
        <v>13</v>
      </c>
      <c r="G77" s="52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21.75" customHeight="1">
      <c r="A78" s="42" t="s">
        <v>1508</v>
      </c>
      <c r="B78" s="43" t="s">
        <v>15</v>
      </c>
      <c r="C78" s="66">
        <v>972.0</v>
      </c>
      <c r="D78" s="46">
        <v>26667.41</v>
      </c>
      <c r="E78" s="46">
        <v>27880.41</v>
      </c>
      <c r="F78" s="47" t="s">
        <v>1714</v>
      </c>
      <c r="G78" s="52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21.75" customHeight="1">
      <c r="A79" s="48" t="s">
        <v>1715</v>
      </c>
      <c r="B79" s="450"/>
      <c r="C79" s="448"/>
      <c r="D79" s="449"/>
      <c r="E79" s="449"/>
      <c r="F79" s="51" t="s">
        <v>1716</v>
      </c>
      <c r="G79" s="52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21.75" customHeight="1">
      <c r="A80" s="451"/>
      <c r="B80" s="445"/>
      <c r="C80" s="452"/>
      <c r="D80" s="453"/>
      <c r="E80" s="453"/>
      <c r="F80" s="420" t="s">
        <v>1717</v>
      </c>
      <c r="G80" s="52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21.75" customHeight="1">
      <c r="A81" s="33" t="s">
        <v>1718</v>
      </c>
      <c r="B81" s="27"/>
      <c r="C81" s="59" t="s">
        <v>8</v>
      </c>
      <c r="D81" s="60" t="s">
        <v>9</v>
      </c>
      <c r="E81" s="60" t="s">
        <v>10</v>
      </c>
      <c r="F81" s="61" t="s">
        <v>11</v>
      </c>
      <c r="G81" s="52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21.75" customHeight="1">
      <c r="A82" s="36" t="s">
        <v>12</v>
      </c>
      <c r="B82" s="37"/>
      <c r="C82" s="62"/>
      <c r="D82" s="39"/>
      <c r="E82" s="40"/>
      <c r="F82" s="41" t="s">
        <v>13</v>
      </c>
      <c r="G82" s="52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21.75" customHeight="1">
      <c r="A83" s="42" t="s">
        <v>1508</v>
      </c>
      <c r="B83" s="43" t="s">
        <v>15</v>
      </c>
      <c r="C83" s="50">
        <v>900.0</v>
      </c>
      <c r="D83" s="45">
        <v>24619.34</v>
      </c>
      <c r="E83" s="46">
        <v>25682.34</v>
      </c>
      <c r="F83" s="47" t="s">
        <v>1719</v>
      </c>
      <c r="G83" s="52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21.75" customHeight="1">
      <c r="A84" s="48" t="s">
        <v>1720</v>
      </c>
      <c r="B84" s="49"/>
      <c r="C84" s="50"/>
      <c r="D84" s="45"/>
      <c r="E84" s="46"/>
      <c r="F84" s="51" t="s">
        <v>1721</v>
      </c>
      <c r="G84" s="52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21.75" customHeight="1">
      <c r="A85" s="53"/>
      <c r="B85" s="54"/>
      <c r="C85" s="55"/>
      <c r="D85" s="56"/>
      <c r="E85" s="57"/>
      <c r="F85" s="420" t="s">
        <v>1722</v>
      </c>
      <c r="G85" s="52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21.75" customHeight="1">
      <c r="A86" s="33" t="s">
        <v>1723</v>
      </c>
      <c r="B86" s="27"/>
      <c r="C86" s="59" t="s">
        <v>8</v>
      </c>
      <c r="D86" s="60" t="s">
        <v>9</v>
      </c>
      <c r="E86" s="60" t="s">
        <v>10</v>
      </c>
      <c r="F86" s="61" t="s">
        <v>11</v>
      </c>
      <c r="G86" s="52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21.75" customHeight="1">
      <c r="A87" s="36" t="s">
        <v>12</v>
      </c>
      <c r="B87" s="37"/>
      <c r="C87" s="62"/>
      <c r="D87" s="39"/>
      <c r="E87" s="40"/>
      <c r="F87" s="41" t="s">
        <v>13</v>
      </c>
      <c r="G87" s="52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21.75" customHeight="1">
      <c r="A88" s="42" t="s">
        <v>1508</v>
      </c>
      <c r="B88" s="43" t="s">
        <v>15</v>
      </c>
      <c r="C88" s="50">
        <v>900.0</v>
      </c>
      <c r="D88" s="45">
        <v>24821.01</v>
      </c>
      <c r="E88" s="46">
        <v>25894.01</v>
      </c>
      <c r="F88" s="47" t="s">
        <v>1724</v>
      </c>
      <c r="G88" s="52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21.75" customHeight="1">
      <c r="A89" s="48" t="s">
        <v>1725</v>
      </c>
      <c r="B89" s="49"/>
      <c r="C89" s="50"/>
      <c r="D89" s="45"/>
      <c r="E89" s="46"/>
      <c r="F89" s="51" t="s">
        <v>1726</v>
      </c>
      <c r="G89" s="52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21.75" customHeight="1">
      <c r="A90" s="53"/>
      <c r="B90" s="54"/>
      <c r="C90" s="55"/>
      <c r="D90" s="56"/>
      <c r="E90" s="57"/>
      <c r="F90" s="420" t="s">
        <v>1727</v>
      </c>
      <c r="G90" s="52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21.75" customHeight="1">
      <c r="A91" s="454" t="s">
        <v>1728</v>
      </c>
      <c r="B91" s="27"/>
      <c r="C91" s="59" t="s">
        <v>8</v>
      </c>
      <c r="D91" s="60" t="s">
        <v>9</v>
      </c>
      <c r="E91" s="60" t="s">
        <v>10</v>
      </c>
      <c r="F91" s="446" t="s">
        <v>11</v>
      </c>
      <c r="G91" s="52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21.75" customHeight="1">
      <c r="A92" s="447" t="s">
        <v>12</v>
      </c>
      <c r="B92" s="37"/>
      <c r="C92" s="448"/>
      <c r="D92" s="449"/>
      <c r="E92" s="449"/>
      <c r="F92" s="41" t="s">
        <v>13</v>
      </c>
      <c r="G92" s="52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21.75" customHeight="1">
      <c r="A93" s="42" t="s">
        <v>1508</v>
      </c>
      <c r="B93" s="43" t="s">
        <v>15</v>
      </c>
      <c r="C93" s="66">
        <v>864.0</v>
      </c>
      <c r="D93" s="46">
        <v>25012.99</v>
      </c>
      <c r="E93" s="46">
        <v>26054.64</v>
      </c>
      <c r="F93" s="47" t="s">
        <v>1729</v>
      </c>
      <c r="G93" s="52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21.75" customHeight="1">
      <c r="A94" s="48" t="s">
        <v>1730</v>
      </c>
      <c r="B94" s="450"/>
      <c r="C94" s="448"/>
      <c r="D94" s="449"/>
      <c r="E94" s="449"/>
      <c r="F94" s="51" t="s">
        <v>1731</v>
      </c>
      <c r="G94" s="52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21.75" customHeight="1">
      <c r="A95" s="451"/>
      <c r="B95" s="445"/>
      <c r="C95" s="452"/>
      <c r="D95" s="453"/>
      <c r="E95" s="453"/>
      <c r="F95" s="420" t="s">
        <v>1732</v>
      </c>
      <c r="G95" s="52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21.75" customHeight="1">
      <c r="A96" s="33" t="s">
        <v>1733</v>
      </c>
      <c r="B96" s="27"/>
      <c r="C96" s="59" t="s">
        <v>8</v>
      </c>
      <c r="D96" s="60" t="s">
        <v>9</v>
      </c>
      <c r="E96" s="60" t="s">
        <v>10</v>
      </c>
      <c r="F96" s="446" t="s">
        <v>11</v>
      </c>
      <c r="G96" s="52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21.75" customHeight="1">
      <c r="A97" s="447" t="s">
        <v>12</v>
      </c>
      <c r="B97" s="37"/>
      <c r="C97" s="448"/>
      <c r="D97" s="449"/>
      <c r="E97" s="449"/>
      <c r="F97" s="41" t="s">
        <v>13</v>
      </c>
      <c r="G97" s="52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21.75" customHeight="1">
      <c r="A98" s="42" t="s">
        <v>1508</v>
      </c>
      <c r="B98" s="43" t="s">
        <v>15</v>
      </c>
      <c r="C98" s="66">
        <v>909.0</v>
      </c>
      <c r="D98" s="46">
        <v>24939.33</v>
      </c>
      <c r="E98" s="46">
        <v>26150.32</v>
      </c>
      <c r="F98" s="47" t="s">
        <v>1734</v>
      </c>
      <c r="G98" s="52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21.75" customHeight="1">
      <c r="A99" s="48" t="s">
        <v>1735</v>
      </c>
      <c r="B99" s="450"/>
      <c r="C99" s="448"/>
      <c r="D99" s="449"/>
      <c r="E99" s="449"/>
      <c r="F99" s="51" t="s">
        <v>1736</v>
      </c>
      <c r="G99" s="52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21.75" customHeight="1">
      <c r="A100" s="451"/>
      <c r="B100" s="445"/>
      <c r="C100" s="452"/>
      <c r="D100" s="453"/>
      <c r="E100" s="453"/>
      <c r="F100" s="420" t="s">
        <v>1737</v>
      </c>
      <c r="G100" s="52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21.75" customHeight="1">
      <c r="A101" s="33" t="s">
        <v>1738</v>
      </c>
      <c r="B101" s="27"/>
      <c r="C101" s="59" t="s">
        <v>8</v>
      </c>
      <c r="D101" s="60" t="s">
        <v>9</v>
      </c>
      <c r="E101" s="60" t="s">
        <v>10</v>
      </c>
      <c r="F101" s="446" t="s">
        <v>11</v>
      </c>
      <c r="G101" s="52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21.75" customHeight="1">
      <c r="A102" s="447" t="s">
        <v>12</v>
      </c>
      <c r="B102" s="37"/>
      <c r="C102" s="448"/>
      <c r="D102" s="449"/>
      <c r="E102" s="449"/>
      <c r="F102" s="41" t="s">
        <v>13</v>
      </c>
      <c r="G102" s="52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21.75" customHeight="1">
      <c r="A103" s="42" t="s">
        <v>1508</v>
      </c>
      <c r="B103" s="43" t="s">
        <v>15</v>
      </c>
      <c r="C103" s="66">
        <v>936.0</v>
      </c>
      <c r="D103" s="46">
        <v>25010.39</v>
      </c>
      <c r="E103" s="46">
        <v>26235.99</v>
      </c>
      <c r="F103" s="47" t="s">
        <v>1739</v>
      </c>
      <c r="G103" s="52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21.75" customHeight="1">
      <c r="A104" s="48" t="s">
        <v>1740</v>
      </c>
      <c r="B104" s="450"/>
      <c r="C104" s="448"/>
      <c r="D104" s="449"/>
      <c r="E104" s="449"/>
      <c r="F104" s="51" t="s">
        <v>1741</v>
      </c>
      <c r="G104" s="52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21.75" customHeight="1">
      <c r="A105" s="451"/>
      <c r="B105" s="445"/>
      <c r="C105" s="452"/>
      <c r="D105" s="453"/>
      <c r="E105" s="453"/>
      <c r="F105" s="420" t="s">
        <v>1742</v>
      </c>
      <c r="G105" s="52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21.75" customHeight="1">
      <c r="A106" s="33" t="s">
        <v>1743</v>
      </c>
      <c r="B106" s="27"/>
      <c r="C106" s="59" t="s">
        <v>8</v>
      </c>
      <c r="D106" s="60" t="s">
        <v>9</v>
      </c>
      <c r="E106" s="60" t="s">
        <v>10</v>
      </c>
      <c r="F106" s="446" t="s">
        <v>11</v>
      </c>
      <c r="G106" s="52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21.75" customHeight="1">
      <c r="A107" s="447" t="s">
        <v>12</v>
      </c>
      <c r="B107" s="37"/>
      <c r="C107" s="448"/>
      <c r="D107" s="449"/>
      <c r="E107" s="449"/>
      <c r="F107" s="41" t="s">
        <v>13</v>
      </c>
      <c r="G107" s="52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21.75" customHeight="1">
      <c r="A108" s="42" t="s">
        <v>1508</v>
      </c>
      <c r="B108" s="43" t="s">
        <v>15</v>
      </c>
      <c r="C108" s="66">
        <v>885.0</v>
      </c>
      <c r="D108" s="46">
        <v>25017.99</v>
      </c>
      <c r="E108" s="46">
        <v>26250.61</v>
      </c>
      <c r="F108" s="47" t="s">
        <v>1744</v>
      </c>
      <c r="G108" s="52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21.75" customHeight="1">
      <c r="A109" s="48" t="s">
        <v>1745</v>
      </c>
      <c r="B109" s="450"/>
      <c r="C109" s="448"/>
      <c r="D109" s="449"/>
      <c r="E109" s="449"/>
      <c r="F109" s="51" t="s">
        <v>1746</v>
      </c>
      <c r="G109" s="52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21.75" customHeight="1">
      <c r="A110" s="451"/>
      <c r="B110" s="445"/>
      <c r="C110" s="452"/>
      <c r="D110" s="453"/>
      <c r="E110" s="453"/>
      <c r="F110" s="420" t="s">
        <v>1747</v>
      </c>
      <c r="G110" s="52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21.75" customHeight="1">
      <c r="A111" s="33" t="s">
        <v>1748</v>
      </c>
      <c r="B111" s="27"/>
      <c r="C111" s="59" t="s">
        <v>8</v>
      </c>
      <c r="D111" s="60" t="s">
        <v>9</v>
      </c>
      <c r="E111" s="60" t="s">
        <v>10</v>
      </c>
      <c r="F111" s="446" t="s">
        <v>11</v>
      </c>
      <c r="G111" s="52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21.75" customHeight="1">
      <c r="A112" s="447" t="s">
        <v>12</v>
      </c>
      <c r="B112" s="37"/>
      <c r="C112" s="448"/>
      <c r="D112" s="449"/>
      <c r="E112" s="449"/>
      <c r="F112" s="41" t="s">
        <v>13</v>
      </c>
      <c r="G112" s="52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21.75" customHeight="1">
      <c r="A113" s="42" t="s">
        <v>1508</v>
      </c>
      <c r="B113" s="43" t="s">
        <v>15</v>
      </c>
      <c r="C113" s="66">
        <v>919.0</v>
      </c>
      <c r="D113" s="46">
        <v>25008.71</v>
      </c>
      <c r="E113" s="46">
        <v>26139.92</v>
      </c>
      <c r="F113" s="47" t="s">
        <v>1749</v>
      </c>
      <c r="G113" s="52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21.75" customHeight="1">
      <c r="A114" s="48" t="s">
        <v>1750</v>
      </c>
      <c r="B114" s="450"/>
      <c r="C114" s="448"/>
      <c r="D114" s="449"/>
      <c r="E114" s="449"/>
      <c r="F114" s="51" t="s">
        <v>1751</v>
      </c>
      <c r="G114" s="52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21.75" customHeight="1">
      <c r="A115" s="451"/>
      <c r="B115" s="445"/>
      <c r="C115" s="452"/>
      <c r="D115" s="453"/>
      <c r="E115" s="453"/>
      <c r="F115" s="420" t="s">
        <v>1752</v>
      </c>
      <c r="G115" s="52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21.75" customHeight="1">
      <c r="A116" s="33" t="s">
        <v>1753</v>
      </c>
      <c r="B116" s="27"/>
      <c r="C116" s="59" t="s">
        <v>8</v>
      </c>
      <c r="D116" s="60" t="s">
        <v>9</v>
      </c>
      <c r="E116" s="60" t="s">
        <v>10</v>
      </c>
      <c r="F116" s="446" t="s">
        <v>11</v>
      </c>
      <c r="G116" s="52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21.75" customHeight="1">
      <c r="A117" s="447" t="s">
        <v>12</v>
      </c>
      <c r="B117" s="37"/>
      <c r="C117" s="448"/>
      <c r="D117" s="449"/>
      <c r="E117" s="449"/>
      <c r="F117" s="41" t="s">
        <v>13</v>
      </c>
      <c r="G117" s="52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21.75" customHeight="1">
      <c r="A118" s="42" t="s">
        <v>1508</v>
      </c>
      <c r="B118" s="43" t="s">
        <v>15</v>
      </c>
      <c r="C118" s="66">
        <v>913.0</v>
      </c>
      <c r="D118" s="46">
        <v>25012.44</v>
      </c>
      <c r="E118" s="46">
        <v>26263.07</v>
      </c>
      <c r="F118" s="47" t="s">
        <v>1754</v>
      </c>
      <c r="G118" s="52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21.75" customHeight="1">
      <c r="A119" s="48" t="s">
        <v>1755</v>
      </c>
      <c r="B119" s="450"/>
      <c r="C119" s="448"/>
      <c r="D119" s="449"/>
      <c r="E119" s="449"/>
      <c r="F119" s="51" t="s">
        <v>1756</v>
      </c>
      <c r="G119" s="52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21.75" customHeight="1">
      <c r="A120" s="451"/>
      <c r="B120" s="445"/>
      <c r="C120" s="452"/>
      <c r="D120" s="453"/>
      <c r="E120" s="453"/>
      <c r="F120" s="420" t="s">
        <v>1757</v>
      </c>
      <c r="G120" s="52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21.75" customHeight="1">
      <c r="A121" s="33" t="s">
        <v>1758</v>
      </c>
      <c r="B121" s="27"/>
      <c r="C121" s="59" t="s">
        <v>8</v>
      </c>
      <c r="D121" s="60" t="s">
        <v>9</v>
      </c>
      <c r="E121" s="60" t="s">
        <v>10</v>
      </c>
      <c r="F121" s="446" t="s">
        <v>11</v>
      </c>
      <c r="G121" s="52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21.75" customHeight="1">
      <c r="A122" s="447" t="s">
        <v>12</v>
      </c>
      <c r="B122" s="37"/>
      <c r="C122" s="448"/>
      <c r="D122" s="449"/>
      <c r="E122" s="449"/>
      <c r="F122" s="41" t="s">
        <v>13</v>
      </c>
      <c r="G122" s="52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21.75" customHeight="1">
      <c r="A123" s="42" t="s">
        <v>1508</v>
      </c>
      <c r="B123" s="43" t="s">
        <v>15</v>
      </c>
      <c r="C123" s="66">
        <v>912.0</v>
      </c>
      <c r="D123" s="46">
        <v>24989.57</v>
      </c>
      <c r="E123" s="46">
        <v>26153.09</v>
      </c>
      <c r="F123" s="47" t="s">
        <v>1759</v>
      </c>
      <c r="G123" s="52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21.75" customHeight="1">
      <c r="A124" s="48" t="s">
        <v>1760</v>
      </c>
      <c r="B124" s="450"/>
      <c r="C124" s="448"/>
      <c r="D124" s="449"/>
      <c r="E124" s="449"/>
      <c r="F124" s="51" t="s">
        <v>1761</v>
      </c>
      <c r="G124" s="52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21.75" customHeight="1">
      <c r="A125" s="451"/>
      <c r="B125" s="445"/>
      <c r="C125" s="452"/>
      <c r="D125" s="453"/>
      <c r="E125" s="453"/>
      <c r="F125" s="420" t="s">
        <v>1762</v>
      </c>
      <c r="G125" s="52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8.75" customHeight="1">
      <c r="A126" s="53"/>
      <c r="B126" s="54"/>
      <c r="C126" s="55"/>
      <c r="D126" s="56"/>
      <c r="E126" s="57"/>
      <c r="F126" s="58"/>
      <c r="G126" s="52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8.75" customHeight="1">
      <c r="A127" s="89"/>
      <c r="B127" s="90"/>
      <c r="C127" s="91" t="s">
        <v>292</v>
      </c>
      <c r="D127" s="92" t="s">
        <v>292</v>
      </c>
      <c r="E127" s="93" t="s">
        <v>292</v>
      </c>
      <c r="F127" s="9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2.75" customHeight="1">
      <c r="A128" s="95"/>
      <c r="B128" s="96"/>
      <c r="C128" s="97">
        <f t="shared" ref="C128:E128" si="1">SUM(C12:C126)</f>
        <v>21595</v>
      </c>
      <c r="D128" s="98">
        <f t="shared" si="1"/>
        <v>594560.78</v>
      </c>
      <c r="E128" s="99">
        <f t="shared" si="1"/>
        <v>621734.43</v>
      </c>
      <c r="F128" s="100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2.75" customHeight="1">
      <c r="A129" s="4"/>
      <c r="B129" s="101"/>
      <c r="C129" s="4"/>
      <c r="D129" s="102"/>
      <c r="E129" s="103"/>
      <c r="F129" s="10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2.75" customHeight="1">
      <c r="A130" s="4"/>
      <c r="B130" s="101"/>
      <c r="C130" s="4"/>
      <c r="D130" s="102"/>
      <c r="E130" s="103"/>
      <c r="F130" s="10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2.75" customHeight="1">
      <c r="A131" s="4"/>
      <c r="B131" s="101"/>
      <c r="C131" s="4"/>
      <c r="D131" s="102"/>
      <c r="E131" s="103"/>
      <c r="F131" s="10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2.75" customHeight="1">
      <c r="A132" s="4"/>
      <c r="B132" s="101"/>
      <c r="C132" s="4"/>
      <c r="D132" s="102"/>
      <c r="E132" s="103"/>
      <c r="F132" s="10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2.75" customHeight="1">
      <c r="A133" s="4"/>
      <c r="B133" s="101"/>
      <c r="C133" s="4"/>
      <c r="D133" s="102"/>
      <c r="E133" s="103"/>
      <c r="F133" s="10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75" customHeight="1">
      <c r="A134" s="4"/>
      <c r="B134" s="101"/>
      <c r="C134" s="4"/>
      <c r="D134" s="102"/>
      <c r="E134" s="103"/>
      <c r="F134" s="10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75" customHeight="1">
      <c r="A135" s="4"/>
      <c r="B135" s="101"/>
      <c r="C135" s="4"/>
      <c r="D135" s="102"/>
      <c r="E135" s="103"/>
      <c r="F135" s="10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.75" customHeight="1">
      <c r="A136" s="4"/>
      <c r="B136" s="101"/>
      <c r="C136" s="4"/>
      <c r="D136" s="102"/>
      <c r="E136" s="103"/>
      <c r="F136" s="10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.75" customHeight="1">
      <c r="A137" s="4"/>
      <c r="B137" s="101"/>
      <c r="C137" s="4"/>
      <c r="D137" s="102"/>
      <c r="E137" s="103"/>
      <c r="F137" s="10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2.75" customHeight="1">
      <c r="A138" s="4"/>
      <c r="B138" s="101"/>
      <c r="C138" s="4"/>
      <c r="D138" s="102"/>
      <c r="E138" s="103"/>
      <c r="F138" s="10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2.75" customHeight="1">
      <c r="A139" s="4"/>
      <c r="B139" s="101"/>
      <c r="C139" s="4"/>
      <c r="D139" s="102"/>
      <c r="E139" s="103"/>
      <c r="F139" s="10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2.75" customHeight="1">
      <c r="A140" s="4"/>
      <c r="B140" s="101"/>
      <c r="C140" s="4"/>
      <c r="D140" s="102"/>
      <c r="E140" s="103"/>
      <c r="F140" s="10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2.75" customHeight="1">
      <c r="A141" s="4"/>
      <c r="B141" s="101"/>
      <c r="C141" s="4"/>
      <c r="D141" s="102"/>
      <c r="E141" s="103"/>
      <c r="F141" s="10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.75" customHeight="1">
      <c r="A142" s="4"/>
      <c r="B142" s="101"/>
      <c r="C142" s="4"/>
      <c r="D142" s="102"/>
      <c r="E142" s="103"/>
      <c r="F142" s="10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.75" customHeight="1">
      <c r="A143" s="4"/>
      <c r="B143" s="101"/>
      <c r="C143" s="4"/>
      <c r="D143" s="102"/>
      <c r="E143" s="103"/>
      <c r="F143" s="10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.75" customHeight="1">
      <c r="A144" s="4"/>
      <c r="B144" s="101"/>
      <c r="C144" s="4"/>
      <c r="D144" s="102"/>
      <c r="E144" s="103"/>
      <c r="F144" s="10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.75" customHeight="1">
      <c r="A145" s="4"/>
      <c r="B145" s="101"/>
      <c r="C145" s="4"/>
      <c r="D145" s="102"/>
      <c r="E145" s="103"/>
      <c r="F145" s="10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2.75" customHeight="1">
      <c r="A146" s="4"/>
      <c r="B146" s="101"/>
      <c r="C146" s="4"/>
      <c r="D146" s="102"/>
      <c r="E146" s="103"/>
      <c r="F146" s="10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75" customHeight="1">
      <c r="A147" s="4"/>
      <c r="B147" s="101"/>
      <c r="C147" s="4"/>
      <c r="D147" s="102"/>
      <c r="E147" s="103"/>
      <c r="F147" s="10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75" customHeight="1">
      <c r="A148" s="4"/>
      <c r="B148" s="101"/>
      <c r="C148" s="4"/>
      <c r="D148" s="102"/>
      <c r="E148" s="103"/>
      <c r="F148" s="10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2.75" customHeight="1">
      <c r="A149" s="4"/>
      <c r="B149" s="101"/>
      <c r="C149" s="4"/>
      <c r="D149" s="102"/>
      <c r="E149" s="103"/>
      <c r="F149" s="10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2.75" customHeight="1">
      <c r="A150" s="4"/>
      <c r="B150" s="101"/>
      <c r="C150" s="4"/>
      <c r="D150" s="102"/>
      <c r="E150" s="103"/>
      <c r="F150" s="10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.75" customHeight="1">
      <c r="A151" s="4"/>
      <c r="B151" s="101"/>
      <c r="C151" s="4"/>
      <c r="D151" s="102"/>
      <c r="E151" s="103"/>
      <c r="F151" s="10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.75" customHeight="1">
      <c r="A152" s="4"/>
      <c r="B152" s="101"/>
      <c r="C152" s="4"/>
      <c r="D152" s="102"/>
      <c r="E152" s="103"/>
      <c r="F152" s="10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.75" customHeight="1">
      <c r="A153" s="4"/>
      <c r="B153" s="101"/>
      <c r="C153" s="4"/>
      <c r="D153" s="102"/>
      <c r="E153" s="103"/>
      <c r="F153" s="10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.75" customHeight="1">
      <c r="A154" s="4"/>
      <c r="B154" s="101"/>
      <c r="C154" s="4"/>
      <c r="D154" s="102"/>
      <c r="E154" s="103"/>
      <c r="F154" s="10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.75" customHeight="1">
      <c r="A155" s="4"/>
      <c r="B155" s="101"/>
      <c r="C155" s="4"/>
      <c r="D155" s="102"/>
      <c r="E155" s="103"/>
      <c r="F155" s="10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.75" customHeight="1">
      <c r="A156" s="4"/>
      <c r="B156" s="101"/>
      <c r="C156" s="4"/>
      <c r="D156" s="102"/>
      <c r="E156" s="103"/>
      <c r="F156" s="10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.75" customHeight="1">
      <c r="A157" s="4"/>
      <c r="B157" s="101"/>
      <c r="C157" s="4"/>
      <c r="D157" s="102"/>
      <c r="E157" s="103"/>
      <c r="F157" s="10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.75" customHeight="1">
      <c r="A158" s="4"/>
      <c r="B158" s="101"/>
      <c r="C158" s="4"/>
      <c r="D158" s="102"/>
      <c r="E158" s="103"/>
      <c r="F158" s="10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2.75" customHeight="1">
      <c r="A159" s="4"/>
      <c r="B159" s="101"/>
      <c r="C159" s="4"/>
      <c r="D159" s="102"/>
      <c r="E159" s="103"/>
      <c r="F159" s="10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.75" customHeight="1">
      <c r="A160" s="4"/>
      <c r="B160" s="101"/>
      <c r="C160" s="4"/>
      <c r="D160" s="102"/>
      <c r="E160" s="103"/>
      <c r="F160" s="10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.75" customHeight="1">
      <c r="A161" s="4"/>
      <c r="B161" s="101"/>
      <c r="C161" s="4"/>
      <c r="D161" s="102"/>
      <c r="E161" s="103"/>
      <c r="F161" s="10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75" customHeight="1">
      <c r="A162" s="4"/>
      <c r="B162" s="101"/>
      <c r="C162" s="4"/>
      <c r="D162" s="102"/>
      <c r="E162" s="103"/>
      <c r="F162" s="10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.75" customHeight="1">
      <c r="A163" s="4"/>
      <c r="B163" s="101"/>
      <c r="C163" s="4"/>
      <c r="D163" s="102"/>
      <c r="E163" s="103"/>
      <c r="F163" s="10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75" customHeight="1">
      <c r="A164" s="4"/>
      <c r="B164" s="101"/>
      <c r="C164" s="4"/>
      <c r="D164" s="102"/>
      <c r="E164" s="103"/>
      <c r="F164" s="10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75" customHeight="1">
      <c r="A165" s="4"/>
      <c r="B165" s="101"/>
      <c r="C165" s="4"/>
      <c r="D165" s="102"/>
      <c r="E165" s="103"/>
      <c r="F165" s="10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75" customHeight="1">
      <c r="A166" s="4"/>
      <c r="B166" s="101"/>
      <c r="C166" s="4"/>
      <c r="D166" s="102"/>
      <c r="E166" s="103"/>
      <c r="F166" s="10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.75" customHeight="1">
      <c r="A167" s="4"/>
      <c r="B167" s="101"/>
      <c r="C167" s="4"/>
      <c r="D167" s="102"/>
      <c r="E167" s="103"/>
      <c r="F167" s="10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75" customHeight="1">
      <c r="A168" s="4"/>
      <c r="B168" s="101"/>
      <c r="C168" s="4"/>
      <c r="D168" s="102"/>
      <c r="E168" s="103"/>
      <c r="F168" s="10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75" customHeight="1">
      <c r="A169" s="4"/>
      <c r="B169" s="101"/>
      <c r="C169" s="4"/>
      <c r="D169" s="102"/>
      <c r="E169" s="103"/>
      <c r="F169" s="10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75" customHeight="1">
      <c r="A170" s="4"/>
      <c r="B170" s="101"/>
      <c r="C170" s="4"/>
      <c r="D170" s="102"/>
      <c r="E170" s="103"/>
      <c r="F170" s="10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75" customHeight="1">
      <c r="A171" s="4"/>
      <c r="B171" s="101"/>
      <c r="C171" s="4"/>
      <c r="D171" s="102"/>
      <c r="E171" s="103"/>
      <c r="F171" s="10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75" customHeight="1">
      <c r="A172" s="4"/>
      <c r="B172" s="101"/>
      <c r="C172" s="4"/>
      <c r="D172" s="102"/>
      <c r="E172" s="103"/>
      <c r="F172" s="10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75" customHeight="1">
      <c r="A173" s="4"/>
      <c r="B173" s="101"/>
      <c r="C173" s="4"/>
      <c r="D173" s="102"/>
      <c r="E173" s="103"/>
      <c r="F173" s="10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75" customHeight="1">
      <c r="A174" s="4"/>
      <c r="B174" s="101"/>
      <c r="C174" s="4"/>
      <c r="D174" s="102"/>
      <c r="E174" s="103"/>
      <c r="F174" s="10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75" customHeight="1">
      <c r="A175" s="4"/>
      <c r="B175" s="101"/>
      <c r="C175" s="4"/>
      <c r="D175" s="102"/>
      <c r="E175" s="103"/>
      <c r="F175" s="10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75" customHeight="1">
      <c r="A176" s="4"/>
      <c r="B176" s="101"/>
      <c r="C176" s="4"/>
      <c r="D176" s="102"/>
      <c r="E176" s="103"/>
      <c r="F176" s="10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75" customHeight="1">
      <c r="A177" s="4"/>
      <c r="B177" s="101"/>
      <c r="C177" s="4"/>
      <c r="D177" s="102"/>
      <c r="E177" s="103"/>
      <c r="F177" s="10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75" customHeight="1">
      <c r="A178" s="4"/>
      <c r="B178" s="101"/>
      <c r="C178" s="4"/>
      <c r="D178" s="102"/>
      <c r="E178" s="103"/>
      <c r="F178" s="10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75" customHeight="1">
      <c r="A179" s="4"/>
      <c r="B179" s="101"/>
      <c r="C179" s="4"/>
      <c r="D179" s="102"/>
      <c r="E179" s="103"/>
      <c r="F179" s="10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75" customHeight="1">
      <c r="A180" s="4"/>
      <c r="B180" s="101"/>
      <c r="C180" s="4"/>
      <c r="D180" s="102"/>
      <c r="E180" s="103"/>
      <c r="F180" s="10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75" customHeight="1">
      <c r="A181" s="4"/>
      <c r="B181" s="101"/>
      <c r="C181" s="4"/>
      <c r="D181" s="102"/>
      <c r="E181" s="103"/>
      <c r="F181" s="10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75" customHeight="1">
      <c r="A182" s="4"/>
      <c r="B182" s="101"/>
      <c r="C182" s="4"/>
      <c r="D182" s="102"/>
      <c r="E182" s="103"/>
      <c r="F182" s="10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75" customHeight="1">
      <c r="A183" s="4"/>
      <c r="B183" s="101"/>
      <c r="C183" s="4"/>
      <c r="D183" s="102"/>
      <c r="E183" s="103"/>
      <c r="F183" s="10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75" customHeight="1">
      <c r="A184" s="4"/>
      <c r="B184" s="101"/>
      <c r="C184" s="4"/>
      <c r="D184" s="102"/>
      <c r="E184" s="103"/>
      <c r="F184" s="10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75" customHeight="1">
      <c r="A185" s="4"/>
      <c r="B185" s="101"/>
      <c r="C185" s="4"/>
      <c r="D185" s="102"/>
      <c r="E185" s="103"/>
      <c r="F185" s="10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75" customHeight="1">
      <c r="A186" s="4"/>
      <c r="B186" s="101"/>
      <c r="C186" s="4"/>
      <c r="D186" s="102"/>
      <c r="E186" s="103"/>
      <c r="F186" s="10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75" customHeight="1">
      <c r="A187" s="4"/>
      <c r="B187" s="101"/>
      <c r="C187" s="4"/>
      <c r="D187" s="102"/>
      <c r="E187" s="103"/>
      <c r="F187" s="10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75" customHeight="1">
      <c r="A188" s="4"/>
      <c r="B188" s="101"/>
      <c r="C188" s="4"/>
      <c r="D188" s="102"/>
      <c r="E188" s="103"/>
      <c r="F188" s="10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75" customHeight="1">
      <c r="A189" s="4"/>
      <c r="B189" s="101"/>
      <c r="C189" s="4"/>
      <c r="D189" s="102"/>
      <c r="E189" s="103"/>
      <c r="F189" s="10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75" customHeight="1">
      <c r="A190" s="4"/>
      <c r="B190" s="101"/>
      <c r="C190" s="4"/>
      <c r="D190" s="102"/>
      <c r="E190" s="103"/>
      <c r="F190" s="10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75" customHeight="1">
      <c r="A191" s="4"/>
      <c r="B191" s="101"/>
      <c r="C191" s="4"/>
      <c r="D191" s="102"/>
      <c r="E191" s="103"/>
      <c r="F191" s="10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75" customHeight="1">
      <c r="A192" s="4"/>
      <c r="B192" s="101"/>
      <c r="C192" s="4"/>
      <c r="D192" s="102"/>
      <c r="E192" s="103"/>
      <c r="F192" s="10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75" customHeight="1">
      <c r="A193" s="4"/>
      <c r="B193" s="101"/>
      <c r="C193" s="4"/>
      <c r="D193" s="102"/>
      <c r="E193" s="103"/>
      <c r="F193" s="10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75" customHeight="1">
      <c r="A194" s="4"/>
      <c r="B194" s="101"/>
      <c r="C194" s="4"/>
      <c r="D194" s="102"/>
      <c r="E194" s="103"/>
      <c r="F194" s="10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75" customHeight="1">
      <c r="A195" s="4"/>
      <c r="B195" s="101"/>
      <c r="C195" s="4"/>
      <c r="D195" s="102"/>
      <c r="E195" s="103"/>
      <c r="F195" s="10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75" customHeight="1">
      <c r="A196" s="4"/>
      <c r="B196" s="101"/>
      <c r="C196" s="4"/>
      <c r="D196" s="102"/>
      <c r="E196" s="103"/>
      <c r="F196" s="10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75" customHeight="1">
      <c r="A197" s="4"/>
      <c r="B197" s="101"/>
      <c r="C197" s="4"/>
      <c r="D197" s="102"/>
      <c r="E197" s="103"/>
      <c r="F197" s="10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75" customHeight="1">
      <c r="A198" s="4"/>
      <c r="B198" s="101"/>
      <c r="C198" s="4"/>
      <c r="D198" s="102"/>
      <c r="E198" s="103"/>
      <c r="F198" s="10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75" customHeight="1">
      <c r="A199" s="4"/>
      <c r="B199" s="101"/>
      <c r="C199" s="4"/>
      <c r="D199" s="102"/>
      <c r="E199" s="103"/>
      <c r="F199" s="10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75" customHeight="1">
      <c r="A200" s="4"/>
      <c r="B200" s="101"/>
      <c r="C200" s="4"/>
      <c r="D200" s="102"/>
      <c r="E200" s="103"/>
      <c r="F200" s="10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75" customHeight="1">
      <c r="A201" s="4"/>
      <c r="B201" s="101"/>
      <c r="C201" s="4"/>
      <c r="D201" s="102"/>
      <c r="E201" s="103"/>
      <c r="F201" s="10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.75" customHeight="1">
      <c r="A202" s="4"/>
      <c r="B202" s="101"/>
      <c r="C202" s="4"/>
      <c r="D202" s="102"/>
      <c r="E202" s="103"/>
      <c r="F202" s="10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75" customHeight="1">
      <c r="A203" s="4"/>
      <c r="B203" s="101"/>
      <c r="C203" s="4"/>
      <c r="D203" s="102"/>
      <c r="E203" s="103"/>
      <c r="F203" s="10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75" customHeight="1">
      <c r="A204" s="4"/>
      <c r="B204" s="101"/>
      <c r="C204" s="4"/>
      <c r="D204" s="102"/>
      <c r="E204" s="103"/>
      <c r="F204" s="10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75" customHeight="1">
      <c r="A205" s="4"/>
      <c r="B205" s="101"/>
      <c r="C205" s="4"/>
      <c r="D205" s="102"/>
      <c r="E205" s="103"/>
      <c r="F205" s="10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75" customHeight="1">
      <c r="A206" s="4"/>
      <c r="B206" s="101"/>
      <c r="C206" s="4"/>
      <c r="D206" s="102"/>
      <c r="E206" s="103"/>
      <c r="F206" s="10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75" customHeight="1">
      <c r="A207" s="4"/>
      <c r="B207" s="101"/>
      <c r="C207" s="4"/>
      <c r="D207" s="102"/>
      <c r="E207" s="103"/>
      <c r="F207" s="10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75" customHeight="1">
      <c r="A208" s="4"/>
      <c r="B208" s="101"/>
      <c r="C208" s="4"/>
      <c r="D208" s="102"/>
      <c r="E208" s="103"/>
      <c r="F208" s="10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75" customHeight="1">
      <c r="A209" s="4"/>
      <c r="B209" s="101"/>
      <c r="C209" s="4"/>
      <c r="D209" s="102"/>
      <c r="E209" s="103"/>
      <c r="F209" s="10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75" customHeight="1">
      <c r="A210" s="4"/>
      <c r="B210" s="101"/>
      <c r="C210" s="4"/>
      <c r="D210" s="102"/>
      <c r="E210" s="103"/>
      <c r="F210" s="10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.75" customHeight="1">
      <c r="A211" s="4"/>
      <c r="B211" s="101"/>
      <c r="C211" s="4"/>
      <c r="D211" s="102"/>
      <c r="E211" s="103"/>
      <c r="F211" s="10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75" customHeight="1">
      <c r="A212" s="4"/>
      <c r="B212" s="101"/>
      <c r="C212" s="4"/>
      <c r="D212" s="102"/>
      <c r="E212" s="103"/>
      <c r="F212" s="10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75" customHeight="1">
      <c r="A213" s="4"/>
      <c r="B213" s="101"/>
      <c r="C213" s="4"/>
      <c r="D213" s="102"/>
      <c r="E213" s="103"/>
      <c r="F213" s="10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75" customHeight="1">
      <c r="A214" s="4"/>
      <c r="B214" s="101"/>
      <c r="C214" s="4"/>
      <c r="D214" s="102"/>
      <c r="E214" s="103"/>
      <c r="F214" s="10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75" customHeight="1">
      <c r="A215" s="4"/>
      <c r="B215" s="101"/>
      <c r="C215" s="4"/>
      <c r="D215" s="102"/>
      <c r="E215" s="103"/>
      <c r="F215" s="10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75" customHeight="1">
      <c r="A216" s="4"/>
      <c r="B216" s="101"/>
      <c r="C216" s="4"/>
      <c r="D216" s="102"/>
      <c r="E216" s="103"/>
      <c r="F216" s="10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75" customHeight="1">
      <c r="A217" s="4"/>
      <c r="B217" s="101"/>
      <c r="C217" s="4"/>
      <c r="D217" s="102"/>
      <c r="E217" s="103"/>
      <c r="F217" s="10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75" customHeight="1">
      <c r="A218" s="4"/>
      <c r="B218" s="101"/>
      <c r="C218" s="4"/>
      <c r="D218" s="102"/>
      <c r="E218" s="103"/>
      <c r="F218" s="10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75" customHeight="1">
      <c r="A219" s="4"/>
      <c r="B219" s="101"/>
      <c r="C219" s="4"/>
      <c r="D219" s="102"/>
      <c r="E219" s="103"/>
      <c r="F219" s="10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75" customHeight="1">
      <c r="A220" s="4"/>
      <c r="B220" s="101"/>
      <c r="C220" s="4"/>
      <c r="D220" s="102"/>
      <c r="E220" s="103"/>
      <c r="F220" s="10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2.75" customHeight="1">
      <c r="A221" s="4"/>
      <c r="B221" s="101"/>
      <c r="C221" s="4"/>
      <c r="D221" s="102"/>
      <c r="E221" s="103"/>
      <c r="F221" s="10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2.75" customHeight="1">
      <c r="A222" s="4"/>
      <c r="B222" s="101"/>
      <c r="C222" s="4"/>
      <c r="D222" s="102"/>
      <c r="E222" s="103"/>
      <c r="F222" s="10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2.75" customHeight="1">
      <c r="A223" s="4"/>
      <c r="B223" s="101"/>
      <c r="C223" s="4"/>
      <c r="D223" s="102"/>
      <c r="E223" s="103"/>
      <c r="F223" s="10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2.75" customHeight="1">
      <c r="A224" s="4"/>
      <c r="B224" s="101"/>
      <c r="C224" s="4"/>
      <c r="D224" s="102"/>
      <c r="E224" s="103"/>
      <c r="F224" s="10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2.75" customHeight="1">
      <c r="A225" s="4"/>
      <c r="B225" s="101"/>
      <c r="C225" s="4"/>
      <c r="D225" s="102"/>
      <c r="E225" s="103"/>
      <c r="F225" s="10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2.75" customHeight="1">
      <c r="A226" s="4"/>
      <c r="B226" s="101"/>
      <c r="C226" s="4"/>
      <c r="D226" s="102"/>
      <c r="E226" s="103"/>
      <c r="F226" s="10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2.75" customHeight="1">
      <c r="A227" s="4"/>
      <c r="B227" s="101"/>
      <c r="C227" s="4"/>
      <c r="D227" s="102"/>
      <c r="E227" s="103"/>
      <c r="F227" s="10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2.75" customHeight="1">
      <c r="A228" s="4"/>
      <c r="B228" s="101"/>
      <c r="C228" s="4"/>
      <c r="D228" s="102"/>
      <c r="E228" s="103"/>
      <c r="F228" s="10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2.75" customHeight="1">
      <c r="A229" s="4"/>
      <c r="B229" s="101"/>
      <c r="C229" s="4"/>
      <c r="D229" s="102"/>
      <c r="E229" s="103"/>
      <c r="F229" s="10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2.75" customHeight="1">
      <c r="A230" s="4"/>
      <c r="B230" s="101"/>
      <c r="C230" s="4"/>
      <c r="D230" s="102"/>
      <c r="E230" s="103"/>
      <c r="F230" s="10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2.75" customHeight="1">
      <c r="A231" s="4"/>
      <c r="B231" s="101"/>
      <c r="C231" s="4"/>
      <c r="D231" s="102"/>
      <c r="E231" s="103"/>
      <c r="F231" s="10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2.75" customHeight="1">
      <c r="A232" s="4"/>
      <c r="B232" s="101"/>
      <c r="C232" s="4"/>
      <c r="D232" s="102"/>
      <c r="E232" s="103"/>
      <c r="F232" s="10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2.75" customHeight="1">
      <c r="A233" s="4"/>
      <c r="B233" s="101"/>
      <c r="C233" s="4"/>
      <c r="D233" s="102"/>
      <c r="E233" s="103"/>
      <c r="F233" s="10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2.75" customHeight="1">
      <c r="A234" s="4"/>
      <c r="B234" s="101"/>
      <c r="C234" s="4"/>
      <c r="D234" s="102"/>
      <c r="E234" s="103"/>
      <c r="F234" s="10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2.75" customHeight="1">
      <c r="A235" s="4"/>
      <c r="B235" s="101"/>
      <c r="C235" s="4"/>
      <c r="D235" s="102"/>
      <c r="E235" s="103"/>
      <c r="F235" s="10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2.75" customHeight="1">
      <c r="A236" s="4"/>
      <c r="B236" s="101"/>
      <c r="C236" s="4"/>
      <c r="D236" s="102"/>
      <c r="E236" s="103"/>
      <c r="F236" s="10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2.75" customHeight="1">
      <c r="A237" s="4"/>
      <c r="B237" s="101"/>
      <c r="C237" s="4"/>
      <c r="D237" s="102"/>
      <c r="E237" s="103"/>
      <c r="F237" s="10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2.75" customHeight="1">
      <c r="A238" s="4"/>
      <c r="B238" s="101"/>
      <c r="C238" s="4"/>
      <c r="D238" s="102"/>
      <c r="E238" s="103"/>
      <c r="F238" s="10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2.75" customHeight="1">
      <c r="A239" s="4"/>
      <c r="B239" s="101"/>
      <c r="C239" s="4"/>
      <c r="D239" s="102"/>
      <c r="E239" s="103"/>
      <c r="F239" s="10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2.75" customHeight="1">
      <c r="A240" s="4"/>
      <c r="B240" s="101"/>
      <c r="C240" s="4"/>
      <c r="D240" s="102"/>
      <c r="E240" s="103"/>
      <c r="F240" s="10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2.75" customHeight="1">
      <c r="A241" s="4"/>
      <c r="B241" s="101"/>
      <c r="C241" s="4"/>
      <c r="D241" s="102"/>
      <c r="E241" s="103"/>
      <c r="F241" s="10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2.75" customHeight="1">
      <c r="A242" s="4"/>
      <c r="B242" s="101"/>
      <c r="C242" s="4"/>
      <c r="D242" s="102"/>
      <c r="E242" s="103"/>
      <c r="F242" s="10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2.75" customHeight="1">
      <c r="A243" s="4"/>
      <c r="B243" s="101"/>
      <c r="C243" s="4"/>
      <c r="D243" s="102"/>
      <c r="E243" s="103"/>
      <c r="F243" s="10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2.75" customHeight="1">
      <c r="A244" s="4"/>
      <c r="B244" s="101"/>
      <c r="C244" s="4"/>
      <c r="D244" s="102"/>
      <c r="E244" s="103"/>
      <c r="F244" s="10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2.75" customHeight="1">
      <c r="A245" s="4"/>
      <c r="B245" s="101"/>
      <c r="C245" s="4"/>
      <c r="D245" s="102"/>
      <c r="E245" s="103"/>
      <c r="F245" s="10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2.75" customHeight="1">
      <c r="A246" s="4"/>
      <c r="B246" s="101"/>
      <c r="C246" s="4"/>
      <c r="D246" s="102"/>
      <c r="E246" s="103"/>
      <c r="F246" s="10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2.75" customHeight="1">
      <c r="A247" s="4"/>
      <c r="B247" s="101"/>
      <c r="C247" s="4"/>
      <c r="D247" s="102"/>
      <c r="E247" s="103"/>
      <c r="F247" s="10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2.75" customHeight="1">
      <c r="A248" s="4"/>
      <c r="B248" s="101"/>
      <c r="C248" s="4"/>
      <c r="D248" s="102"/>
      <c r="E248" s="103"/>
      <c r="F248" s="10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2.75" customHeight="1">
      <c r="A249" s="4"/>
      <c r="B249" s="101"/>
      <c r="C249" s="4"/>
      <c r="D249" s="102"/>
      <c r="E249" s="103"/>
      <c r="F249" s="10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2.75" customHeight="1">
      <c r="A250" s="4"/>
      <c r="B250" s="101"/>
      <c r="C250" s="4"/>
      <c r="D250" s="102"/>
      <c r="E250" s="103"/>
      <c r="F250" s="10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2.75" customHeight="1">
      <c r="A251" s="4"/>
      <c r="B251" s="101"/>
      <c r="C251" s="4"/>
      <c r="D251" s="102"/>
      <c r="E251" s="103"/>
      <c r="F251" s="10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2.75" customHeight="1">
      <c r="A252" s="4"/>
      <c r="B252" s="101"/>
      <c r="C252" s="4"/>
      <c r="D252" s="102"/>
      <c r="E252" s="103"/>
      <c r="F252" s="10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2.75" customHeight="1">
      <c r="A253" s="4"/>
      <c r="B253" s="101"/>
      <c r="C253" s="4"/>
      <c r="D253" s="102"/>
      <c r="E253" s="103"/>
      <c r="F253" s="10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2.75" customHeight="1">
      <c r="A254" s="4"/>
      <c r="B254" s="101"/>
      <c r="C254" s="4"/>
      <c r="D254" s="102"/>
      <c r="E254" s="103"/>
      <c r="F254" s="10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2.75" customHeight="1">
      <c r="A255" s="4"/>
      <c r="B255" s="101"/>
      <c r="C255" s="4"/>
      <c r="D255" s="102"/>
      <c r="E255" s="103"/>
      <c r="F255" s="10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2.75" customHeight="1">
      <c r="A256" s="4"/>
      <c r="B256" s="101"/>
      <c r="C256" s="4"/>
      <c r="D256" s="102"/>
      <c r="E256" s="103"/>
      <c r="F256" s="10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2.75" customHeight="1">
      <c r="A257" s="4"/>
      <c r="B257" s="101"/>
      <c r="C257" s="4"/>
      <c r="D257" s="102"/>
      <c r="E257" s="103"/>
      <c r="F257" s="10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2.75" customHeight="1">
      <c r="A258" s="4"/>
      <c r="B258" s="101"/>
      <c r="C258" s="4"/>
      <c r="D258" s="102"/>
      <c r="E258" s="103"/>
      <c r="F258" s="10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2.75" customHeight="1">
      <c r="A259" s="4"/>
      <c r="B259" s="101"/>
      <c r="C259" s="4"/>
      <c r="D259" s="102"/>
      <c r="E259" s="103"/>
      <c r="F259" s="10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2.75" customHeight="1">
      <c r="A260" s="4"/>
      <c r="B260" s="101"/>
      <c r="C260" s="4"/>
      <c r="D260" s="102"/>
      <c r="E260" s="103"/>
      <c r="F260" s="10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2.75" customHeight="1">
      <c r="A261" s="4"/>
      <c r="B261" s="101"/>
      <c r="C261" s="4"/>
      <c r="D261" s="102"/>
      <c r="E261" s="103"/>
      <c r="F261" s="10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2.75" customHeight="1">
      <c r="A262" s="4"/>
      <c r="B262" s="101"/>
      <c r="C262" s="4"/>
      <c r="D262" s="102"/>
      <c r="E262" s="103"/>
      <c r="F262" s="10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2.75" customHeight="1">
      <c r="A263" s="4"/>
      <c r="B263" s="101"/>
      <c r="C263" s="4"/>
      <c r="D263" s="102"/>
      <c r="E263" s="103"/>
      <c r="F263" s="10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2.75" customHeight="1">
      <c r="A264" s="4"/>
      <c r="B264" s="101"/>
      <c r="C264" s="4"/>
      <c r="D264" s="102"/>
      <c r="E264" s="103"/>
      <c r="F264" s="10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2.75" customHeight="1">
      <c r="A265" s="4"/>
      <c r="B265" s="101"/>
      <c r="C265" s="4"/>
      <c r="D265" s="102"/>
      <c r="E265" s="103"/>
      <c r="F265" s="10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2.75" customHeight="1">
      <c r="A266" s="4"/>
      <c r="B266" s="101"/>
      <c r="C266" s="4"/>
      <c r="D266" s="102"/>
      <c r="E266" s="103"/>
      <c r="F266" s="10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2.75" customHeight="1">
      <c r="A267" s="4"/>
      <c r="B267" s="101"/>
      <c r="C267" s="4"/>
      <c r="D267" s="102"/>
      <c r="E267" s="103"/>
      <c r="F267" s="10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2.75" customHeight="1">
      <c r="A268" s="4"/>
      <c r="B268" s="101"/>
      <c r="C268" s="4"/>
      <c r="D268" s="102"/>
      <c r="E268" s="103"/>
      <c r="F268" s="10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2.75" customHeight="1">
      <c r="A269" s="4"/>
      <c r="B269" s="101"/>
      <c r="C269" s="4"/>
      <c r="D269" s="102"/>
      <c r="E269" s="103"/>
      <c r="F269" s="10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2.75" customHeight="1">
      <c r="A270" s="4"/>
      <c r="B270" s="101"/>
      <c r="C270" s="4"/>
      <c r="D270" s="102"/>
      <c r="E270" s="103"/>
      <c r="F270" s="10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2.75" customHeight="1">
      <c r="A271" s="4"/>
      <c r="B271" s="101"/>
      <c r="C271" s="4"/>
      <c r="D271" s="102"/>
      <c r="E271" s="103"/>
      <c r="F271" s="10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2.75" customHeight="1">
      <c r="A272" s="4"/>
      <c r="B272" s="101"/>
      <c r="C272" s="4"/>
      <c r="D272" s="102"/>
      <c r="E272" s="103"/>
      <c r="F272" s="10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2.75" customHeight="1">
      <c r="A273" s="4"/>
      <c r="B273" s="101"/>
      <c r="C273" s="4"/>
      <c r="D273" s="102"/>
      <c r="E273" s="103"/>
      <c r="F273" s="10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2.75" customHeight="1">
      <c r="A274" s="4"/>
      <c r="B274" s="101"/>
      <c r="C274" s="4"/>
      <c r="D274" s="102"/>
      <c r="E274" s="103"/>
      <c r="F274" s="10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2.75" customHeight="1">
      <c r="A275" s="4"/>
      <c r="B275" s="101"/>
      <c r="C275" s="4"/>
      <c r="D275" s="102"/>
      <c r="E275" s="103"/>
      <c r="F275" s="10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2.75" customHeight="1">
      <c r="A276" s="4"/>
      <c r="B276" s="101"/>
      <c r="C276" s="4"/>
      <c r="D276" s="102"/>
      <c r="E276" s="103"/>
      <c r="F276" s="10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2.75" customHeight="1">
      <c r="A277" s="4"/>
      <c r="B277" s="101"/>
      <c r="C277" s="4"/>
      <c r="D277" s="102"/>
      <c r="E277" s="103"/>
      <c r="F277" s="10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2.75" customHeight="1">
      <c r="A278" s="4"/>
      <c r="B278" s="101"/>
      <c r="C278" s="4"/>
      <c r="D278" s="102"/>
      <c r="E278" s="103"/>
      <c r="F278" s="10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2.75" customHeight="1">
      <c r="A279" s="4"/>
      <c r="B279" s="101"/>
      <c r="C279" s="4"/>
      <c r="D279" s="102"/>
      <c r="E279" s="103"/>
      <c r="F279" s="10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2.75" customHeight="1">
      <c r="A280" s="4"/>
      <c r="B280" s="101"/>
      <c r="C280" s="4"/>
      <c r="D280" s="102"/>
      <c r="E280" s="103"/>
      <c r="F280" s="10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2.75" customHeight="1">
      <c r="A281" s="4"/>
      <c r="B281" s="101"/>
      <c r="C281" s="4"/>
      <c r="D281" s="102"/>
      <c r="E281" s="103"/>
      <c r="F281" s="10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2.75" customHeight="1">
      <c r="A282" s="4"/>
      <c r="B282" s="101"/>
      <c r="C282" s="4"/>
      <c r="D282" s="102"/>
      <c r="E282" s="103"/>
      <c r="F282" s="10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2.75" customHeight="1">
      <c r="A283" s="4"/>
      <c r="B283" s="101"/>
      <c r="C283" s="4"/>
      <c r="D283" s="102"/>
      <c r="E283" s="103"/>
      <c r="F283" s="10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2.75" customHeight="1">
      <c r="A284" s="4"/>
      <c r="B284" s="101"/>
      <c r="C284" s="4"/>
      <c r="D284" s="102"/>
      <c r="E284" s="103"/>
      <c r="F284" s="10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2.75" customHeight="1">
      <c r="A285" s="4"/>
      <c r="B285" s="101"/>
      <c r="C285" s="4"/>
      <c r="D285" s="102"/>
      <c r="E285" s="103"/>
      <c r="F285" s="10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2.75" customHeight="1">
      <c r="A286" s="4"/>
      <c r="B286" s="101"/>
      <c r="C286" s="4"/>
      <c r="D286" s="102"/>
      <c r="E286" s="103"/>
      <c r="F286" s="10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2.75" customHeight="1">
      <c r="A287" s="4"/>
      <c r="B287" s="101"/>
      <c r="C287" s="4"/>
      <c r="D287" s="102"/>
      <c r="E287" s="103"/>
      <c r="F287" s="10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2.75" customHeight="1">
      <c r="A288" s="4"/>
      <c r="B288" s="101"/>
      <c r="C288" s="4"/>
      <c r="D288" s="102"/>
      <c r="E288" s="103"/>
      <c r="F288" s="10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2.75" customHeight="1">
      <c r="A289" s="4"/>
      <c r="B289" s="101"/>
      <c r="C289" s="4"/>
      <c r="D289" s="102"/>
      <c r="E289" s="103"/>
      <c r="F289" s="10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2.75" customHeight="1">
      <c r="A290" s="4"/>
      <c r="B290" s="101"/>
      <c r="C290" s="4"/>
      <c r="D290" s="102"/>
      <c r="E290" s="103"/>
      <c r="F290" s="10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2.75" customHeight="1">
      <c r="A291" s="4"/>
      <c r="B291" s="101"/>
      <c r="C291" s="4"/>
      <c r="D291" s="102"/>
      <c r="E291" s="103"/>
      <c r="F291" s="10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2.75" customHeight="1">
      <c r="A292" s="4"/>
      <c r="B292" s="101"/>
      <c r="C292" s="4"/>
      <c r="D292" s="102"/>
      <c r="E292" s="103"/>
      <c r="F292" s="10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2.75" customHeight="1">
      <c r="A293" s="4"/>
      <c r="B293" s="101"/>
      <c r="C293" s="4"/>
      <c r="D293" s="102"/>
      <c r="E293" s="103"/>
      <c r="F293" s="10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2.75" customHeight="1">
      <c r="A294" s="4"/>
      <c r="B294" s="101"/>
      <c r="C294" s="4"/>
      <c r="D294" s="102"/>
      <c r="E294" s="103"/>
      <c r="F294" s="10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2.75" customHeight="1">
      <c r="A295" s="4"/>
      <c r="B295" s="101"/>
      <c r="C295" s="4"/>
      <c r="D295" s="102"/>
      <c r="E295" s="103"/>
      <c r="F295" s="10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2.75" customHeight="1">
      <c r="A296" s="4"/>
      <c r="B296" s="101"/>
      <c r="C296" s="4"/>
      <c r="D296" s="102"/>
      <c r="E296" s="103"/>
      <c r="F296" s="10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2.75" customHeight="1">
      <c r="A297" s="4"/>
      <c r="B297" s="101"/>
      <c r="C297" s="4"/>
      <c r="D297" s="102"/>
      <c r="E297" s="103"/>
      <c r="F297" s="10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2.75" customHeight="1">
      <c r="A298" s="4"/>
      <c r="B298" s="101"/>
      <c r="C298" s="4"/>
      <c r="D298" s="102"/>
      <c r="E298" s="103"/>
      <c r="F298" s="10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2.75" customHeight="1">
      <c r="A299" s="4"/>
      <c r="B299" s="101"/>
      <c r="C299" s="4"/>
      <c r="D299" s="102"/>
      <c r="E299" s="103"/>
      <c r="F299" s="10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2.75" customHeight="1">
      <c r="A300" s="4"/>
      <c r="B300" s="101"/>
      <c r="C300" s="4"/>
      <c r="D300" s="102"/>
      <c r="E300" s="103"/>
      <c r="F300" s="10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2.75" customHeight="1">
      <c r="A301" s="4"/>
      <c r="B301" s="101"/>
      <c r="C301" s="4"/>
      <c r="D301" s="102"/>
      <c r="E301" s="103"/>
      <c r="F301" s="10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2.75" customHeight="1">
      <c r="A302" s="4"/>
      <c r="B302" s="101"/>
      <c r="C302" s="4"/>
      <c r="D302" s="102"/>
      <c r="E302" s="103"/>
      <c r="F302" s="10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2.75" customHeight="1">
      <c r="A303" s="4"/>
      <c r="B303" s="101"/>
      <c r="C303" s="4"/>
      <c r="D303" s="102"/>
      <c r="E303" s="103"/>
      <c r="F303" s="10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2.75" customHeight="1">
      <c r="A304" s="4"/>
      <c r="B304" s="101"/>
      <c r="C304" s="4"/>
      <c r="D304" s="102"/>
      <c r="E304" s="103"/>
      <c r="F304" s="10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2.75" customHeight="1">
      <c r="A305" s="4"/>
      <c r="B305" s="101"/>
      <c r="C305" s="4"/>
      <c r="D305" s="102"/>
      <c r="E305" s="103"/>
      <c r="F305" s="10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2.75" customHeight="1">
      <c r="A306" s="4"/>
      <c r="B306" s="101"/>
      <c r="C306" s="4"/>
      <c r="D306" s="102"/>
      <c r="E306" s="103"/>
      <c r="F306" s="10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2.75" customHeight="1">
      <c r="A307" s="4"/>
      <c r="B307" s="101"/>
      <c r="C307" s="4"/>
      <c r="D307" s="102"/>
      <c r="E307" s="103"/>
      <c r="F307" s="10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2.75" customHeight="1">
      <c r="A308" s="4"/>
      <c r="B308" s="101"/>
      <c r="C308" s="4"/>
      <c r="D308" s="102"/>
      <c r="E308" s="103"/>
      <c r="F308" s="10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2.75" customHeight="1">
      <c r="A309" s="4"/>
      <c r="B309" s="101"/>
      <c r="C309" s="4"/>
      <c r="D309" s="102"/>
      <c r="E309" s="103"/>
      <c r="F309" s="10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2.75" customHeight="1">
      <c r="A310" s="4"/>
      <c r="B310" s="101"/>
      <c r="C310" s="4"/>
      <c r="D310" s="102"/>
      <c r="E310" s="103"/>
      <c r="F310" s="10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2.75" customHeight="1">
      <c r="A311" s="4"/>
      <c r="B311" s="101"/>
      <c r="C311" s="4"/>
      <c r="D311" s="102"/>
      <c r="E311" s="103"/>
      <c r="F311" s="10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2.75" customHeight="1">
      <c r="A312" s="4"/>
      <c r="B312" s="101"/>
      <c r="C312" s="4"/>
      <c r="D312" s="102"/>
      <c r="E312" s="103"/>
      <c r="F312" s="10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2.75" customHeight="1">
      <c r="A313" s="4"/>
      <c r="B313" s="101"/>
      <c r="C313" s="4"/>
      <c r="D313" s="102"/>
      <c r="E313" s="103"/>
      <c r="F313" s="10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2.75" customHeight="1">
      <c r="A314" s="4"/>
      <c r="B314" s="101"/>
      <c r="C314" s="4"/>
      <c r="D314" s="102"/>
      <c r="E314" s="103"/>
      <c r="F314" s="10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2.75" customHeight="1">
      <c r="A315" s="4"/>
      <c r="B315" s="101"/>
      <c r="C315" s="4"/>
      <c r="D315" s="102"/>
      <c r="E315" s="103"/>
      <c r="F315" s="10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2.75" customHeight="1">
      <c r="A316" s="4"/>
      <c r="B316" s="101"/>
      <c r="C316" s="4"/>
      <c r="D316" s="102"/>
      <c r="E316" s="103"/>
      <c r="F316" s="10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2.75" customHeight="1">
      <c r="A317" s="4"/>
      <c r="B317" s="101"/>
      <c r="C317" s="4"/>
      <c r="D317" s="102"/>
      <c r="E317" s="103"/>
      <c r="F317" s="10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2.75" customHeight="1">
      <c r="A318" s="4"/>
      <c r="B318" s="101"/>
      <c r="C318" s="4"/>
      <c r="D318" s="102"/>
      <c r="E318" s="103"/>
      <c r="F318" s="10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2.75" customHeight="1">
      <c r="A319" s="4"/>
      <c r="B319" s="101"/>
      <c r="C319" s="4"/>
      <c r="D319" s="102"/>
      <c r="E319" s="103"/>
      <c r="F319" s="10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2.75" customHeight="1">
      <c r="A320" s="4"/>
      <c r="B320" s="101"/>
      <c r="C320" s="4"/>
      <c r="D320" s="102"/>
      <c r="E320" s="103"/>
      <c r="F320" s="10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2.75" customHeight="1">
      <c r="A321" s="4"/>
      <c r="B321" s="101"/>
      <c r="C321" s="4"/>
      <c r="D321" s="102"/>
      <c r="E321" s="103"/>
      <c r="F321" s="10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2.75" customHeight="1">
      <c r="A322" s="4"/>
      <c r="B322" s="101"/>
      <c r="C322" s="4"/>
      <c r="D322" s="102"/>
      <c r="E322" s="103"/>
      <c r="F322" s="10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2.75" customHeight="1">
      <c r="A323" s="4"/>
      <c r="B323" s="101"/>
      <c r="C323" s="4"/>
      <c r="D323" s="102"/>
      <c r="E323" s="103"/>
      <c r="F323" s="10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2.75" customHeight="1">
      <c r="A324" s="4"/>
      <c r="B324" s="101"/>
      <c r="C324" s="4"/>
      <c r="D324" s="102"/>
      <c r="E324" s="103"/>
      <c r="F324" s="10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2.75" customHeight="1">
      <c r="A325" s="4"/>
      <c r="B325" s="101"/>
      <c r="C325" s="4"/>
      <c r="D325" s="102"/>
      <c r="E325" s="103"/>
      <c r="F325" s="10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2.75" customHeight="1">
      <c r="A326" s="4"/>
      <c r="B326" s="101"/>
      <c r="C326" s="4"/>
      <c r="D326" s="102"/>
      <c r="E326" s="103"/>
      <c r="F326" s="10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2.75" customHeight="1">
      <c r="A327" s="4"/>
      <c r="B327" s="101"/>
      <c r="C327" s="4"/>
      <c r="D327" s="102"/>
      <c r="E327" s="103"/>
      <c r="F327" s="10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2.75" customHeight="1">
      <c r="A328" s="4"/>
      <c r="B328" s="101"/>
      <c r="C328" s="4"/>
      <c r="D328" s="102"/>
      <c r="E328" s="103"/>
      <c r="F328" s="10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2">
    <mergeCell ref="A1:F1"/>
    <mergeCell ref="A2:F2"/>
    <mergeCell ref="A3:F3"/>
    <mergeCell ref="A4:F4"/>
    <mergeCell ref="D7:E7"/>
    <mergeCell ref="A9:F9"/>
    <mergeCell ref="A11:B11"/>
    <mergeCell ref="A12:B12"/>
    <mergeCell ref="A16:B16"/>
    <mergeCell ref="A17:B17"/>
    <mergeCell ref="A21:B21"/>
    <mergeCell ref="A22:B22"/>
    <mergeCell ref="A26:B26"/>
    <mergeCell ref="A27:B27"/>
    <mergeCell ref="A31:B31"/>
    <mergeCell ref="A32:B32"/>
    <mergeCell ref="A36:B36"/>
    <mergeCell ref="A37:B37"/>
    <mergeCell ref="A41:B41"/>
    <mergeCell ref="A42:B42"/>
    <mergeCell ref="A46:B46"/>
    <mergeCell ref="A47:B47"/>
    <mergeCell ref="A51:B51"/>
    <mergeCell ref="A52:B52"/>
    <mergeCell ref="A56:B56"/>
    <mergeCell ref="A57:B57"/>
    <mergeCell ref="A61:B61"/>
    <mergeCell ref="A62:B62"/>
    <mergeCell ref="A66:B66"/>
    <mergeCell ref="A67:B67"/>
    <mergeCell ref="A71:B71"/>
    <mergeCell ref="A72:B72"/>
    <mergeCell ref="A76:B76"/>
    <mergeCell ref="A77:B77"/>
    <mergeCell ref="A81:B81"/>
    <mergeCell ref="A82:B82"/>
    <mergeCell ref="A86:B86"/>
    <mergeCell ref="A87:B87"/>
    <mergeCell ref="A91:B91"/>
    <mergeCell ref="A92:B92"/>
    <mergeCell ref="A96:B96"/>
    <mergeCell ref="A97:B97"/>
    <mergeCell ref="A117:B117"/>
    <mergeCell ref="A121:B121"/>
    <mergeCell ref="A122:B122"/>
    <mergeCell ref="A101:B101"/>
    <mergeCell ref="A102:B102"/>
    <mergeCell ref="A106:B106"/>
    <mergeCell ref="A107:B107"/>
    <mergeCell ref="A111:B111"/>
    <mergeCell ref="A112:B112"/>
    <mergeCell ref="A116:B116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2.63" defaultRowHeight="15.0"/>
  <cols>
    <col customWidth="1" min="1" max="1" width="52.5"/>
    <col customWidth="1" min="2" max="2" width="49.5"/>
    <col customWidth="1" min="3" max="3" width="21.88"/>
    <col customWidth="1" min="4" max="4" width="20.5"/>
    <col customWidth="1" min="5" max="5" width="22.88"/>
    <col customWidth="1" min="6" max="6" width="71.5"/>
    <col customWidth="1" min="7" max="7" width="50.13"/>
    <col customWidth="1" min="8" max="26" width="8.0"/>
  </cols>
  <sheetData>
    <row r="1" ht="12.75" customHeight="1">
      <c r="A1" s="439" t="s">
        <v>0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2.75" customHeight="1">
      <c r="A2" s="5" t="s">
        <v>1</v>
      </c>
      <c r="B2" s="6"/>
      <c r="C2" s="6"/>
      <c r="D2" s="6"/>
      <c r="E2" s="6"/>
      <c r="F2" s="7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2.75" customHeight="1">
      <c r="A3" s="5" t="s">
        <v>2</v>
      </c>
      <c r="B3" s="6"/>
      <c r="C3" s="6"/>
      <c r="D3" s="6"/>
      <c r="E3" s="6"/>
      <c r="F3" s="7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2.75" customHeight="1">
      <c r="A4" s="5" t="s">
        <v>3</v>
      </c>
      <c r="B4" s="6"/>
      <c r="C4" s="6"/>
      <c r="D4" s="6"/>
      <c r="E4" s="6"/>
      <c r="F4" s="7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2.75" customHeight="1">
      <c r="A5" s="8"/>
      <c r="B5" s="9"/>
      <c r="C5" s="10"/>
      <c r="D5" s="11"/>
      <c r="E5" s="11"/>
      <c r="F5" s="12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2.75" customHeight="1">
      <c r="A6" s="13"/>
      <c r="B6" s="9"/>
      <c r="C6" s="10"/>
      <c r="D6" s="14"/>
      <c r="E6" s="14"/>
      <c r="F6" s="15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30.0" customHeight="1">
      <c r="A7" s="16"/>
      <c r="B7" s="9"/>
      <c r="C7" s="17"/>
      <c r="D7" s="18"/>
      <c r="E7" s="19"/>
      <c r="F7" s="15" t="s">
        <v>1763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0.0" customHeight="1">
      <c r="A8" s="20" t="s">
        <v>5</v>
      </c>
      <c r="B8" s="21"/>
      <c r="C8" s="22"/>
      <c r="D8" s="23"/>
      <c r="E8" s="23"/>
      <c r="F8" s="2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7.75" customHeight="1">
      <c r="A9" s="25" t="s">
        <v>6</v>
      </c>
      <c r="B9" s="26"/>
      <c r="C9" s="26"/>
      <c r="D9" s="26"/>
      <c r="E9" s="26"/>
      <c r="F9" s="27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8.5" customHeight="1">
      <c r="A10" s="28"/>
      <c r="B10" s="29"/>
      <c r="C10" s="29"/>
      <c r="D10" s="30"/>
      <c r="E10" s="30"/>
      <c r="F10" s="31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</row>
    <row r="11" ht="22.5" customHeight="1">
      <c r="A11" s="33" t="s">
        <v>1764</v>
      </c>
      <c r="B11" s="27"/>
      <c r="C11" s="34" t="s">
        <v>8</v>
      </c>
      <c r="D11" s="34" t="s">
        <v>9</v>
      </c>
      <c r="E11" s="440" t="s">
        <v>10</v>
      </c>
      <c r="F11" s="441" t="s">
        <v>11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75" customHeight="1">
      <c r="A12" s="36" t="s">
        <v>12</v>
      </c>
      <c r="B12" s="37"/>
      <c r="C12" s="38"/>
      <c r="D12" s="39"/>
      <c r="E12" s="442"/>
      <c r="F12" s="41" t="s">
        <v>13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75" customHeight="1">
      <c r="A13" s="42" t="s">
        <v>1508</v>
      </c>
      <c r="B13" s="43" t="s">
        <v>15</v>
      </c>
      <c r="C13" s="44">
        <v>925.0</v>
      </c>
      <c r="D13" s="45">
        <v>25007.59</v>
      </c>
      <c r="E13" s="443">
        <v>26203.3</v>
      </c>
      <c r="F13" s="47" t="s">
        <v>1765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2.75" customHeight="1">
      <c r="A14" s="48" t="s">
        <v>1766</v>
      </c>
      <c r="B14" s="49"/>
      <c r="C14" s="50"/>
      <c r="D14" s="45"/>
      <c r="E14" s="443"/>
      <c r="F14" s="51" t="s">
        <v>1767</v>
      </c>
      <c r="G14" s="52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2.75" customHeight="1">
      <c r="A15" s="53"/>
      <c r="B15" s="54"/>
      <c r="C15" s="55"/>
      <c r="D15" s="56"/>
      <c r="E15" s="444"/>
      <c r="F15" s="420" t="s">
        <v>1768</v>
      </c>
      <c r="G15" s="52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2.5" customHeight="1">
      <c r="A16" s="33" t="s">
        <v>1769</v>
      </c>
      <c r="B16" s="27"/>
      <c r="C16" s="34" t="s">
        <v>8</v>
      </c>
      <c r="D16" s="34" t="s">
        <v>9</v>
      </c>
      <c r="E16" s="440" t="s">
        <v>10</v>
      </c>
      <c r="F16" s="441" t="s">
        <v>11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36" t="s">
        <v>12</v>
      </c>
      <c r="B17" s="37"/>
      <c r="C17" s="38"/>
      <c r="D17" s="39"/>
      <c r="E17" s="442"/>
      <c r="F17" s="41" t="s">
        <v>13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42" t="s">
        <v>1508</v>
      </c>
      <c r="B18" s="43" t="s">
        <v>15</v>
      </c>
      <c r="C18" s="44">
        <v>927.0</v>
      </c>
      <c r="D18" s="45">
        <v>25013.0</v>
      </c>
      <c r="E18" s="443">
        <v>26229.09</v>
      </c>
      <c r="F18" s="47" t="s">
        <v>1770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2.75" customHeight="1">
      <c r="A19" s="48" t="s">
        <v>1771</v>
      </c>
      <c r="B19" s="49"/>
      <c r="C19" s="50"/>
      <c r="D19" s="45"/>
      <c r="E19" s="443"/>
      <c r="F19" s="51" t="s">
        <v>1772</v>
      </c>
      <c r="G19" s="52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2.75" customHeight="1">
      <c r="A20" s="53"/>
      <c r="B20" s="54"/>
      <c r="C20" s="55"/>
      <c r="D20" s="56"/>
      <c r="E20" s="444"/>
      <c r="F20" s="420" t="s">
        <v>1773</v>
      </c>
      <c r="G20" s="52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2.5" customHeight="1">
      <c r="A21" s="33" t="s">
        <v>1774</v>
      </c>
      <c r="B21" s="27"/>
      <c r="C21" s="34" t="s">
        <v>8</v>
      </c>
      <c r="D21" s="34" t="s">
        <v>9</v>
      </c>
      <c r="E21" s="440" t="s">
        <v>10</v>
      </c>
      <c r="F21" s="441" t="s">
        <v>11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36" t="s">
        <v>12</v>
      </c>
      <c r="B22" s="37"/>
      <c r="C22" s="38"/>
      <c r="D22" s="39"/>
      <c r="E22" s="442"/>
      <c r="F22" s="41" t="s">
        <v>13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2" t="s">
        <v>1508</v>
      </c>
      <c r="B23" s="43" t="s">
        <v>15</v>
      </c>
      <c r="C23" s="44">
        <v>922.0</v>
      </c>
      <c r="D23" s="45">
        <v>24990.96</v>
      </c>
      <c r="E23" s="443">
        <v>26183.98</v>
      </c>
      <c r="F23" s="47" t="s">
        <v>1775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2.75" customHeight="1">
      <c r="A24" s="48" t="s">
        <v>1776</v>
      </c>
      <c r="B24" s="49"/>
      <c r="C24" s="50"/>
      <c r="D24" s="45"/>
      <c r="E24" s="443"/>
      <c r="F24" s="51" t="s">
        <v>1777</v>
      </c>
      <c r="G24" s="52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2.75" customHeight="1">
      <c r="A25" s="53"/>
      <c r="B25" s="54"/>
      <c r="C25" s="55"/>
      <c r="D25" s="56"/>
      <c r="E25" s="444"/>
      <c r="F25" s="420" t="s">
        <v>1778</v>
      </c>
      <c r="G25" s="52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2.5" customHeight="1">
      <c r="A26" s="33" t="s">
        <v>1779</v>
      </c>
      <c r="B26" s="27"/>
      <c r="C26" s="34" t="s">
        <v>8</v>
      </c>
      <c r="D26" s="34" t="s">
        <v>9</v>
      </c>
      <c r="E26" s="440" t="s">
        <v>10</v>
      </c>
      <c r="F26" s="441" t="s">
        <v>11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36" t="s">
        <v>12</v>
      </c>
      <c r="B27" s="37"/>
      <c r="C27" s="38"/>
      <c r="D27" s="39"/>
      <c r="E27" s="442"/>
      <c r="F27" s="41" t="s">
        <v>13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2" t="s">
        <v>1508</v>
      </c>
      <c r="B28" s="43" t="s">
        <v>15</v>
      </c>
      <c r="C28" s="44">
        <v>882.0</v>
      </c>
      <c r="D28" s="45">
        <v>25013.66</v>
      </c>
      <c r="E28" s="443">
        <v>26081.0</v>
      </c>
      <c r="F28" s="47" t="s">
        <v>1780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2.75" customHeight="1">
      <c r="A29" s="48" t="s">
        <v>1781</v>
      </c>
      <c r="B29" s="49"/>
      <c r="C29" s="50"/>
      <c r="D29" s="45"/>
      <c r="E29" s="443"/>
      <c r="F29" s="51" t="s">
        <v>1782</v>
      </c>
      <c r="G29" s="52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2.75" customHeight="1">
      <c r="A30" s="53"/>
      <c r="B30" s="54"/>
      <c r="C30" s="55"/>
      <c r="D30" s="56"/>
      <c r="E30" s="444"/>
      <c r="F30" s="420" t="s">
        <v>1783</v>
      </c>
      <c r="G30" s="52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2.5" customHeight="1">
      <c r="A31" s="33" t="s">
        <v>1784</v>
      </c>
      <c r="B31" s="27"/>
      <c r="C31" s="34" t="s">
        <v>8</v>
      </c>
      <c r="D31" s="34" t="s">
        <v>9</v>
      </c>
      <c r="E31" s="440" t="s">
        <v>10</v>
      </c>
      <c r="F31" s="441" t="s">
        <v>11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36" t="s">
        <v>12</v>
      </c>
      <c r="B32" s="37"/>
      <c r="C32" s="38"/>
      <c r="D32" s="39"/>
      <c r="E32" s="442"/>
      <c r="F32" s="41" t="s">
        <v>13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2" t="s">
        <v>1508</v>
      </c>
      <c r="B33" s="43" t="s">
        <v>15</v>
      </c>
      <c r="C33" s="44">
        <v>864.0</v>
      </c>
      <c r="D33" s="45">
        <v>25014.98</v>
      </c>
      <c r="E33" s="443">
        <v>26106.66</v>
      </c>
      <c r="F33" s="47" t="s">
        <v>1785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2.75" customHeight="1">
      <c r="A34" s="416" t="s">
        <v>1786</v>
      </c>
      <c r="B34" s="49"/>
      <c r="C34" s="50"/>
      <c r="D34" s="45"/>
      <c r="E34" s="443"/>
      <c r="F34" s="51" t="s">
        <v>1787</v>
      </c>
      <c r="G34" s="52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2.75" customHeight="1">
      <c r="A35" s="53"/>
      <c r="B35" s="54"/>
      <c r="C35" s="55"/>
      <c r="D35" s="56"/>
      <c r="E35" s="444"/>
      <c r="F35" s="420" t="s">
        <v>1788</v>
      </c>
      <c r="G35" s="52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2.5" customHeight="1">
      <c r="A36" s="33" t="s">
        <v>1789</v>
      </c>
      <c r="B36" s="27"/>
      <c r="C36" s="34" t="s">
        <v>8</v>
      </c>
      <c r="D36" s="34" t="s">
        <v>9</v>
      </c>
      <c r="E36" s="440" t="s">
        <v>10</v>
      </c>
      <c r="F36" s="441" t="s">
        <v>11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36" t="s">
        <v>12</v>
      </c>
      <c r="B37" s="37"/>
      <c r="C37" s="38"/>
      <c r="D37" s="39"/>
      <c r="E37" s="442"/>
      <c r="F37" s="41" t="s">
        <v>13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2" t="s">
        <v>1508</v>
      </c>
      <c r="B38" s="43" t="s">
        <v>15</v>
      </c>
      <c r="C38" s="44">
        <v>919.0</v>
      </c>
      <c r="D38" s="45">
        <v>25011.74</v>
      </c>
      <c r="E38" s="443">
        <v>26189.19</v>
      </c>
      <c r="F38" s="47" t="s">
        <v>1790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2.75" customHeight="1">
      <c r="A39" s="48" t="s">
        <v>1791</v>
      </c>
      <c r="B39" s="49"/>
      <c r="C39" s="50"/>
      <c r="D39" s="45"/>
      <c r="E39" s="443"/>
      <c r="F39" s="51" t="s">
        <v>1792</v>
      </c>
      <c r="G39" s="52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2.75" customHeight="1">
      <c r="A40" s="53"/>
      <c r="B40" s="54"/>
      <c r="C40" s="55"/>
      <c r="D40" s="56"/>
      <c r="E40" s="444"/>
      <c r="F40" s="420" t="s">
        <v>1793</v>
      </c>
      <c r="G40" s="52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22.5" customHeight="1">
      <c r="A41" s="33" t="s">
        <v>1794</v>
      </c>
      <c r="B41" s="27"/>
      <c r="C41" s="34" t="s">
        <v>8</v>
      </c>
      <c r="D41" s="34" t="s">
        <v>9</v>
      </c>
      <c r="E41" s="440" t="s">
        <v>10</v>
      </c>
      <c r="F41" s="441" t="s">
        <v>11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36" t="s">
        <v>12</v>
      </c>
      <c r="B42" s="37"/>
      <c r="C42" s="38"/>
      <c r="D42" s="39"/>
      <c r="E42" s="442"/>
      <c r="F42" s="41" t="s">
        <v>13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2" t="s">
        <v>1508</v>
      </c>
      <c r="B43" s="43" t="s">
        <v>15</v>
      </c>
      <c r="C43" s="44">
        <v>927.0</v>
      </c>
      <c r="D43" s="45">
        <v>25006.84</v>
      </c>
      <c r="E43" s="443">
        <v>26210.21</v>
      </c>
      <c r="F43" s="47" t="s">
        <v>1795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2.75" customHeight="1">
      <c r="A44" s="48" t="s">
        <v>1796</v>
      </c>
      <c r="B44" s="49"/>
      <c r="C44" s="50"/>
      <c r="D44" s="45"/>
      <c r="E44" s="443"/>
      <c r="F44" s="51" t="s">
        <v>1797</v>
      </c>
      <c r="G44" s="52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21.75" customHeight="1">
      <c r="A45" s="53"/>
      <c r="B45" s="54"/>
      <c r="C45" s="55"/>
      <c r="D45" s="56"/>
      <c r="E45" s="444"/>
      <c r="F45" s="420" t="s">
        <v>1798</v>
      </c>
      <c r="G45" s="52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22.5" customHeight="1">
      <c r="A46" s="33" t="s">
        <v>1799</v>
      </c>
      <c r="B46" s="27"/>
      <c r="C46" s="34" t="s">
        <v>8</v>
      </c>
      <c r="D46" s="34" t="s">
        <v>9</v>
      </c>
      <c r="E46" s="440" t="s">
        <v>10</v>
      </c>
      <c r="F46" s="441" t="s">
        <v>11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36" t="s">
        <v>12</v>
      </c>
      <c r="B47" s="37"/>
      <c r="C47" s="38"/>
      <c r="D47" s="39"/>
      <c r="E47" s="442"/>
      <c r="F47" s="41" t="s">
        <v>13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2" t="s">
        <v>1508</v>
      </c>
      <c r="B48" s="43" t="s">
        <v>15</v>
      </c>
      <c r="C48" s="44">
        <v>917.0</v>
      </c>
      <c r="D48" s="45">
        <v>24997.46</v>
      </c>
      <c r="E48" s="443">
        <v>26170.85</v>
      </c>
      <c r="F48" s="47" t="s">
        <v>1800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2.75" customHeight="1">
      <c r="A49" s="48" t="s">
        <v>1801</v>
      </c>
      <c r="B49" s="49"/>
      <c r="C49" s="50"/>
      <c r="D49" s="45"/>
      <c r="E49" s="443"/>
      <c r="F49" s="51" t="s">
        <v>1802</v>
      </c>
      <c r="G49" s="52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21.75" customHeight="1">
      <c r="A50" s="53"/>
      <c r="B50" s="54"/>
      <c r="C50" s="55"/>
      <c r="D50" s="56"/>
      <c r="E50" s="444"/>
      <c r="F50" s="420" t="s">
        <v>1803</v>
      </c>
      <c r="G50" s="52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21.75" customHeight="1">
      <c r="A51" s="33" t="s">
        <v>1804</v>
      </c>
      <c r="B51" s="27"/>
      <c r="C51" s="34" t="s">
        <v>8</v>
      </c>
      <c r="D51" s="34" t="s">
        <v>9</v>
      </c>
      <c r="E51" s="440" t="s">
        <v>10</v>
      </c>
      <c r="F51" s="441" t="s">
        <v>11</v>
      </c>
      <c r="G51" s="52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21.75" customHeight="1">
      <c r="A52" s="36" t="s">
        <v>12</v>
      </c>
      <c r="B52" s="37"/>
      <c r="C52" s="38"/>
      <c r="D52" s="39"/>
      <c r="E52" s="442"/>
      <c r="F52" s="41" t="s">
        <v>13</v>
      </c>
      <c r="G52" s="52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21.75" customHeight="1">
      <c r="A53" s="42" t="s">
        <v>1508</v>
      </c>
      <c r="B53" s="43" t="s">
        <v>15</v>
      </c>
      <c r="C53" s="44">
        <v>871.0</v>
      </c>
      <c r="D53" s="45">
        <v>25021.87</v>
      </c>
      <c r="E53" s="443">
        <v>26119.64</v>
      </c>
      <c r="F53" s="47" t="s">
        <v>1805</v>
      </c>
      <c r="G53" s="52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21.75" customHeight="1">
      <c r="A54" s="48" t="s">
        <v>1806</v>
      </c>
      <c r="B54" s="49"/>
      <c r="C54" s="50"/>
      <c r="D54" s="45"/>
      <c r="E54" s="443"/>
      <c r="F54" s="51" t="s">
        <v>1807</v>
      </c>
      <c r="G54" s="52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21.75" customHeight="1">
      <c r="A55" s="53"/>
      <c r="B55" s="54"/>
      <c r="C55" s="55"/>
      <c r="D55" s="56"/>
      <c r="E55" s="444"/>
      <c r="F55" s="420" t="s">
        <v>1808</v>
      </c>
      <c r="G55" s="52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21.75" customHeight="1">
      <c r="A56" s="33" t="s">
        <v>1809</v>
      </c>
      <c r="B56" s="27"/>
      <c r="C56" s="34" t="s">
        <v>8</v>
      </c>
      <c r="D56" s="34" t="s">
        <v>9</v>
      </c>
      <c r="E56" s="440" t="s">
        <v>10</v>
      </c>
      <c r="F56" s="441" t="s">
        <v>11</v>
      </c>
      <c r="G56" s="52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21.75" customHeight="1">
      <c r="A57" s="36" t="s">
        <v>12</v>
      </c>
      <c r="B57" s="37"/>
      <c r="C57" s="38"/>
      <c r="D57" s="39"/>
      <c r="E57" s="442"/>
      <c r="F57" s="41" t="s">
        <v>13</v>
      </c>
      <c r="G57" s="52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21.75" customHeight="1">
      <c r="A58" s="42" t="s">
        <v>1508</v>
      </c>
      <c r="B58" s="43" t="s">
        <v>15</v>
      </c>
      <c r="C58" s="44">
        <v>867.0</v>
      </c>
      <c r="D58" s="45">
        <v>25010.33</v>
      </c>
      <c r="E58" s="443">
        <v>26068.56</v>
      </c>
      <c r="F58" s="47" t="s">
        <v>1810</v>
      </c>
      <c r="G58" s="52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21.75" customHeight="1">
      <c r="A59" s="48" t="s">
        <v>1811</v>
      </c>
      <c r="B59" s="49"/>
      <c r="C59" s="50"/>
      <c r="D59" s="45"/>
      <c r="E59" s="443"/>
      <c r="F59" s="51" t="s">
        <v>1812</v>
      </c>
      <c r="G59" s="52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21.75" customHeight="1">
      <c r="A60" s="53"/>
      <c r="B60" s="54"/>
      <c r="C60" s="55"/>
      <c r="D60" s="56"/>
      <c r="E60" s="444"/>
      <c r="F60" s="420" t="s">
        <v>1813</v>
      </c>
      <c r="G60" s="52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21.75" customHeight="1">
      <c r="A61" s="33" t="s">
        <v>1814</v>
      </c>
      <c r="B61" s="27"/>
      <c r="C61" s="34" t="s">
        <v>8</v>
      </c>
      <c r="D61" s="34" t="s">
        <v>9</v>
      </c>
      <c r="E61" s="440" t="s">
        <v>10</v>
      </c>
      <c r="F61" s="441" t="s">
        <v>11</v>
      </c>
      <c r="G61" s="52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21.75" customHeight="1">
      <c r="A62" s="36" t="s">
        <v>12</v>
      </c>
      <c r="B62" s="37"/>
      <c r="C62" s="38"/>
      <c r="D62" s="39"/>
      <c r="E62" s="442"/>
      <c r="F62" s="41" t="s">
        <v>13</v>
      </c>
      <c r="G62" s="52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21.75" customHeight="1">
      <c r="A63" s="42" t="s">
        <v>1508</v>
      </c>
      <c r="B63" s="43" t="s">
        <v>15</v>
      </c>
      <c r="C63" s="44">
        <v>876.0</v>
      </c>
      <c r="D63" s="45">
        <v>25010.05</v>
      </c>
      <c r="E63" s="443">
        <v>26120.61</v>
      </c>
      <c r="F63" s="47" t="s">
        <v>1815</v>
      </c>
      <c r="G63" s="52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21.75" customHeight="1">
      <c r="A64" s="48" t="s">
        <v>1816</v>
      </c>
      <c r="B64" s="49"/>
      <c r="C64" s="50"/>
      <c r="D64" s="45"/>
      <c r="E64" s="443"/>
      <c r="F64" s="51" t="s">
        <v>1817</v>
      </c>
      <c r="G64" s="52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21.75" customHeight="1">
      <c r="A65" s="53"/>
      <c r="B65" s="54"/>
      <c r="C65" s="55"/>
      <c r="D65" s="56"/>
      <c r="E65" s="444"/>
      <c r="F65" s="420" t="s">
        <v>1818</v>
      </c>
      <c r="G65" s="52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21.75" customHeight="1">
      <c r="A66" s="33" t="s">
        <v>1819</v>
      </c>
      <c r="B66" s="27"/>
      <c r="C66" s="34" t="s">
        <v>8</v>
      </c>
      <c r="D66" s="34" t="s">
        <v>9</v>
      </c>
      <c r="E66" s="440" t="s">
        <v>10</v>
      </c>
      <c r="F66" s="441" t="s">
        <v>11</v>
      </c>
      <c r="G66" s="52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21.75" customHeight="1">
      <c r="A67" s="36" t="s">
        <v>12</v>
      </c>
      <c r="B67" s="37"/>
      <c r="C67" s="38"/>
      <c r="D67" s="39"/>
      <c r="E67" s="442"/>
      <c r="F67" s="41" t="s">
        <v>13</v>
      </c>
      <c r="G67" s="52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21.75" customHeight="1">
      <c r="A68" s="42" t="s">
        <v>1508</v>
      </c>
      <c r="B68" s="43" t="s">
        <v>15</v>
      </c>
      <c r="C68" s="44">
        <v>919.0</v>
      </c>
      <c r="D68" s="45">
        <v>25011.15</v>
      </c>
      <c r="E68" s="443">
        <v>26195.16</v>
      </c>
      <c r="F68" s="47" t="s">
        <v>1820</v>
      </c>
      <c r="G68" s="52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21.75" customHeight="1">
      <c r="A69" s="48" t="s">
        <v>1821</v>
      </c>
      <c r="B69" s="49"/>
      <c r="C69" s="50"/>
      <c r="D69" s="45"/>
      <c r="E69" s="443"/>
      <c r="F69" s="51" t="s">
        <v>1822</v>
      </c>
      <c r="G69" s="52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21.75" customHeight="1">
      <c r="A70" s="53"/>
      <c r="B70" s="54"/>
      <c r="C70" s="55"/>
      <c r="D70" s="56"/>
      <c r="E70" s="444"/>
      <c r="F70" s="420" t="s">
        <v>1823</v>
      </c>
      <c r="G70" s="52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21.75" customHeight="1">
      <c r="A71" s="33" t="s">
        <v>1824</v>
      </c>
      <c r="B71" s="27"/>
      <c r="C71" s="34" t="s">
        <v>8</v>
      </c>
      <c r="D71" s="34" t="s">
        <v>9</v>
      </c>
      <c r="E71" s="440" t="s">
        <v>10</v>
      </c>
      <c r="F71" s="441" t="s">
        <v>11</v>
      </c>
      <c r="G71" s="52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21.75" customHeight="1">
      <c r="A72" s="36" t="s">
        <v>12</v>
      </c>
      <c r="B72" s="37"/>
      <c r="C72" s="38"/>
      <c r="D72" s="39"/>
      <c r="E72" s="442"/>
      <c r="F72" s="41" t="s">
        <v>13</v>
      </c>
      <c r="G72" s="52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21.75" customHeight="1">
      <c r="A73" s="42" t="s">
        <v>1825</v>
      </c>
      <c r="B73" s="43" t="s">
        <v>1826</v>
      </c>
      <c r="C73" s="44">
        <v>907.0</v>
      </c>
      <c r="D73" s="45">
        <v>25011.85</v>
      </c>
      <c r="E73" s="443">
        <v>26255.42</v>
      </c>
      <c r="F73" s="47" t="s">
        <v>1827</v>
      </c>
      <c r="G73" s="52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21.75" customHeight="1">
      <c r="A74" s="48" t="s">
        <v>1828</v>
      </c>
      <c r="B74" s="49"/>
      <c r="C74" s="50"/>
      <c r="D74" s="45"/>
      <c r="E74" s="443"/>
      <c r="F74" s="51" t="s">
        <v>1829</v>
      </c>
      <c r="G74" s="52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21.75" customHeight="1">
      <c r="A75" s="53"/>
      <c r="B75" s="54"/>
      <c r="C75" s="55"/>
      <c r="D75" s="56"/>
      <c r="E75" s="444"/>
      <c r="F75" s="420" t="s">
        <v>1830</v>
      </c>
      <c r="G75" s="52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21.75" customHeight="1">
      <c r="A76" s="33" t="s">
        <v>1831</v>
      </c>
      <c r="B76" s="27"/>
      <c r="C76" s="34" t="s">
        <v>8</v>
      </c>
      <c r="D76" s="34" t="s">
        <v>9</v>
      </c>
      <c r="E76" s="440" t="s">
        <v>10</v>
      </c>
      <c r="F76" s="441" t="s">
        <v>11</v>
      </c>
      <c r="G76" s="52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21.75" customHeight="1">
      <c r="A77" s="36" t="s">
        <v>12</v>
      </c>
      <c r="B77" s="37"/>
      <c r="C77" s="38"/>
      <c r="D77" s="39"/>
      <c r="E77" s="442"/>
      <c r="F77" s="41" t="s">
        <v>13</v>
      </c>
      <c r="G77" s="52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21.75" customHeight="1">
      <c r="A78" s="42" t="s">
        <v>1508</v>
      </c>
      <c r="B78" s="43" t="s">
        <v>15</v>
      </c>
      <c r="C78" s="44">
        <v>912.0</v>
      </c>
      <c r="D78" s="45">
        <v>25005.99</v>
      </c>
      <c r="E78" s="443">
        <v>26145.43</v>
      </c>
      <c r="F78" s="47" t="s">
        <v>1832</v>
      </c>
      <c r="G78" s="52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21.75" customHeight="1">
      <c r="A79" s="48" t="s">
        <v>1833</v>
      </c>
      <c r="B79" s="49"/>
      <c r="C79" s="50"/>
      <c r="D79" s="45"/>
      <c r="E79" s="443"/>
      <c r="F79" s="51" t="s">
        <v>1834</v>
      </c>
      <c r="G79" s="52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21.75" customHeight="1">
      <c r="A80" s="451"/>
      <c r="B80" s="445"/>
      <c r="C80" s="452"/>
      <c r="D80" s="453"/>
      <c r="E80" s="453"/>
      <c r="F80" s="420" t="s">
        <v>1835</v>
      </c>
      <c r="G80" s="52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21.75" customHeight="1">
      <c r="A81" s="33" t="s">
        <v>1836</v>
      </c>
      <c r="B81" s="27"/>
      <c r="C81" s="34" t="s">
        <v>8</v>
      </c>
      <c r="D81" s="34" t="s">
        <v>9</v>
      </c>
      <c r="E81" s="440" t="s">
        <v>10</v>
      </c>
      <c r="F81" s="441" t="s">
        <v>11</v>
      </c>
      <c r="G81" s="52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21.75" customHeight="1">
      <c r="A82" s="36" t="s">
        <v>12</v>
      </c>
      <c r="B82" s="37"/>
      <c r="C82" s="38"/>
      <c r="D82" s="39"/>
      <c r="E82" s="442"/>
      <c r="F82" s="41" t="s">
        <v>13</v>
      </c>
      <c r="G82" s="52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21.75" customHeight="1">
      <c r="A83" s="42" t="s">
        <v>1508</v>
      </c>
      <c r="B83" s="43" t="s">
        <v>15</v>
      </c>
      <c r="C83" s="44">
        <v>870.0</v>
      </c>
      <c r="D83" s="45">
        <v>25025.92</v>
      </c>
      <c r="E83" s="443">
        <v>26052.82</v>
      </c>
      <c r="F83" s="47" t="s">
        <v>1837</v>
      </c>
      <c r="G83" s="52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21.75" customHeight="1">
      <c r="A84" s="48" t="s">
        <v>1838</v>
      </c>
      <c r="B84" s="49"/>
      <c r="C84" s="50"/>
      <c r="D84" s="45"/>
      <c r="E84" s="443"/>
      <c r="F84" s="51" t="s">
        <v>1839</v>
      </c>
      <c r="G84" s="52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21.75" customHeight="1">
      <c r="A85" s="451"/>
      <c r="B85" s="445"/>
      <c r="C85" s="452"/>
      <c r="D85" s="453"/>
      <c r="E85" s="453"/>
      <c r="F85" s="420" t="s">
        <v>1840</v>
      </c>
      <c r="G85" s="52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21.75" customHeight="1">
      <c r="A86" s="33" t="s">
        <v>1841</v>
      </c>
      <c r="B86" s="27"/>
      <c r="C86" s="34" t="s">
        <v>8</v>
      </c>
      <c r="D86" s="34" t="s">
        <v>9</v>
      </c>
      <c r="E86" s="440" t="s">
        <v>10</v>
      </c>
      <c r="F86" s="441" t="s">
        <v>11</v>
      </c>
      <c r="G86" s="52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21.75" customHeight="1">
      <c r="A87" s="36" t="s">
        <v>12</v>
      </c>
      <c r="B87" s="37"/>
      <c r="C87" s="38"/>
      <c r="D87" s="39"/>
      <c r="E87" s="442"/>
      <c r="F87" s="41" t="s">
        <v>13</v>
      </c>
      <c r="G87" s="52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21.75" customHeight="1">
      <c r="A88" s="42" t="s">
        <v>1508</v>
      </c>
      <c r="B88" s="43" t="s">
        <v>15</v>
      </c>
      <c r="C88" s="44">
        <v>863.0</v>
      </c>
      <c r="D88" s="45">
        <v>25015.22</v>
      </c>
      <c r="E88" s="443">
        <v>26076.03</v>
      </c>
      <c r="F88" s="47" t="s">
        <v>1842</v>
      </c>
      <c r="G88" s="52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21.75" customHeight="1">
      <c r="A89" s="48" t="s">
        <v>1843</v>
      </c>
      <c r="B89" s="49"/>
      <c r="C89" s="50"/>
      <c r="D89" s="45"/>
      <c r="E89" s="443"/>
      <c r="F89" s="51" t="s">
        <v>1844</v>
      </c>
      <c r="G89" s="52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21.75" customHeight="1">
      <c r="A90" s="451"/>
      <c r="B90" s="445"/>
      <c r="C90" s="452"/>
      <c r="D90" s="453"/>
      <c r="E90" s="453"/>
      <c r="F90" s="420" t="s">
        <v>1845</v>
      </c>
      <c r="G90" s="52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21.75" customHeight="1">
      <c r="A91" s="33" t="s">
        <v>1846</v>
      </c>
      <c r="B91" s="27"/>
      <c r="C91" s="34" t="s">
        <v>8</v>
      </c>
      <c r="D91" s="34" t="s">
        <v>9</v>
      </c>
      <c r="E91" s="440" t="s">
        <v>10</v>
      </c>
      <c r="F91" s="441" t="s">
        <v>11</v>
      </c>
      <c r="G91" s="52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21.75" customHeight="1">
      <c r="A92" s="36" t="s">
        <v>12</v>
      </c>
      <c r="B92" s="37"/>
      <c r="C92" s="38"/>
      <c r="D92" s="39"/>
      <c r="E92" s="442"/>
      <c r="F92" s="41" t="s">
        <v>13</v>
      </c>
      <c r="G92" s="52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21.75" customHeight="1">
      <c r="A93" s="42" t="s">
        <v>1508</v>
      </c>
      <c r="B93" s="43" t="s">
        <v>15</v>
      </c>
      <c r="C93" s="44">
        <v>899.0</v>
      </c>
      <c r="D93" s="45">
        <v>25006.53</v>
      </c>
      <c r="E93" s="443">
        <v>26107.78</v>
      </c>
      <c r="F93" s="47" t="s">
        <v>1847</v>
      </c>
      <c r="G93" s="52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21.75" customHeight="1">
      <c r="A94" s="48" t="s">
        <v>1848</v>
      </c>
      <c r="B94" s="49"/>
      <c r="C94" s="50"/>
      <c r="D94" s="45"/>
      <c r="E94" s="443"/>
      <c r="F94" s="51" t="s">
        <v>1849</v>
      </c>
      <c r="G94" s="52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21.75" customHeight="1">
      <c r="A95" s="451"/>
      <c r="B95" s="445"/>
      <c r="C95" s="452"/>
      <c r="D95" s="453"/>
      <c r="E95" s="453"/>
      <c r="F95" s="420" t="s">
        <v>1850</v>
      </c>
      <c r="G95" s="52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21.75" customHeight="1">
      <c r="A96" s="33" t="s">
        <v>1851</v>
      </c>
      <c r="B96" s="27"/>
      <c r="C96" s="34" t="s">
        <v>8</v>
      </c>
      <c r="D96" s="34" t="s">
        <v>9</v>
      </c>
      <c r="E96" s="440" t="s">
        <v>10</v>
      </c>
      <c r="F96" s="441" t="s">
        <v>11</v>
      </c>
      <c r="G96" s="52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21.75" customHeight="1">
      <c r="A97" s="36" t="s">
        <v>12</v>
      </c>
      <c r="B97" s="37"/>
      <c r="C97" s="38"/>
      <c r="D97" s="39"/>
      <c r="E97" s="442"/>
      <c r="F97" s="41" t="s">
        <v>13</v>
      </c>
      <c r="G97" s="52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21.75" customHeight="1">
      <c r="A98" s="42" t="s">
        <v>1825</v>
      </c>
      <c r="B98" s="43" t="s">
        <v>1826</v>
      </c>
      <c r="C98" s="44">
        <v>914.0</v>
      </c>
      <c r="D98" s="45">
        <v>24991.82</v>
      </c>
      <c r="E98" s="443">
        <v>26351.8</v>
      </c>
      <c r="F98" s="47" t="s">
        <v>1852</v>
      </c>
      <c r="G98" s="52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21.75" customHeight="1">
      <c r="A99" s="48" t="s">
        <v>1853</v>
      </c>
      <c r="B99" s="49"/>
      <c r="C99" s="50"/>
      <c r="D99" s="45"/>
      <c r="E99" s="443"/>
      <c r="F99" s="51" t="s">
        <v>1854</v>
      </c>
      <c r="G99" s="52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21.75" customHeight="1">
      <c r="A100" s="451"/>
      <c r="B100" s="445"/>
      <c r="C100" s="452"/>
      <c r="D100" s="453"/>
      <c r="E100" s="453"/>
      <c r="F100" s="420" t="s">
        <v>1855</v>
      </c>
      <c r="G100" s="52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21.75" customHeight="1">
      <c r="A101" s="33" t="s">
        <v>1856</v>
      </c>
      <c r="B101" s="27"/>
      <c r="C101" s="34" t="s">
        <v>8</v>
      </c>
      <c r="D101" s="34" t="s">
        <v>9</v>
      </c>
      <c r="E101" s="440" t="s">
        <v>10</v>
      </c>
      <c r="F101" s="441" t="s">
        <v>11</v>
      </c>
      <c r="G101" s="52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21.75" customHeight="1">
      <c r="A102" s="36" t="s">
        <v>12</v>
      </c>
      <c r="B102" s="37"/>
      <c r="C102" s="38"/>
      <c r="D102" s="39"/>
      <c r="E102" s="442"/>
      <c r="F102" s="41" t="s">
        <v>13</v>
      </c>
      <c r="G102" s="52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21.75" customHeight="1">
      <c r="A103" s="42" t="s">
        <v>1508</v>
      </c>
      <c r="B103" s="43" t="s">
        <v>15</v>
      </c>
      <c r="C103" s="44">
        <v>912.0</v>
      </c>
      <c r="D103" s="45">
        <v>25010.33</v>
      </c>
      <c r="E103" s="443">
        <v>26383.85</v>
      </c>
      <c r="F103" s="47" t="s">
        <v>1857</v>
      </c>
      <c r="G103" s="52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21.75" customHeight="1">
      <c r="A104" s="48" t="s">
        <v>1858</v>
      </c>
      <c r="B104" s="49"/>
      <c r="C104" s="50"/>
      <c r="D104" s="45"/>
      <c r="E104" s="443"/>
      <c r="F104" s="51" t="s">
        <v>1859</v>
      </c>
      <c r="G104" s="52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21.75" customHeight="1">
      <c r="A105" s="451"/>
      <c r="B105" s="445"/>
      <c r="C105" s="452"/>
      <c r="D105" s="453"/>
      <c r="E105" s="453"/>
      <c r="F105" s="420" t="s">
        <v>1860</v>
      </c>
      <c r="G105" s="52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21.75" customHeight="1">
      <c r="A106" s="33" t="s">
        <v>1861</v>
      </c>
      <c r="B106" s="27"/>
      <c r="C106" s="34" t="s">
        <v>8</v>
      </c>
      <c r="D106" s="34" t="s">
        <v>9</v>
      </c>
      <c r="E106" s="440" t="s">
        <v>10</v>
      </c>
      <c r="F106" s="441" t="s">
        <v>11</v>
      </c>
      <c r="G106" s="52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21.75" customHeight="1">
      <c r="A107" s="36" t="s">
        <v>12</v>
      </c>
      <c r="B107" s="37"/>
      <c r="C107" s="38"/>
      <c r="D107" s="39"/>
      <c r="E107" s="442"/>
      <c r="F107" s="41" t="s">
        <v>13</v>
      </c>
      <c r="G107" s="52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21.75" customHeight="1">
      <c r="A108" s="42" t="s">
        <v>1508</v>
      </c>
      <c r="B108" s="43" t="s">
        <v>15</v>
      </c>
      <c r="C108" s="44">
        <v>922.0</v>
      </c>
      <c r="D108" s="45">
        <v>25013.88</v>
      </c>
      <c r="E108" s="443">
        <v>26284.18</v>
      </c>
      <c r="F108" s="47" t="s">
        <v>1862</v>
      </c>
      <c r="G108" s="52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21.75" customHeight="1">
      <c r="A109" s="48" t="s">
        <v>1863</v>
      </c>
      <c r="B109" s="49"/>
      <c r="C109" s="50"/>
      <c r="D109" s="45"/>
      <c r="E109" s="443"/>
      <c r="F109" s="51" t="s">
        <v>1864</v>
      </c>
      <c r="G109" s="52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21.75" customHeight="1">
      <c r="A110" s="451"/>
      <c r="B110" s="445"/>
      <c r="C110" s="452"/>
      <c r="D110" s="453"/>
      <c r="E110" s="453"/>
      <c r="F110" s="420" t="s">
        <v>1865</v>
      </c>
      <c r="G110" s="52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21.75" customHeight="1">
      <c r="A111" s="33" t="s">
        <v>1866</v>
      </c>
      <c r="B111" s="27"/>
      <c r="C111" s="34" t="s">
        <v>8</v>
      </c>
      <c r="D111" s="34" t="s">
        <v>9</v>
      </c>
      <c r="E111" s="440" t="s">
        <v>10</v>
      </c>
      <c r="F111" s="441" t="s">
        <v>11</v>
      </c>
      <c r="G111" s="52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21.75" customHeight="1">
      <c r="A112" s="36" t="s">
        <v>12</v>
      </c>
      <c r="B112" s="37"/>
      <c r="C112" s="38"/>
      <c r="D112" s="39"/>
      <c r="E112" s="442"/>
      <c r="F112" s="41" t="s">
        <v>13</v>
      </c>
      <c r="G112" s="52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21.75" customHeight="1">
      <c r="A113" s="42" t="s">
        <v>1508</v>
      </c>
      <c r="B113" s="43" t="s">
        <v>15</v>
      </c>
      <c r="C113" s="44">
        <v>898.0</v>
      </c>
      <c r="D113" s="45">
        <v>25009.09</v>
      </c>
      <c r="E113" s="443">
        <v>26140.35</v>
      </c>
      <c r="F113" s="47" t="s">
        <v>1867</v>
      </c>
      <c r="G113" s="52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21.75" customHeight="1">
      <c r="A114" s="48" t="s">
        <v>1868</v>
      </c>
      <c r="B114" s="49"/>
      <c r="C114" s="50"/>
      <c r="D114" s="45"/>
      <c r="E114" s="443"/>
      <c r="F114" s="51" t="s">
        <v>1869</v>
      </c>
      <c r="G114" s="52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21.75" customHeight="1">
      <c r="A115" s="451"/>
      <c r="B115" s="445"/>
      <c r="C115" s="452"/>
      <c r="D115" s="453"/>
      <c r="E115" s="453"/>
      <c r="F115" s="420" t="s">
        <v>1870</v>
      </c>
      <c r="G115" s="52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21.75" customHeight="1">
      <c r="A116" s="33" t="s">
        <v>1871</v>
      </c>
      <c r="B116" s="27"/>
      <c r="C116" s="34" t="s">
        <v>8</v>
      </c>
      <c r="D116" s="34" t="s">
        <v>9</v>
      </c>
      <c r="E116" s="440" t="s">
        <v>10</v>
      </c>
      <c r="F116" s="441" t="s">
        <v>11</v>
      </c>
      <c r="G116" s="52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21.75" customHeight="1">
      <c r="A117" s="36" t="s">
        <v>12</v>
      </c>
      <c r="B117" s="37"/>
      <c r="C117" s="38"/>
      <c r="D117" s="39"/>
      <c r="E117" s="442"/>
      <c r="F117" s="41" t="s">
        <v>13</v>
      </c>
      <c r="G117" s="52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21.75" customHeight="1">
      <c r="A118" s="42" t="s">
        <v>1508</v>
      </c>
      <c r="B118" s="43" t="s">
        <v>15</v>
      </c>
      <c r="C118" s="44">
        <v>888.0</v>
      </c>
      <c r="D118" s="45">
        <v>25002.63</v>
      </c>
      <c r="E118" s="443">
        <v>26055.19</v>
      </c>
      <c r="F118" s="47" t="s">
        <v>1872</v>
      </c>
      <c r="G118" s="52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21.75" customHeight="1">
      <c r="A119" s="48" t="s">
        <v>1873</v>
      </c>
      <c r="B119" s="49"/>
      <c r="C119" s="50"/>
      <c r="D119" s="45"/>
      <c r="E119" s="443"/>
      <c r="F119" s="51" t="s">
        <v>1874</v>
      </c>
      <c r="G119" s="52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21.75" customHeight="1">
      <c r="A120" s="451"/>
      <c r="B120" s="445"/>
      <c r="C120" s="452"/>
      <c r="D120" s="453"/>
      <c r="E120" s="453"/>
      <c r="F120" s="420" t="s">
        <v>1875</v>
      </c>
      <c r="G120" s="52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21.75" customHeight="1">
      <c r="A121" s="33" t="s">
        <v>1876</v>
      </c>
      <c r="B121" s="27"/>
      <c r="C121" s="34" t="s">
        <v>8</v>
      </c>
      <c r="D121" s="34" t="s">
        <v>9</v>
      </c>
      <c r="E121" s="440" t="s">
        <v>10</v>
      </c>
      <c r="F121" s="441" t="s">
        <v>11</v>
      </c>
      <c r="G121" s="52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21.75" customHeight="1">
      <c r="A122" s="36" t="s">
        <v>12</v>
      </c>
      <c r="B122" s="37"/>
      <c r="C122" s="38"/>
      <c r="D122" s="39"/>
      <c r="E122" s="442"/>
      <c r="F122" s="41" t="s">
        <v>13</v>
      </c>
      <c r="G122" s="52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21.75" customHeight="1">
      <c r="A123" s="42" t="s">
        <v>1508</v>
      </c>
      <c r="B123" s="43" t="s">
        <v>15</v>
      </c>
      <c r="C123" s="44">
        <v>890.0</v>
      </c>
      <c r="D123" s="45">
        <v>25013.04</v>
      </c>
      <c r="E123" s="443">
        <v>26178.39</v>
      </c>
      <c r="F123" s="47" t="s">
        <v>1877</v>
      </c>
      <c r="G123" s="52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21.75" customHeight="1">
      <c r="A124" s="48" t="s">
        <v>1878</v>
      </c>
      <c r="B124" s="49"/>
      <c r="C124" s="50"/>
      <c r="D124" s="45"/>
      <c r="E124" s="443"/>
      <c r="F124" s="51" t="s">
        <v>1879</v>
      </c>
      <c r="G124" s="52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21.75" customHeight="1">
      <c r="A125" s="451"/>
      <c r="B125" s="445"/>
      <c r="C125" s="452"/>
      <c r="D125" s="453"/>
      <c r="E125" s="453"/>
      <c r="F125" s="420" t="s">
        <v>1880</v>
      </c>
      <c r="G125" s="52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21.75" customHeight="1">
      <c r="A126" s="33" t="s">
        <v>1881</v>
      </c>
      <c r="B126" s="27"/>
      <c r="C126" s="34" t="s">
        <v>8</v>
      </c>
      <c r="D126" s="34" t="s">
        <v>9</v>
      </c>
      <c r="E126" s="440" t="s">
        <v>10</v>
      </c>
      <c r="F126" s="441" t="s">
        <v>11</v>
      </c>
      <c r="G126" s="52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21.75" customHeight="1">
      <c r="A127" s="36" t="s">
        <v>12</v>
      </c>
      <c r="B127" s="37"/>
      <c r="C127" s="38"/>
      <c r="D127" s="39"/>
      <c r="E127" s="442"/>
      <c r="F127" s="41" t="s">
        <v>13</v>
      </c>
      <c r="G127" s="52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21.75" customHeight="1">
      <c r="A128" s="42" t="s">
        <v>1508</v>
      </c>
      <c r="B128" s="43" t="s">
        <v>15</v>
      </c>
      <c r="C128" s="44">
        <v>918.0</v>
      </c>
      <c r="D128" s="45">
        <v>25005.93</v>
      </c>
      <c r="E128" s="443">
        <v>26224.59</v>
      </c>
      <c r="F128" s="47" t="s">
        <v>1882</v>
      </c>
      <c r="G128" s="52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21.75" customHeight="1">
      <c r="A129" s="48" t="s">
        <v>1883</v>
      </c>
      <c r="B129" s="49"/>
      <c r="C129" s="50"/>
      <c r="D129" s="45"/>
      <c r="E129" s="443"/>
      <c r="F129" s="51" t="s">
        <v>1884</v>
      </c>
      <c r="G129" s="52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21.75" customHeight="1">
      <c r="A130" s="451"/>
      <c r="B130" s="445"/>
      <c r="C130" s="452"/>
      <c r="D130" s="453"/>
      <c r="E130" s="453"/>
      <c r="F130" s="420" t="s">
        <v>1885</v>
      </c>
      <c r="G130" s="52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21.75" customHeight="1">
      <c r="A131" s="33" t="s">
        <v>1886</v>
      </c>
      <c r="B131" s="27"/>
      <c r="C131" s="34" t="s">
        <v>8</v>
      </c>
      <c r="D131" s="34" t="s">
        <v>9</v>
      </c>
      <c r="E131" s="440" t="s">
        <v>10</v>
      </c>
      <c r="F131" s="441" t="s">
        <v>11</v>
      </c>
      <c r="G131" s="52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21.75" customHeight="1">
      <c r="A132" s="36" t="s">
        <v>12</v>
      </c>
      <c r="B132" s="37"/>
      <c r="C132" s="38"/>
      <c r="D132" s="39"/>
      <c r="E132" s="442"/>
      <c r="F132" s="41" t="s">
        <v>13</v>
      </c>
      <c r="G132" s="52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21.75" customHeight="1">
      <c r="A133" s="42" t="s">
        <v>1508</v>
      </c>
      <c r="B133" s="43" t="s">
        <v>15</v>
      </c>
      <c r="C133" s="44">
        <v>922.0</v>
      </c>
      <c r="D133" s="45">
        <v>25134.62</v>
      </c>
      <c r="E133" s="443">
        <v>26396.84</v>
      </c>
      <c r="F133" s="47" t="s">
        <v>1887</v>
      </c>
      <c r="G133" s="52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21.75" customHeight="1">
      <c r="A134" s="455" t="s">
        <v>1888</v>
      </c>
      <c r="B134" s="49"/>
      <c r="C134" s="50"/>
      <c r="D134" s="45"/>
      <c r="E134" s="443"/>
      <c r="F134" s="51" t="s">
        <v>1889</v>
      </c>
      <c r="G134" s="52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21.75" customHeight="1">
      <c r="A135" s="451"/>
      <c r="B135" s="445"/>
      <c r="C135" s="452"/>
      <c r="D135" s="453"/>
      <c r="E135" s="453"/>
      <c r="F135" s="420" t="s">
        <v>1890</v>
      </c>
      <c r="G135" s="52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21.75" customHeight="1">
      <c r="A136" s="33" t="s">
        <v>1891</v>
      </c>
      <c r="B136" s="27"/>
      <c r="C136" s="34" t="s">
        <v>8</v>
      </c>
      <c r="D136" s="34" t="s">
        <v>9</v>
      </c>
      <c r="E136" s="440" t="s">
        <v>10</v>
      </c>
      <c r="F136" s="441" t="s">
        <v>11</v>
      </c>
      <c r="G136" s="52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21.75" customHeight="1">
      <c r="A137" s="36" t="s">
        <v>12</v>
      </c>
      <c r="B137" s="37"/>
      <c r="C137" s="38"/>
      <c r="D137" s="39"/>
      <c r="E137" s="442"/>
      <c r="F137" s="41" t="s">
        <v>13</v>
      </c>
      <c r="G137" s="52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21.75" customHeight="1">
      <c r="A138" s="42" t="s">
        <v>1508</v>
      </c>
      <c r="B138" s="43" t="s">
        <v>15</v>
      </c>
      <c r="C138" s="44">
        <v>897.0</v>
      </c>
      <c r="D138" s="45">
        <v>25014.45</v>
      </c>
      <c r="E138" s="443">
        <v>26228.83</v>
      </c>
      <c r="F138" s="47" t="s">
        <v>1892</v>
      </c>
      <c r="G138" s="52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21.75" customHeight="1">
      <c r="A139" s="48" t="s">
        <v>1893</v>
      </c>
      <c r="B139" s="49"/>
      <c r="C139" s="50"/>
      <c r="D139" s="45"/>
      <c r="E139" s="443"/>
      <c r="F139" s="51" t="s">
        <v>1894</v>
      </c>
      <c r="G139" s="52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21.75" customHeight="1">
      <c r="A140" s="451"/>
      <c r="B140" s="445"/>
      <c r="C140" s="452"/>
      <c r="D140" s="453"/>
      <c r="E140" s="453"/>
      <c r="F140" s="420" t="s">
        <v>1895</v>
      </c>
      <c r="G140" s="52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21.75" customHeight="1">
      <c r="A141" s="33" t="s">
        <v>1896</v>
      </c>
      <c r="B141" s="27"/>
      <c r="C141" s="34" t="s">
        <v>8</v>
      </c>
      <c r="D141" s="34" t="s">
        <v>9</v>
      </c>
      <c r="E141" s="440" t="s">
        <v>10</v>
      </c>
      <c r="F141" s="441" t="s">
        <v>11</v>
      </c>
      <c r="G141" s="52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21.75" customHeight="1">
      <c r="A142" s="36" t="s">
        <v>12</v>
      </c>
      <c r="B142" s="37"/>
      <c r="C142" s="38"/>
      <c r="D142" s="39"/>
      <c r="E142" s="442"/>
      <c r="F142" s="41" t="s">
        <v>13</v>
      </c>
      <c r="G142" s="52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21.75" customHeight="1">
      <c r="A143" s="42" t="s">
        <v>1508</v>
      </c>
      <c r="B143" s="43" t="s">
        <v>15</v>
      </c>
      <c r="C143" s="44">
        <v>867.0</v>
      </c>
      <c r="D143" s="45">
        <v>25000.02</v>
      </c>
      <c r="E143" s="443">
        <v>26074.31</v>
      </c>
      <c r="F143" s="47" t="s">
        <v>1897</v>
      </c>
      <c r="G143" s="52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21.75" customHeight="1">
      <c r="A144" s="48" t="s">
        <v>1898</v>
      </c>
      <c r="B144" s="49"/>
      <c r="C144" s="50"/>
      <c r="D144" s="45"/>
      <c r="E144" s="443"/>
      <c r="F144" s="51" t="s">
        <v>1899</v>
      </c>
      <c r="G144" s="52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21.75" customHeight="1">
      <c r="A145" s="451"/>
      <c r="B145" s="445"/>
      <c r="C145" s="452"/>
      <c r="D145" s="453"/>
      <c r="E145" s="453"/>
      <c r="F145" s="420" t="s">
        <v>1900</v>
      </c>
      <c r="G145" s="52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21.75" customHeight="1">
      <c r="A146" s="33" t="s">
        <v>1901</v>
      </c>
      <c r="B146" s="27"/>
      <c r="C146" s="34" t="s">
        <v>8</v>
      </c>
      <c r="D146" s="34" t="s">
        <v>9</v>
      </c>
      <c r="E146" s="440" t="s">
        <v>10</v>
      </c>
      <c r="F146" s="441" t="s">
        <v>11</v>
      </c>
      <c r="G146" s="52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21.75" customHeight="1">
      <c r="A147" s="36" t="s">
        <v>12</v>
      </c>
      <c r="B147" s="37"/>
      <c r="C147" s="38"/>
      <c r="D147" s="39"/>
      <c r="E147" s="442"/>
      <c r="F147" s="41" t="s">
        <v>13</v>
      </c>
      <c r="G147" s="52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21.75" customHeight="1">
      <c r="A148" s="42" t="s">
        <v>1508</v>
      </c>
      <c r="B148" s="43" t="s">
        <v>15</v>
      </c>
      <c r="C148" s="44">
        <v>928.0</v>
      </c>
      <c r="D148" s="45">
        <v>25009.78</v>
      </c>
      <c r="E148" s="443">
        <v>26187.14</v>
      </c>
      <c r="F148" s="47" t="s">
        <v>1902</v>
      </c>
      <c r="G148" s="52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21.75" customHeight="1">
      <c r="A149" s="48" t="s">
        <v>1903</v>
      </c>
      <c r="B149" s="49"/>
      <c r="C149" s="50"/>
      <c r="D149" s="45"/>
      <c r="E149" s="443"/>
      <c r="F149" s="51" t="s">
        <v>1904</v>
      </c>
      <c r="G149" s="52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21.75" customHeight="1">
      <c r="A150" s="451"/>
      <c r="B150" s="445"/>
      <c r="C150" s="452"/>
      <c r="D150" s="453"/>
      <c r="E150" s="453"/>
      <c r="F150" s="420" t="s">
        <v>1905</v>
      </c>
      <c r="G150" s="52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21.75" customHeight="1">
      <c r="A151" s="33" t="s">
        <v>1906</v>
      </c>
      <c r="B151" s="27"/>
      <c r="C151" s="34" t="s">
        <v>8</v>
      </c>
      <c r="D151" s="34" t="s">
        <v>9</v>
      </c>
      <c r="E151" s="440" t="s">
        <v>10</v>
      </c>
      <c r="F151" s="441" t="s">
        <v>11</v>
      </c>
      <c r="G151" s="52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21.75" customHeight="1">
      <c r="A152" s="36" t="s">
        <v>12</v>
      </c>
      <c r="B152" s="37"/>
      <c r="C152" s="38"/>
      <c r="D152" s="39"/>
      <c r="E152" s="442"/>
      <c r="F152" s="41" t="s">
        <v>13</v>
      </c>
      <c r="G152" s="52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21.75" customHeight="1">
      <c r="A153" s="42" t="s">
        <v>1573</v>
      </c>
      <c r="B153" s="43" t="s">
        <v>1907</v>
      </c>
      <c r="C153" s="44">
        <v>1024.0</v>
      </c>
      <c r="D153" s="45">
        <v>24993.48</v>
      </c>
      <c r="E153" s="443">
        <v>26343.88</v>
      </c>
      <c r="F153" s="47" t="s">
        <v>1908</v>
      </c>
      <c r="G153" s="52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21.75" customHeight="1">
      <c r="A154" s="48" t="s">
        <v>1909</v>
      </c>
      <c r="B154" s="49"/>
      <c r="C154" s="50"/>
      <c r="D154" s="45"/>
      <c r="E154" s="443"/>
      <c r="F154" s="51" t="s">
        <v>1910</v>
      </c>
      <c r="G154" s="52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21.75" customHeight="1">
      <c r="A155" s="451"/>
      <c r="B155" s="445"/>
      <c r="C155" s="452"/>
      <c r="D155" s="453"/>
      <c r="E155" s="453"/>
      <c r="F155" s="420" t="s">
        <v>1911</v>
      </c>
      <c r="G155" s="52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21.75" customHeight="1">
      <c r="A156" s="33" t="s">
        <v>1912</v>
      </c>
      <c r="B156" s="27"/>
      <c r="C156" s="34" t="s">
        <v>8</v>
      </c>
      <c r="D156" s="34" t="s">
        <v>9</v>
      </c>
      <c r="E156" s="440" t="s">
        <v>10</v>
      </c>
      <c r="F156" s="441" t="s">
        <v>11</v>
      </c>
      <c r="G156" s="52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21.75" customHeight="1">
      <c r="A157" s="36" t="s">
        <v>12</v>
      </c>
      <c r="B157" s="37"/>
      <c r="C157" s="38"/>
      <c r="D157" s="39"/>
      <c r="E157" s="442"/>
      <c r="F157" s="41" t="s">
        <v>13</v>
      </c>
      <c r="G157" s="52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21.75" customHeight="1">
      <c r="A158" s="42" t="s">
        <v>1573</v>
      </c>
      <c r="B158" s="43" t="s">
        <v>1333</v>
      </c>
      <c r="C158" s="44">
        <v>942.0</v>
      </c>
      <c r="D158" s="45">
        <v>25020.85</v>
      </c>
      <c r="E158" s="443">
        <v>26120.39</v>
      </c>
      <c r="F158" s="47" t="s">
        <v>1913</v>
      </c>
      <c r="G158" s="52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21.75" customHeight="1">
      <c r="A159" s="48" t="s">
        <v>1914</v>
      </c>
      <c r="B159" s="49"/>
      <c r="C159" s="50"/>
      <c r="D159" s="45"/>
      <c r="E159" s="443"/>
      <c r="F159" s="51" t="s">
        <v>1915</v>
      </c>
      <c r="G159" s="52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21.75" customHeight="1">
      <c r="A160" s="451"/>
      <c r="B160" s="445"/>
      <c r="C160" s="452"/>
      <c r="D160" s="453"/>
      <c r="E160" s="453"/>
      <c r="F160" s="420" t="s">
        <v>1916</v>
      </c>
      <c r="G160" s="52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25.5" customHeight="1">
      <c r="A161" s="33" t="s">
        <v>1917</v>
      </c>
      <c r="B161" s="27"/>
      <c r="C161" s="34" t="s">
        <v>8</v>
      </c>
      <c r="D161" s="34" t="s">
        <v>9</v>
      </c>
      <c r="E161" s="440" t="s">
        <v>10</v>
      </c>
      <c r="F161" s="441" t="s">
        <v>11</v>
      </c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8.75" customHeight="1">
      <c r="A162" s="36" t="s">
        <v>12</v>
      </c>
      <c r="B162" s="37"/>
      <c r="C162" s="38"/>
      <c r="D162" s="39"/>
      <c r="E162" s="442"/>
      <c r="F162" s="41" t="s">
        <v>13</v>
      </c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24.0" customHeight="1">
      <c r="A163" s="42" t="s">
        <v>1573</v>
      </c>
      <c r="B163" s="43" t="s">
        <v>1333</v>
      </c>
      <c r="C163" s="44">
        <v>1025.0</v>
      </c>
      <c r="D163" s="45">
        <v>25005.87</v>
      </c>
      <c r="E163" s="443">
        <v>26307.12</v>
      </c>
      <c r="F163" s="47" t="s">
        <v>1918</v>
      </c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9.5" customHeight="1">
      <c r="A164" s="48" t="s">
        <v>1919</v>
      </c>
      <c r="B164" s="49"/>
      <c r="C164" s="50"/>
      <c r="D164" s="45"/>
      <c r="E164" s="443"/>
      <c r="F164" s="51" t="s">
        <v>1920</v>
      </c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9.5" customHeight="1">
      <c r="A165" s="451"/>
      <c r="B165" s="445"/>
      <c r="C165" s="452"/>
      <c r="D165" s="453"/>
      <c r="E165" s="453"/>
      <c r="F165" s="420" t="s">
        <v>1921</v>
      </c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25.5" customHeight="1">
      <c r="A166" s="33" t="s">
        <v>1922</v>
      </c>
      <c r="B166" s="27"/>
      <c r="C166" s="34" t="s">
        <v>8</v>
      </c>
      <c r="D166" s="34" t="s">
        <v>9</v>
      </c>
      <c r="E166" s="440" t="s">
        <v>10</v>
      </c>
      <c r="F166" s="441" t="s">
        <v>11</v>
      </c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8.75" customHeight="1">
      <c r="A167" s="36" t="s">
        <v>12</v>
      </c>
      <c r="B167" s="37"/>
      <c r="C167" s="38"/>
      <c r="D167" s="39"/>
      <c r="E167" s="442"/>
      <c r="F167" s="41" t="s">
        <v>13</v>
      </c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24.0" customHeight="1">
      <c r="A168" s="42" t="s">
        <v>1573</v>
      </c>
      <c r="B168" s="43" t="s">
        <v>1333</v>
      </c>
      <c r="C168" s="44">
        <v>935.0</v>
      </c>
      <c r="D168" s="45">
        <v>25007.91</v>
      </c>
      <c r="E168" s="443">
        <v>26131.36</v>
      </c>
      <c r="F168" s="47" t="s">
        <v>1923</v>
      </c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9.5" customHeight="1">
      <c r="A169" s="48"/>
      <c r="B169" s="49"/>
      <c r="C169" s="50"/>
      <c r="D169" s="45"/>
      <c r="E169" s="443"/>
      <c r="F169" s="51" t="s">
        <v>1924</v>
      </c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9.5" customHeight="1">
      <c r="A170" s="48" t="s">
        <v>1925</v>
      </c>
      <c r="B170" s="49"/>
      <c r="C170" s="50"/>
      <c r="D170" s="45"/>
      <c r="E170" s="443"/>
      <c r="F170" s="51" t="s">
        <v>1926</v>
      </c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22.5" customHeight="1">
      <c r="A171" s="33" t="s">
        <v>1927</v>
      </c>
      <c r="B171" s="27"/>
      <c r="C171" s="34" t="s">
        <v>8</v>
      </c>
      <c r="D171" s="34" t="s">
        <v>9</v>
      </c>
      <c r="E171" s="440" t="s">
        <v>10</v>
      </c>
      <c r="F171" s="441" t="s">
        <v>11</v>
      </c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36" t="s">
        <v>12</v>
      </c>
      <c r="B172" s="37"/>
      <c r="C172" s="38"/>
      <c r="D172" s="39"/>
      <c r="E172" s="442"/>
      <c r="F172" s="41" t="s">
        <v>13</v>
      </c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2" t="s">
        <v>1508</v>
      </c>
      <c r="B173" s="43" t="s">
        <v>15</v>
      </c>
      <c r="C173" s="44">
        <v>900.0</v>
      </c>
      <c r="D173" s="45">
        <v>24595.04</v>
      </c>
      <c r="E173" s="443">
        <v>25888.07</v>
      </c>
      <c r="F173" s="47" t="s">
        <v>1928</v>
      </c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75" customHeight="1">
      <c r="A174" s="48" t="s">
        <v>1929</v>
      </c>
      <c r="B174" s="49"/>
      <c r="C174" s="50"/>
      <c r="D174" s="45"/>
      <c r="E174" s="443"/>
      <c r="F174" s="51" t="s">
        <v>1930</v>
      </c>
      <c r="G174" s="52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75" customHeight="1">
      <c r="A175" s="48"/>
      <c r="B175" s="175"/>
      <c r="C175" s="456"/>
      <c r="D175" s="457"/>
      <c r="E175" s="458"/>
      <c r="F175" s="357"/>
      <c r="G175" s="52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75" customHeight="1">
      <c r="A176" s="459" t="s">
        <v>1931</v>
      </c>
      <c r="B176" s="460"/>
      <c r="C176" s="55"/>
      <c r="D176" s="56"/>
      <c r="E176" s="444"/>
      <c r="F176" s="420" t="s">
        <v>1932</v>
      </c>
      <c r="G176" s="52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75" customHeight="1">
      <c r="A177" s="89"/>
      <c r="B177" s="90"/>
      <c r="C177" s="91" t="s">
        <v>292</v>
      </c>
      <c r="D177" s="92" t="s">
        <v>292</v>
      </c>
      <c r="E177" s="93" t="s">
        <v>292</v>
      </c>
      <c r="F177" s="9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75" customHeight="1">
      <c r="A178" s="95"/>
      <c r="B178" s="96"/>
      <c r="C178" s="97">
        <f t="shared" ref="C178:E178" si="1">SUM(C12:C176)</f>
        <v>30049</v>
      </c>
      <c r="D178" s="98">
        <f t="shared" si="1"/>
        <v>825003.88</v>
      </c>
      <c r="E178" s="98">
        <f t="shared" si="1"/>
        <v>863812.02</v>
      </c>
      <c r="F178" s="100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75" customHeight="1">
      <c r="A179" s="4"/>
      <c r="B179" s="101"/>
      <c r="C179" s="4"/>
      <c r="D179" s="102"/>
      <c r="E179" s="103"/>
      <c r="F179" s="10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75" customHeight="1">
      <c r="A180" s="4"/>
      <c r="B180" s="101"/>
      <c r="C180" s="4"/>
      <c r="D180" s="102"/>
      <c r="E180" s="103"/>
      <c r="F180" s="10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75" customHeight="1">
      <c r="A181" s="4"/>
      <c r="B181" s="101"/>
      <c r="C181" s="4"/>
      <c r="D181" s="102"/>
      <c r="E181" s="103"/>
      <c r="F181" s="10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75" customHeight="1">
      <c r="A182" s="4"/>
      <c r="B182" s="101"/>
      <c r="C182" s="4"/>
      <c r="D182" s="102"/>
      <c r="E182" s="103"/>
      <c r="F182" s="10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75" customHeight="1">
      <c r="A183" s="4"/>
      <c r="B183" s="101"/>
      <c r="C183" s="4"/>
      <c r="D183" s="102"/>
      <c r="E183" s="103"/>
      <c r="F183" s="10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75" customHeight="1">
      <c r="A184" s="4"/>
      <c r="B184" s="101"/>
      <c r="C184" s="4"/>
      <c r="D184" s="102"/>
      <c r="E184" s="103"/>
      <c r="F184" s="10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75" customHeight="1">
      <c r="A185" s="4"/>
      <c r="B185" s="101"/>
      <c r="C185" s="4"/>
      <c r="D185" s="102"/>
      <c r="E185" s="103"/>
      <c r="F185" s="10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75" customHeight="1">
      <c r="A186" s="4"/>
      <c r="B186" s="101"/>
      <c r="C186" s="4"/>
      <c r="D186" s="102"/>
      <c r="E186" s="103"/>
      <c r="F186" s="10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75" customHeight="1">
      <c r="A187" s="4"/>
      <c r="B187" s="101"/>
      <c r="C187" s="4"/>
      <c r="D187" s="102"/>
      <c r="E187" s="103"/>
      <c r="F187" s="10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75" customHeight="1">
      <c r="A188" s="4"/>
      <c r="B188" s="101"/>
      <c r="C188" s="4"/>
      <c r="D188" s="102"/>
      <c r="E188" s="103"/>
      <c r="F188" s="10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75" customHeight="1">
      <c r="A189" s="4"/>
      <c r="B189" s="101"/>
      <c r="C189" s="4"/>
      <c r="D189" s="102"/>
      <c r="E189" s="103"/>
      <c r="F189" s="10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75" customHeight="1">
      <c r="A190" s="4"/>
      <c r="B190" s="101"/>
      <c r="C190" s="4"/>
      <c r="D190" s="102"/>
      <c r="E190" s="103"/>
      <c r="F190" s="10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75" customHeight="1">
      <c r="A191" s="4"/>
      <c r="B191" s="101"/>
      <c r="C191" s="4"/>
      <c r="D191" s="102"/>
      <c r="E191" s="103"/>
      <c r="F191" s="10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75" customHeight="1">
      <c r="A192" s="4"/>
      <c r="B192" s="101"/>
      <c r="C192" s="4"/>
      <c r="D192" s="102"/>
      <c r="E192" s="103"/>
      <c r="F192" s="10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75" customHeight="1">
      <c r="A193" s="4"/>
      <c r="B193" s="101"/>
      <c r="C193" s="4"/>
      <c r="D193" s="102"/>
      <c r="E193" s="103"/>
      <c r="F193" s="10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75" customHeight="1">
      <c r="A194" s="4"/>
      <c r="B194" s="101"/>
      <c r="C194" s="4"/>
      <c r="D194" s="102"/>
      <c r="E194" s="103"/>
      <c r="F194" s="10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75" customHeight="1">
      <c r="A195" s="4"/>
      <c r="B195" s="101"/>
      <c r="C195" s="4"/>
      <c r="D195" s="102"/>
      <c r="E195" s="103"/>
      <c r="F195" s="10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75" customHeight="1">
      <c r="A196" s="4"/>
      <c r="B196" s="101"/>
      <c r="C196" s="4"/>
      <c r="D196" s="102"/>
      <c r="E196" s="103"/>
      <c r="F196" s="10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75" customHeight="1">
      <c r="A197" s="4"/>
      <c r="B197" s="101"/>
      <c r="C197" s="4"/>
      <c r="D197" s="102"/>
      <c r="E197" s="103"/>
      <c r="F197" s="10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75" customHeight="1">
      <c r="A198" s="4"/>
      <c r="B198" s="101"/>
      <c r="C198" s="4"/>
      <c r="D198" s="102"/>
      <c r="E198" s="103"/>
      <c r="F198" s="10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75" customHeight="1">
      <c r="A199" s="4"/>
      <c r="B199" s="101"/>
      <c r="C199" s="4"/>
      <c r="D199" s="102"/>
      <c r="E199" s="103"/>
      <c r="F199" s="10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75" customHeight="1">
      <c r="A200" s="4"/>
      <c r="B200" s="101"/>
      <c r="C200" s="4"/>
      <c r="D200" s="102"/>
      <c r="E200" s="103"/>
      <c r="F200" s="10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75" customHeight="1">
      <c r="A201" s="4"/>
      <c r="B201" s="101"/>
      <c r="C201" s="4"/>
      <c r="D201" s="102"/>
      <c r="E201" s="103"/>
      <c r="F201" s="10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.75" customHeight="1">
      <c r="A202" s="4"/>
      <c r="B202" s="101"/>
      <c r="C202" s="4"/>
      <c r="D202" s="102"/>
      <c r="E202" s="103"/>
      <c r="F202" s="10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75" customHeight="1">
      <c r="A203" s="4"/>
      <c r="B203" s="101"/>
      <c r="C203" s="4"/>
      <c r="D203" s="102"/>
      <c r="E203" s="103"/>
      <c r="F203" s="10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75" customHeight="1">
      <c r="A204" s="4"/>
      <c r="B204" s="101"/>
      <c r="C204" s="4"/>
      <c r="D204" s="102"/>
      <c r="E204" s="103"/>
      <c r="F204" s="10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75" customHeight="1">
      <c r="A205" s="4"/>
      <c r="B205" s="101"/>
      <c r="C205" s="4"/>
      <c r="D205" s="102"/>
      <c r="E205" s="103"/>
      <c r="F205" s="10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75" customHeight="1">
      <c r="A206" s="4"/>
      <c r="B206" s="101"/>
      <c r="C206" s="4"/>
      <c r="D206" s="102"/>
      <c r="E206" s="103"/>
      <c r="F206" s="10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75" customHeight="1">
      <c r="A207" s="4"/>
      <c r="B207" s="101"/>
      <c r="C207" s="4"/>
      <c r="D207" s="102"/>
      <c r="E207" s="103"/>
      <c r="F207" s="10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75" customHeight="1">
      <c r="A208" s="4"/>
      <c r="B208" s="101"/>
      <c r="C208" s="4"/>
      <c r="D208" s="102"/>
      <c r="E208" s="103"/>
      <c r="F208" s="10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75" customHeight="1">
      <c r="A209" s="4"/>
      <c r="B209" s="101"/>
      <c r="C209" s="4"/>
      <c r="D209" s="102"/>
      <c r="E209" s="103"/>
      <c r="F209" s="10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75" customHeight="1">
      <c r="A210" s="4"/>
      <c r="B210" s="101"/>
      <c r="C210" s="4"/>
      <c r="D210" s="102"/>
      <c r="E210" s="103"/>
      <c r="F210" s="10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.75" customHeight="1">
      <c r="A211" s="4"/>
      <c r="B211" s="101"/>
      <c r="C211" s="4"/>
      <c r="D211" s="102"/>
      <c r="E211" s="103"/>
      <c r="F211" s="10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75" customHeight="1">
      <c r="A212" s="4"/>
      <c r="B212" s="101"/>
      <c r="C212" s="4"/>
      <c r="D212" s="102"/>
      <c r="E212" s="103"/>
      <c r="F212" s="10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75" customHeight="1">
      <c r="A213" s="4"/>
      <c r="B213" s="101"/>
      <c r="C213" s="4"/>
      <c r="D213" s="102"/>
      <c r="E213" s="103"/>
      <c r="F213" s="10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75" customHeight="1">
      <c r="A214" s="4"/>
      <c r="B214" s="101"/>
      <c r="C214" s="4"/>
      <c r="D214" s="102"/>
      <c r="E214" s="103"/>
      <c r="F214" s="10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75" customHeight="1">
      <c r="A215" s="4"/>
      <c r="B215" s="101"/>
      <c r="C215" s="4"/>
      <c r="D215" s="102"/>
      <c r="E215" s="103"/>
      <c r="F215" s="10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75" customHeight="1">
      <c r="A216" s="4"/>
      <c r="B216" s="101"/>
      <c r="C216" s="4"/>
      <c r="D216" s="102"/>
      <c r="E216" s="103"/>
      <c r="F216" s="10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75" customHeight="1">
      <c r="A217" s="4"/>
      <c r="B217" s="101"/>
      <c r="C217" s="4"/>
      <c r="D217" s="102"/>
      <c r="E217" s="103"/>
      <c r="F217" s="10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75" customHeight="1">
      <c r="A218" s="4"/>
      <c r="B218" s="101"/>
      <c r="C218" s="4"/>
      <c r="D218" s="102"/>
      <c r="E218" s="103"/>
      <c r="F218" s="10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75" customHeight="1">
      <c r="A219" s="4"/>
      <c r="B219" s="101"/>
      <c r="C219" s="4"/>
      <c r="D219" s="102"/>
      <c r="E219" s="103"/>
      <c r="F219" s="10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75" customHeight="1">
      <c r="A220" s="4"/>
      <c r="B220" s="101"/>
      <c r="C220" s="4"/>
      <c r="D220" s="102"/>
      <c r="E220" s="103"/>
      <c r="F220" s="10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2.75" customHeight="1">
      <c r="A221" s="4"/>
      <c r="B221" s="101"/>
      <c r="C221" s="4"/>
      <c r="D221" s="102"/>
      <c r="E221" s="103"/>
      <c r="F221" s="10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2.75" customHeight="1">
      <c r="A222" s="4"/>
      <c r="B222" s="101"/>
      <c r="C222" s="4"/>
      <c r="D222" s="102"/>
      <c r="E222" s="103"/>
      <c r="F222" s="10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2.75" customHeight="1">
      <c r="A223" s="4"/>
      <c r="B223" s="101"/>
      <c r="C223" s="4"/>
      <c r="D223" s="102"/>
      <c r="E223" s="103"/>
      <c r="F223" s="10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2.75" customHeight="1">
      <c r="A224" s="4"/>
      <c r="B224" s="101"/>
      <c r="C224" s="4"/>
      <c r="D224" s="102"/>
      <c r="E224" s="103"/>
      <c r="F224" s="10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2.75" customHeight="1">
      <c r="A225" s="4"/>
      <c r="B225" s="101"/>
      <c r="C225" s="4"/>
      <c r="D225" s="102"/>
      <c r="E225" s="103"/>
      <c r="F225" s="10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2.75" customHeight="1">
      <c r="A226" s="4"/>
      <c r="B226" s="101"/>
      <c r="C226" s="4"/>
      <c r="D226" s="102"/>
      <c r="E226" s="103"/>
      <c r="F226" s="10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2.75" customHeight="1">
      <c r="A227" s="4"/>
      <c r="B227" s="101"/>
      <c r="C227" s="4"/>
      <c r="D227" s="102"/>
      <c r="E227" s="103"/>
      <c r="F227" s="10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2.75" customHeight="1">
      <c r="A228" s="4"/>
      <c r="B228" s="101"/>
      <c r="C228" s="4"/>
      <c r="D228" s="102"/>
      <c r="E228" s="103"/>
      <c r="F228" s="10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2.75" customHeight="1">
      <c r="A229" s="4"/>
      <c r="B229" s="101"/>
      <c r="C229" s="4"/>
      <c r="D229" s="102"/>
      <c r="E229" s="103"/>
      <c r="F229" s="10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2.75" customHeight="1">
      <c r="A230" s="4"/>
      <c r="B230" s="101"/>
      <c r="C230" s="4"/>
      <c r="D230" s="102"/>
      <c r="E230" s="103"/>
      <c r="F230" s="10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2.75" customHeight="1">
      <c r="A231" s="4"/>
      <c r="B231" s="101"/>
      <c r="C231" s="4"/>
      <c r="D231" s="102"/>
      <c r="E231" s="103"/>
      <c r="F231" s="10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2.75" customHeight="1">
      <c r="A232" s="4"/>
      <c r="B232" s="101"/>
      <c r="C232" s="4"/>
      <c r="D232" s="102"/>
      <c r="E232" s="103"/>
      <c r="F232" s="10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2.75" customHeight="1">
      <c r="A233" s="4"/>
      <c r="B233" s="101"/>
      <c r="C233" s="4"/>
      <c r="D233" s="102"/>
      <c r="E233" s="103"/>
      <c r="F233" s="10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2.75" customHeight="1">
      <c r="A234" s="4"/>
      <c r="B234" s="101"/>
      <c r="C234" s="4"/>
      <c r="D234" s="102"/>
      <c r="E234" s="103"/>
      <c r="F234" s="10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2.75" customHeight="1">
      <c r="A235" s="4"/>
      <c r="B235" s="101"/>
      <c r="C235" s="4"/>
      <c r="D235" s="102"/>
      <c r="E235" s="103"/>
      <c r="F235" s="10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2.75" customHeight="1">
      <c r="A236" s="4"/>
      <c r="B236" s="101"/>
      <c r="C236" s="4"/>
      <c r="D236" s="102"/>
      <c r="E236" s="103"/>
      <c r="F236" s="10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2.75" customHeight="1">
      <c r="A237" s="4"/>
      <c r="B237" s="101"/>
      <c r="C237" s="4"/>
      <c r="D237" s="102"/>
      <c r="E237" s="103"/>
      <c r="F237" s="10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2.75" customHeight="1">
      <c r="A238" s="4"/>
      <c r="B238" s="101"/>
      <c r="C238" s="4"/>
      <c r="D238" s="102"/>
      <c r="E238" s="103"/>
      <c r="F238" s="10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2.75" customHeight="1">
      <c r="A239" s="4"/>
      <c r="B239" s="101"/>
      <c r="C239" s="4"/>
      <c r="D239" s="102"/>
      <c r="E239" s="103"/>
      <c r="F239" s="10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2.75" customHeight="1">
      <c r="A240" s="4"/>
      <c r="B240" s="101"/>
      <c r="C240" s="4"/>
      <c r="D240" s="102"/>
      <c r="E240" s="103"/>
      <c r="F240" s="10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2.75" customHeight="1">
      <c r="A241" s="4"/>
      <c r="B241" s="101"/>
      <c r="C241" s="4"/>
      <c r="D241" s="102"/>
      <c r="E241" s="103"/>
      <c r="F241" s="10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2.75" customHeight="1">
      <c r="A242" s="4"/>
      <c r="B242" s="101"/>
      <c r="C242" s="4"/>
      <c r="D242" s="102"/>
      <c r="E242" s="103"/>
      <c r="F242" s="10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2.75" customHeight="1">
      <c r="A243" s="4"/>
      <c r="B243" s="101"/>
      <c r="C243" s="4"/>
      <c r="D243" s="102"/>
      <c r="E243" s="103"/>
      <c r="F243" s="10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2.75" customHeight="1">
      <c r="A244" s="4"/>
      <c r="B244" s="101"/>
      <c r="C244" s="4"/>
      <c r="D244" s="102"/>
      <c r="E244" s="103"/>
      <c r="F244" s="10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2.75" customHeight="1">
      <c r="A245" s="4"/>
      <c r="B245" s="101"/>
      <c r="C245" s="4"/>
      <c r="D245" s="102"/>
      <c r="E245" s="103"/>
      <c r="F245" s="10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2.75" customHeight="1">
      <c r="A246" s="4"/>
      <c r="B246" s="101"/>
      <c r="C246" s="4"/>
      <c r="D246" s="102"/>
      <c r="E246" s="103"/>
      <c r="F246" s="10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2.75" customHeight="1">
      <c r="A247" s="4"/>
      <c r="B247" s="101"/>
      <c r="C247" s="4"/>
      <c r="D247" s="102"/>
      <c r="E247" s="103"/>
      <c r="F247" s="10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2.75" customHeight="1">
      <c r="A248" s="4"/>
      <c r="B248" s="101"/>
      <c r="C248" s="4"/>
      <c r="D248" s="102"/>
      <c r="E248" s="103"/>
      <c r="F248" s="10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2.75" customHeight="1">
      <c r="A249" s="4"/>
      <c r="B249" s="101"/>
      <c r="C249" s="4"/>
      <c r="D249" s="102"/>
      <c r="E249" s="103"/>
      <c r="F249" s="10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2.75" customHeight="1">
      <c r="A250" s="4"/>
      <c r="B250" s="101"/>
      <c r="C250" s="4"/>
      <c r="D250" s="102"/>
      <c r="E250" s="103"/>
      <c r="F250" s="10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2.75" customHeight="1">
      <c r="A251" s="4"/>
      <c r="B251" s="101"/>
      <c r="C251" s="4"/>
      <c r="D251" s="102"/>
      <c r="E251" s="103"/>
      <c r="F251" s="10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2.75" customHeight="1">
      <c r="A252" s="4"/>
      <c r="B252" s="101"/>
      <c r="C252" s="4"/>
      <c r="D252" s="102"/>
      <c r="E252" s="103"/>
      <c r="F252" s="10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2.75" customHeight="1">
      <c r="A253" s="4"/>
      <c r="B253" s="101"/>
      <c r="C253" s="4"/>
      <c r="D253" s="102"/>
      <c r="E253" s="103"/>
      <c r="F253" s="10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2.75" customHeight="1">
      <c r="A254" s="4"/>
      <c r="B254" s="101"/>
      <c r="C254" s="4"/>
      <c r="D254" s="102"/>
      <c r="E254" s="103"/>
      <c r="F254" s="10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2.75" customHeight="1">
      <c r="A255" s="4"/>
      <c r="B255" s="101"/>
      <c r="C255" s="4"/>
      <c r="D255" s="102"/>
      <c r="E255" s="103"/>
      <c r="F255" s="10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2.75" customHeight="1">
      <c r="A256" s="4"/>
      <c r="B256" s="101"/>
      <c r="C256" s="4"/>
      <c r="D256" s="102"/>
      <c r="E256" s="103"/>
      <c r="F256" s="10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2.75" customHeight="1">
      <c r="A257" s="4"/>
      <c r="B257" s="101"/>
      <c r="C257" s="4"/>
      <c r="D257" s="102"/>
      <c r="E257" s="103"/>
      <c r="F257" s="10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2.75" customHeight="1">
      <c r="A258" s="4"/>
      <c r="B258" s="101"/>
      <c r="C258" s="4"/>
      <c r="D258" s="102"/>
      <c r="E258" s="103"/>
      <c r="F258" s="10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2.75" customHeight="1">
      <c r="A259" s="4"/>
      <c r="B259" s="101"/>
      <c r="C259" s="4"/>
      <c r="D259" s="102"/>
      <c r="E259" s="103"/>
      <c r="F259" s="10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2.75" customHeight="1">
      <c r="A260" s="4"/>
      <c r="B260" s="101"/>
      <c r="C260" s="4"/>
      <c r="D260" s="102"/>
      <c r="E260" s="103"/>
      <c r="F260" s="10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2.75" customHeight="1">
      <c r="A261" s="4"/>
      <c r="B261" s="101"/>
      <c r="C261" s="4"/>
      <c r="D261" s="102"/>
      <c r="E261" s="103"/>
      <c r="F261" s="10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2.75" customHeight="1">
      <c r="A262" s="4"/>
      <c r="B262" s="101"/>
      <c r="C262" s="4"/>
      <c r="D262" s="102"/>
      <c r="E262" s="103"/>
      <c r="F262" s="10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2.75" customHeight="1">
      <c r="A263" s="4"/>
      <c r="B263" s="101"/>
      <c r="C263" s="4"/>
      <c r="D263" s="102"/>
      <c r="E263" s="103"/>
      <c r="F263" s="10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2.75" customHeight="1">
      <c r="A264" s="4"/>
      <c r="B264" s="101"/>
      <c r="C264" s="4"/>
      <c r="D264" s="102"/>
      <c r="E264" s="103"/>
      <c r="F264" s="10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2.75" customHeight="1">
      <c r="A265" s="4"/>
      <c r="B265" s="101"/>
      <c r="C265" s="4"/>
      <c r="D265" s="102"/>
      <c r="E265" s="103"/>
      <c r="F265" s="10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2.75" customHeight="1">
      <c r="A266" s="4"/>
      <c r="B266" s="101"/>
      <c r="C266" s="4"/>
      <c r="D266" s="102"/>
      <c r="E266" s="103"/>
      <c r="F266" s="10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2.75" customHeight="1">
      <c r="A267" s="4"/>
      <c r="B267" s="101"/>
      <c r="C267" s="4"/>
      <c r="D267" s="102"/>
      <c r="E267" s="103"/>
      <c r="F267" s="10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2.75" customHeight="1">
      <c r="A268" s="4"/>
      <c r="B268" s="101"/>
      <c r="C268" s="4"/>
      <c r="D268" s="102"/>
      <c r="E268" s="103"/>
      <c r="F268" s="10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2.75" customHeight="1">
      <c r="A269" s="4"/>
      <c r="B269" s="101"/>
      <c r="C269" s="4"/>
      <c r="D269" s="102"/>
      <c r="E269" s="103"/>
      <c r="F269" s="10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2.75" customHeight="1">
      <c r="A270" s="4"/>
      <c r="B270" s="101"/>
      <c r="C270" s="4"/>
      <c r="D270" s="102"/>
      <c r="E270" s="103"/>
      <c r="F270" s="10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2.75" customHeight="1">
      <c r="A271" s="4"/>
      <c r="B271" s="101"/>
      <c r="C271" s="4"/>
      <c r="D271" s="102"/>
      <c r="E271" s="103"/>
      <c r="F271" s="10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2.75" customHeight="1">
      <c r="A272" s="4"/>
      <c r="B272" s="101"/>
      <c r="C272" s="4"/>
      <c r="D272" s="102"/>
      <c r="E272" s="103"/>
      <c r="F272" s="10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2.75" customHeight="1">
      <c r="A273" s="4"/>
      <c r="B273" s="101"/>
      <c r="C273" s="4"/>
      <c r="D273" s="102"/>
      <c r="E273" s="103"/>
      <c r="F273" s="10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2.75" customHeight="1">
      <c r="A274" s="4"/>
      <c r="B274" s="101"/>
      <c r="C274" s="4"/>
      <c r="D274" s="102"/>
      <c r="E274" s="103"/>
      <c r="F274" s="10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2.75" customHeight="1">
      <c r="A275" s="4"/>
      <c r="B275" s="101"/>
      <c r="C275" s="4"/>
      <c r="D275" s="102"/>
      <c r="E275" s="103"/>
      <c r="F275" s="10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2.75" customHeight="1">
      <c r="A276" s="4"/>
      <c r="B276" s="101"/>
      <c r="C276" s="4"/>
      <c r="D276" s="102"/>
      <c r="E276" s="103"/>
      <c r="F276" s="10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2.75" customHeight="1">
      <c r="A277" s="4"/>
      <c r="B277" s="101"/>
      <c r="C277" s="4"/>
      <c r="D277" s="102"/>
      <c r="E277" s="103"/>
      <c r="F277" s="10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2.75" customHeight="1">
      <c r="A278" s="4"/>
      <c r="B278" s="101"/>
      <c r="C278" s="4"/>
      <c r="D278" s="102"/>
      <c r="E278" s="103"/>
      <c r="F278" s="10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2.75" customHeight="1">
      <c r="A279" s="4"/>
      <c r="B279" s="101"/>
      <c r="C279" s="4"/>
      <c r="D279" s="102"/>
      <c r="E279" s="103"/>
      <c r="F279" s="10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2.75" customHeight="1">
      <c r="A280" s="4"/>
      <c r="B280" s="101"/>
      <c r="C280" s="4"/>
      <c r="D280" s="102"/>
      <c r="E280" s="103"/>
      <c r="F280" s="10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2.75" customHeight="1">
      <c r="A281" s="4"/>
      <c r="B281" s="101"/>
      <c r="C281" s="4"/>
      <c r="D281" s="102"/>
      <c r="E281" s="103"/>
      <c r="F281" s="10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2.75" customHeight="1">
      <c r="A282" s="4"/>
      <c r="B282" s="101"/>
      <c r="C282" s="4"/>
      <c r="D282" s="102"/>
      <c r="E282" s="103"/>
      <c r="F282" s="10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2.75" customHeight="1">
      <c r="A283" s="4"/>
      <c r="B283" s="101"/>
      <c r="C283" s="4"/>
      <c r="D283" s="102"/>
      <c r="E283" s="103"/>
      <c r="F283" s="10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2.75" customHeight="1">
      <c r="A284" s="4"/>
      <c r="B284" s="101"/>
      <c r="C284" s="4"/>
      <c r="D284" s="102"/>
      <c r="E284" s="103"/>
      <c r="F284" s="10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2.75" customHeight="1">
      <c r="A285" s="4"/>
      <c r="B285" s="101"/>
      <c r="C285" s="4"/>
      <c r="D285" s="102"/>
      <c r="E285" s="103"/>
      <c r="F285" s="10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2.75" customHeight="1">
      <c r="A286" s="4"/>
      <c r="B286" s="101"/>
      <c r="C286" s="4"/>
      <c r="D286" s="102"/>
      <c r="E286" s="103"/>
      <c r="F286" s="10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2.75" customHeight="1">
      <c r="A287" s="4"/>
      <c r="B287" s="101"/>
      <c r="C287" s="4"/>
      <c r="D287" s="102"/>
      <c r="E287" s="103"/>
      <c r="F287" s="10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2.75" customHeight="1">
      <c r="A288" s="4"/>
      <c r="B288" s="101"/>
      <c r="C288" s="4"/>
      <c r="D288" s="102"/>
      <c r="E288" s="103"/>
      <c r="F288" s="10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2.75" customHeight="1">
      <c r="A289" s="4"/>
      <c r="B289" s="101"/>
      <c r="C289" s="4"/>
      <c r="D289" s="102"/>
      <c r="E289" s="103"/>
      <c r="F289" s="10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2.75" customHeight="1">
      <c r="A290" s="4"/>
      <c r="B290" s="101"/>
      <c r="C290" s="4"/>
      <c r="D290" s="102"/>
      <c r="E290" s="103"/>
      <c r="F290" s="10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2.75" customHeight="1">
      <c r="A291" s="4"/>
      <c r="B291" s="101"/>
      <c r="C291" s="4"/>
      <c r="D291" s="102"/>
      <c r="E291" s="103"/>
      <c r="F291" s="10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2.75" customHeight="1">
      <c r="A292" s="4"/>
      <c r="B292" s="101"/>
      <c r="C292" s="4"/>
      <c r="D292" s="102"/>
      <c r="E292" s="103"/>
      <c r="F292" s="10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2.75" customHeight="1">
      <c r="A293" s="4"/>
      <c r="B293" s="101"/>
      <c r="C293" s="4"/>
      <c r="D293" s="102"/>
      <c r="E293" s="103"/>
      <c r="F293" s="10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2.75" customHeight="1">
      <c r="A294" s="4"/>
      <c r="B294" s="101"/>
      <c r="C294" s="4"/>
      <c r="D294" s="102"/>
      <c r="E294" s="103"/>
      <c r="F294" s="10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2.75" customHeight="1">
      <c r="A295" s="4"/>
      <c r="B295" s="101"/>
      <c r="C295" s="4"/>
      <c r="D295" s="102"/>
      <c r="E295" s="103"/>
      <c r="F295" s="10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2.75" customHeight="1">
      <c r="A296" s="4"/>
      <c r="B296" s="101"/>
      <c r="C296" s="4"/>
      <c r="D296" s="102"/>
      <c r="E296" s="103"/>
      <c r="F296" s="10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2.75" customHeight="1">
      <c r="A297" s="4"/>
      <c r="B297" s="101"/>
      <c r="C297" s="4"/>
      <c r="D297" s="102"/>
      <c r="E297" s="103"/>
      <c r="F297" s="10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2.75" customHeight="1">
      <c r="A298" s="4"/>
      <c r="B298" s="101"/>
      <c r="C298" s="4"/>
      <c r="D298" s="102"/>
      <c r="E298" s="103"/>
      <c r="F298" s="10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2.75" customHeight="1">
      <c r="A299" s="4"/>
      <c r="B299" s="101"/>
      <c r="C299" s="4"/>
      <c r="D299" s="102"/>
      <c r="E299" s="103"/>
      <c r="F299" s="10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2.75" customHeight="1">
      <c r="A300" s="4"/>
      <c r="B300" s="101"/>
      <c r="C300" s="4"/>
      <c r="D300" s="102"/>
      <c r="E300" s="103"/>
      <c r="F300" s="10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2.75" customHeight="1">
      <c r="A301" s="4"/>
      <c r="B301" s="101"/>
      <c r="C301" s="4"/>
      <c r="D301" s="102"/>
      <c r="E301" s="103"/>
      <c r="F301" s="10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2.75" customHeight="1">
      <c r="A302" s="4"/>
      <c r="B302" s="101"/>
      <c r="C302" s="4"/>
      <c r="D302" s="102"/>
      <c r="E302" s="103"/>
      <c r="F302" s="10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2.75" customHeight="1">
      <c r="A303" s="4"/>
      <c r="B303" s="101"/>
      <c r="C303" s="4"/>
      <c r="D303" s="102"/>
      <c r="E303" s="103"/>
      <c r="F303" s="10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2.75" customHeight="1">
      <c r="A304" s="4"/>
      <c r="B304" s="101"/>
      <c r="C304" s="4"/>
      <c r="D304" s="102"/>
      <c r="E304" s="103"/>
      <c r="F304" s="10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2.75" customHeight="1">
      <c r="A305" s="4"/>
      <c r="B305" s="101"/>
      <c r="C305" s="4"/>
      <c r="D305" s="102"/>
      <c r="E305" s="103"/>
      <c r="F305" s="10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2.75" customHeight="1">
      <c r="A306" s="4"/>
      <c r="B306" s="101"/>
      <c r="C306" s="4"/>
      <c r="D306" s="102"/>
      <c r="E306" s="103"/>
      <c r="F306" s="10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2.75" customHeight="1">
      <c r="A307" s="4"/>
      <c r="B307" s="101"/>
      <c r="C307" s="4"/>
      <c r="D307" s="102"/>
      <c r="E307" s="103"/>
      <c r="F307" s="10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2.75" customHeight="1">
      <c r="A308" s="4"/>
      <c r="B308" s="101"/>
      <c r="C308" s="4"/>
      <c r="D308" s="102"/>
      <c r="E308" s="103"/>
      <c r="F308" s="10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2.75" customHeight="1">
      <c r="A309" s="4"/>
      <c r="B309" s="101"/>
      <c r="C309" s="4"/>
      <c r="D309" s="102"/>
      <c r="E309" s="103"/>
      <c r="F309" s="10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2.75" customHeight="1">
      <c r="A310" s="4"/>
      <c r="B310" s="101"/>
      <c r="C310" s="4"/>
      <c r="D310" s="102"/>
      <c r="E310" s="103"/>
      <c r="F310" s="10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2.75" customHeight="1">
      <c r="A311" s="4"/>
      <c r="B311" s="101"/>
      <c r="C311" s="4"/>
      <c r="D311" s="102"/>
      <c r="E311" s="103"/>
      <c r="F311" s="10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2.75" customHeight="1">
      <c r="A312" s="4"/>
      <c r="B312" s="101"/>
      <c r="C312" s="4"/>
      <c r="D312" s="102"/>
      <c r="E312" s="103"/>
      <c r="F312" s="10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2.75" customHeight="1">
      <c r="A313" s="4"/>
      <c r="B313" s="101"/>
      <c r="C313" s="4"/>
      <c r="D313" s="102"/>
      <c r="E313" s="103"/>
      <c r="F313" s="10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2.75" customHeight="1">
      <c r="A314" s="4"/>
      <c r="B314" s="101"/>
      <c r="C314" s="4"/>
      <c r="D314" s="102"/>
      <c r="E314" s="103"/>
      <c r="F314" s="10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2.75" customHeight="1">
      <c r="A315" s="4"/>
      <c r="B315" s="101"/>
      <c r="C315" s="4"/>
      <c r="D315" s="102"/>
      <c r="E315" s="103"/>
      <c r="F315" s="10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2.75" customHeight="1">
      <c r="A316" s="4"/>
      <c r="B316" s="101"/>
      <c r="C316" s="4"/>
      <c r="D316" s="102"/>
      <c r="E316" s="103"/>
      <c r="F316" s="10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2.75" customHeight="1">
      <c r="A317" s="4"/>
      <c r="B317" s="101"/>
      <c r="C317" s="4"/>
      <c r="D317" s="102"/>
      <c r="E317" s="103"/>
      <c r="F317" s="10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2.75" customHeight="1">
      <c r="A318" s="4"/>
      <c r="B318" s="101"/>
      <c r="C318" s="4"/>
      <c r="D318" s="102"/>
      <c r="E318" s="103"/>
      <c r="F318" s="10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2.75" customHeight="1">
      <c r="A319" s="4"/>
      <c r="B319" s="101"/>
      <c r="C319" s="4"/>
      <c r="D319" s="102"/>
      <c r="E319" s="103"/>
      <c r="F319" s="10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2.75" customHeight="1">
      <c r="A320" s="4"/>
      <c r="B320" s="101"/>
      <c r="C320" s="4"/>
      <c r="D320" s="102"/>
      <c r="E320" s="103"/>
      <c r="F320" s="10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2.75" customHeight="1">
      <c r="A321" s="4"/>
      <c r="B321" s="101"/>
      <c r="C321" s="4"/>
      <c r="D321" s="102"/>
      <c r="E321" s="103"/>
      <c r="F321" s="10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2.75" customHeight="1">
      <c r="A322" s="4"/>
      <c r="B322" s="101"/>
      <c r="C322" s="4"/>
      <c r="D322" s="102"/>
      <c r="E322" s="103"/>
      <c r="F322" s="10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2.75" customHeight="1">
      <c r="A323" s="4"/>
      <c r="B323" s="101"/>
      <c r="C323" s="4"/>
      <c r="D323" s="102"/>
      <c r="E323" s="103"/>
      <c r="F323" s="10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2.75" customHeight="1">
      <c r="A324" s="4"/>
      <c r="B324" s="101"/>
      <c r="C324" s="4"/>
      <c r="D324" s="102"/>
      <c r="E324" s="103"/>
      <c r="F324" s="10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2.75" customHeight="1">
      <c r="A325" s="4"/>
      <c r="B325" s="101"/>
      <c r="C325" s="4"/>
      <c r="D325" s="102"/>
      <c r="E325" s="103"/>
      <c r="F325" s="10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2.75" customHeight="1">
      <c r="A326" s="4"/>
      <c r="B326" s="101"/>
      <c r="C326" s="4"/>
      <c r="D326" s="102"/>
      <c r="E326" s="103"/>
      <c r="F326" s="10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2.75" customHeight="1">
      <c r="A327" s="4"/>
      <c r="B327" s="101"/>
      <c r="C327" s="4"/>
      <c r="D327" s="102"/>
      <c r="E327" s="103"/>
      <c r="F327" s="10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2.75" customHeight="1">
      <c r="A328" s="4"/>
      <c r="B328" s="101"/>
      <c r="C328" s="4"/>
      <c r="D328" s="102"/>
      <c r="E328" s="103"/>
      <c r="F328" s="10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2.75" customHeight="1">
      <c r="A329" s="4"/>
      <c r="B329" s="101"/>
      <c r="C329" s="4"/>
      <c r="D329" s="102"/>
      <c r="E329" s="103"/>
      <c r="F329" s="10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2.75" customHeight="1">
      <c r="A330" s="4"/>
      <c r="B330" s="101"/>
      <c r="C330" s="4"/>
      <c r="D330" s="102"/>
      <c r="E330" s="103"/>
      <c r="F330" s="10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2.75" customHeight="1">
      <c r="A331" s="4"/>
      <c r="B331" s="101"/>
      <c r="C331" s="4"/>
      <c r="D331" s="102"/>
      <c r="E331" s="103"/>
      <c r="F331" s="10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2.75" customHeight="1">
      <c r="A332" s="4"/>
      <c r="B332" s="101"/>
      <c r="C332" s="4"/>
      <c r="D332" s="102"/>
      <c r="E332" s="103"/>
      <c r="F332" s="10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2.75" customHeight="1">
      <c r="A333" s="4"/>
      <c r="B333" s="101"/>
      <c r="C333" s="4"/>
      <c r="D333" s="102"/>
      <c r="E333" s="103"/>
      <c r="F333" s="10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2.75" customHeight="1">
      <c r="A334" s="4"/>
      <c r="B334" s="101"/>
      <c r="C334" s="4"/>
      <c r="D334" s="102"/>
      <c r="E334" s="103"/>
      <c r="F334" s="10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2.75" customHeight="1">
      <c r="A335" s="4"/>
      <c r="B335" s="101"/>
      <c r="C335" s="4"/>
      <c r="D335" s="102"/>
      <c r="E335" s="103"/>
      <c r="F335" s="10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2.75" customHeight="1">
      <c r="A336" s="4"/>
      <c r="B336" s="101"/>
      <c r="C336" s="4"/>
      <c r="D336" s="102"/>
      <c r="E336" s="103"/>
      <c r="F336" s="10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2.75" customHeight="1">
      <c r="A337" s="4"/>
      <c r="B337" s="101"/>
      <c r="C337" s="4"/>
      <c r="D337" s="102"/>
      <c r="E337" s="103"/>
      <c r="F337" s="10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2.75" customHeight="1">
      <c r="A338" s="4"/>
      <c r="B338" s="101"/>
      <c r="C338" s="4"/>
      <c r="D338" s="102"/>
      <c r="E338" s="103"/>
      <c r="F338" s="10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2.75" customHeight="1">
      <c r="A339" s="4"/>
      <c r="B339" s="101"/>
      <c r="C339" s="4"/>
      <c r="D339" s="102"/>
      <c r="E339" s="103"/>
      <c r="F339" s="10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2.75" customHeight="1">
      <c r="A340" s="4"/>
      <c r="B340" s="101"/>
      <c r="C340" s="4"/>
      <c r="D340" s="102"/>
      <c r="E340" s="103"/>
      <c r="F340" s="10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2.75" customHeight="1">
      <c r="A341" s="4"/>
      <c r="B341" s="101"/>
      <c r="C341" s="4"/>
      <c r="D341" s="102"/>
      <c r="E341" s="103"/>
      <c r="F341" s="10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2.75" customHeight="1">
      <c r="A342" s="4"/>
      <c r="B342" s="101"/>
      <c r="C342" s="4"/>
      <c r="D342" s="102"/>
      <c r="E342" s="103"/>
      <c r="F342" s="10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2.75" customHeight="1">
      <c r="A343" s="4"/>
      <c r="B343" s="101"/>
      <c r="C343" s="4"/>
      <c r="D343" s="102"/>
      <c r="E343" s="103"/>
      <c r="F343" s="10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2.75" customHeight="1">
      <c r="A344" s="4"/>
      <c r="B344" s="101"/>
      <c r="C344" s="4"/>
      <c r="D344" s="102"/>
      <c r="E344" s="103"/>
      <c r="F344" s="10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2.75" customHeight="1">
      <c r="A345" s="4"/>
      <c r="B345" s="101"/>
      <c r="C345" s="4"/>
      <c r="D345" s="102"/>
      <c r="E345" s="103"/>
      <c r="F345" s="10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2.75" customHeight="1">
      <c r="A346" s="4"/>
      <c r="B346" s="101"/>
      <c r="C346" s="4"/>
      <c r="D346" s="102"/>
      <c r="E346" s="103"/>
      <c r="F346" s="10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2.75" customHeight="1">
      <c r="A347" s="4"/>
      <c r="B347" s="101"/>
      <c r="C347" s="4"/>
      <c r="D347" s="102"/>
      <c r="E347" s="103"/>
      <c r="F347" s="10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2.75" customHeight="1">
      <c r="A348" s="4"/>
      <c r="B348" s="101"/>
      <c r="C348" s="4"/>
      <c r="D348" s="102"/>
      <c r="E348" s="103"/>
      <c r="F348" s="10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2.75" customHeight="1">
      <c r="A349" s="4"/>
      <c r="B349" s="101"/>
      <c r="C349" s="4"/>
      <c r="D349" s="102"/>
      <c r="E349" s="103"/>
      <c r="F349" s="10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2.75" customHeight="1">
      <c r="A350" s="4"/>
      <c r="B350" s="101"/>
      <c r="C350" s="4"/>
      <c r="D350" s="102"/>
      <c r="E350" s="103"/>
      <c r="F350" s="10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2.75" customHeight="1">
      <c r="A351" s="4"/>
      <c r="B351" s="101"/>
      <c r="C351" s="4"/>
      <c r="D351" s="102"/>
      <c r="E351" s="103"/>
      <c r="F351" s="10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2.75" customHeight="1">
      <c r="A352" s="4"/>
      <c r="B352" s="101"/>
      <c r="C352" s="4"/>
      <c r="D352" s="102"/>
      <c r="E352" s="103"/>
      <c r="F352" s="10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2.75" customHeight="1">
      <c r="A353" s="4"/>
      <c r="B353" s="101"/>
      <c r="C353" s="4"/>
      <c r="D353" s="102"/>
      <c r="E353" s="103"/>
      <c r="F353" s="10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2.75" customHeight="1">
      <c r="A354" s="4"/>
      <c r="B354" s="101"/>
      <c r="C354" s="4"/>
      <c r="D354" s="102"/>
      <c r="E354" s="103"/>
      <c r="F354" s="10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2.75" customHeight="1">
      <c r="A355" s="4"/>
      <c r="B355" s="101"/>
      <c r="C355" s="4"/>
      <c r="D355" s="102"/>
      <c r="E355" s="103"/>
      <c r="F355" s="10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2.75" customHeight="1">
      <c r="A356" s="4"/>
      <c r="B356" s="101"/>
      <c r="C356" s="4"/>
      <c r="D356" s="102"/>
      <c r="E356" s="103"/>
      <c r="F356" s="10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2.75" customHeight="1">
      <c r="A357" s="4"/>
      <c r="B357" s="101"/>
      <c r="C357" s="4"/>
      <c r="D357" s="102"/>
      <c r="E357" s="103"/>
      <c r="F357" s="10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2.75" customHeight="1">
      <c r="A358" s="4"/>
      <c r="B358" s="101"/>
      <c r="C358" s="4"/>
      <c r="D358" s="102"/>
      <c r="E358" s="103"/>
      <c r="F358" s="10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2.75" customHeight="1">
      <c r="A359" s="4"/>
      <c r="B359" s="101"/>
      <c r="C359" s="4"/>
      <c r="D359" s="102"/>
      <c r="E359" s="103"/>
      <c r="F359" s="10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2.75" customHeight="1">
      <c r="A360" s="4"/>
      <c r="B360" s="101"/>
      <c r="C360" s="4"/>
      <c r="D360" s="102"/>
      <c r="E360" s="103"/>
      <c r="F360" s="10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2.75" customHeight="1">
      <c r="A361" s="4"/>
      <c r="B361" s="101"/>
      <c r="C361" s="4"/>
      <c r="D361" s="102"/>
      <c r="E361" s="103"/>
      <c r="F361" s="10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2.75" customHeight="1">
      <c r="A362" s="4"/>
      <c r="B362" s="101"/>
      <c r="C362" s="4"/>
      <c r="D362" s="102"/>
      <c r="E362" s="103"/>
      <c r="F362" s="10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2.75" customHeight="1">
      <c r="A363" s="4"/>
      <c r="B363" s="101"/>
      <c r="C363" s="4"/>
      <c r="D363" s="102"/>
      <c r="E363" s="103"/>
      <c r="F363" s="10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2.75" customHeight="1">
      <c r="A364" s="4"/>
      <c r="B364" s="101"/>
      <c r="C364" s="4"/>
      <c r="D364" s="102"/>
      <c r="E364" s="103"/>
      <c r="F364" s="10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2.75" customHeight="1">
      <c r="A365" s="4"/>
      <c r="B365" s="101"/>
      <c r="C365" s="4"/>
      <c r="D365" s="102"/>
      <c r="E365" s="103"/>
      <c r="F365" s="10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2.75" customHeight="1">
      <c r="A366" s="4"/>
      <c r="B366" s="101"/>
      <c r="C366" s="4"/>
      <c r="D366" s="102"/>
      <c r="E366" s="103"/>
      <c r="F366" s="10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2.75" customHeight="1">
      <c r="A367" s="4"/>
      <c r="B367" s="101"/>
      <c r="C367" s="4"/>
      <c r="D367" s="102"/>
      <c r="E367" s="103"/>
      <c r="F367" s="10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2.75" customHeight="1">
      <c r="A368" s="4"/>
      <c r="B368" s="101"/>
      <c r="C368" s="4"/>
      <c r="D368" s="102"/>
      <c r="E368" s="103"/>
      <c r="F368" s="10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2.75" customHeight="1">
      <c r="A369" s="4"/>
      <c r="B369" s="101"/>
      <c r="C369" s="4"/>
      <c r="D369" s="102"/>
      <c r="E369" s="103"/>
      <c r="F369" s="10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2.75" customHeight="1">
      <c r="A370" s="4"/>
      <c r="B370" s="101"/>
      <c r="C370" s="4"/>
      <c r="D370" s="102"/>
      <c r="E370" s="103"/>
      <c r="F370" s="10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2.75" customHeight="1">
      <c r="A371" s="4"/>
      <c r="B371" s="101"/>
      <c r="C371" s="4"/>
      <c r="D371" s="102"/>
      <c r="E371" s="103"/>
      <c r="F371" s="10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2.75" customHeight="1">
      <c r="A372" s="4"/>
      <c r="B372" s="101"/>
      <c r="C372" s="4"/>
      <c r="D372" s="102"/>
      <c r="E372" s="103"/>
      <c r="F372" s="10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2.75" customHeight="1">
      <c r="A373" s="4"/>
      <c r="B373" s="101"/>
      <c r="C373" s="4"/>
      <c r="D373" s="102"/>
      <c r="E373" s="103"/>
      <c r="F373" s="10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2.75" customHeight="1">
      <c r="A374" s="4"/>
      <c r="B374" s="101"/>
      <c r="C374" s="4"/>
      <c r="D374" s="102"/>
      <c r="E374" s="103"/>
      <c r="F374" s="10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2.75" customHeight="1">
      <c r="A375" s="4"/>
      <c r="B375" s="101"/>
      <c r="C375" s="4"/>
      <c r="D375" s="102"/>
      <c r="E375" s="103"/>
      <c r="F375" s="10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2.75" customHeight="1">
      <c r="A376" s="4"/>
      <c r="B376" s="101"/>
      <c r="C376" s="4"/>
      <c r="D376" s="102"/>
      <c r="E376" s="103"/>
      <c r="F376" s="10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2.75" customHeight="1">
      <c r="A377" s="4"/>
      <c r="B377" s="101"/>
      <c r="C377" s="4"/>
      <c r="D377" s="102"/>
      <c r="E377" s="103"/>
      <c r="F377" s="10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2.75" customHeight="1">
      <c r="A378" s="4"/>
      <c r="B378" s="101"/>
      <c r="C378" s="4"/>
      <c r="D378" s="102"/>
      <c r="E378" s="103"/>
      <c r="F378" s="10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3">
    <mergeCell ref="A101:B101"/>
    <mergeCell ref="A102:B102"/>
    <mergeCell ref="A106:B106"/>
    <mergeCell ref="A107:B107"/>
    <mergeCell ref="A111:B111"/>
    <mergeCell ref="A112:B112"/>
    <mergeCell ref="A116:B116"/>
    <mergeCell ref="A117:B117"/>
    <mergeCell ref="A121:B121"/>
    <mergeCell ref="A122:B122"/>
    <mergeCell ref="A126:B126"/>
    <mergeCell ref="A127:B127"/>
    <mergeCell ref="A131:B131"/>
    <mergeCell ref="A132:B132"/>
    <mergeCell ref="A157:B157"/>
    <mergeCell ref="A161:B161"/>
    <mergeCell ref="A162:B162"/>
    <mergeCell ref="A166:B166"/>
    <mergeCell ref="A167:B167"/>
    <mergeCell ref="A171:B171"/>
    <mergeCell ref="A172:B172"/>
    <mergeCell ref="A176:B176"/>
    <mergeCell ref="A141:B141"/>
    <mergeCell ref="A142:B142"/>
    <mergeCell ref="A146:B146"/>
    <mergeCell ref="A147:B147"/>
    <mergeCell ref="A151:B151"/>
    <mergeCell ref="A152:B152"/>
    <mergeCell ref="A156:B156"/>
    <mergeCell ref="A1:F1"/>
    <mergeCell ref="A2:F2"/>
    <mergeCell ref="A3:F3"/>
    <mergeCell ref="A4:F4"/>
    <mergeCell ref="D7:E7"/>
    <mergeCell ref="A9:F9"/>
    <mergeCell ref="A11:B11"/>
    <mergeCell ref="A12:B12"/>
    <mergeCell ref="A16:B16"/>
    <mergeCell ref="A17:B17"/>
    <mergeCell ref="A21:B21"/>
    <mergeCell ref="A22:B22"/>
    <mergeCell ref="A26:B26"/>
    <mergeCell ref="A27:B27"/>
    <mergeCell ref="A31:B31"/>
    <mergeCell ref="A32:B32"/>
    <mergeCell ref="A36:B36"/>
    <mergeCell ref="A37:B37"/>
    <mergeCell ref="A41:B41"/>
    <mergeCell ref="A42:B42"/>
    <mergeCell ref="A46:B46"/>
    <mergeCell ref="A47:B47"/>
    <mergeCell ref="A51:B51"/>
    <mergeCell ref="A52:B52"/>
    <mergeCell ref="A56:B56"/>
    <mergeCell ref="A57:B57"/>
    <mergeCell ref="A61:B61"/>
    <mergeCell ref="A62:B62"/>
    <mergeCell ref="A66:B66"/>
    <mergeCell ref="A67:B67"/>
    <mergeCell ref="A71:B71"/>
    <mergeCell ref="A72:B72"/>
    <mergeCell ref="A76:B76"/>
    <mergeCell ref="A77:B77"/>
    <mergeCell ref="A81:B81"/>
    <mergeCell ref="A82:B82"/>
    <mergeCell ref="A86:B86"/>
    <mergeCell ref="A87:B87"/>
    <mergeCell ref="A91:B91"/>
    <mergeCell ref="A92:B92"/>
    <mergeCell ref="A96:B96"/>
    <mergeCell ref="A97:B97"/>
    <mergeCell ref="A136:B136"/>
    <mergeCell ref="A137:B137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2.63" defaultRowHeight="15.0"/>
  <cols>
    <col customWidth="1" min="1" max="1" width="66.5"/>
    <col customWidth="1" min="2" max="2" width="67.13"/>
    <col customWidth="1" min="3" max="3" width="21.88"/>
    <col customWidth="1" min="4" max="4" width="20.5"/>
    <col customWidth="1" min="5" max="5" width="22.88"/>
    <col customWidth="1" min="6" max="6" width="53.13"/>
    <col customWidth="1" min="7" max="7" width="50.13"/>
    <col customWidth="1" min="8" max="26" width="8.0"/>
  </cols>
  <sheetData>
    <row r="1" ht="12.75" customHeight="1">
      <c r="A1" s="1" t="s">
        <v>293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2.75" customHeight="1">
      <c r="A2" s="5" t="s">
        <v>294</v>
      </c>
      <c r="B2" s="6"/>
      <c r="C2" s="6"/>
      <c r="D2" s="6"/>
      <c r="E2" s="6"/>
      <c r="F2" s="7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2.75" customHeight="1">
      <c r="A3" s="5" t="s">
        <v>2</v>
      </c>
      <c r="B3" s="6"/>
      <c r="C3" s="6"/>
      <c r="D3" s="6"/>
      <c r="E3" s="6"/>
      <c r="F3" s="7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2.75" customHeight="1">
      <c r="A4" s="5" t="s">
        <v>3</v>
      </c>
      <c r="B4" s="6"/>
      <c r="C4" s="6"/>
      <c r="D4" s="6"/>
      <c r="E4" s="6"/>
      <c r="F4" s="7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2.75" customHeight="1">
      <c r="A5" s="8"/>
      <c r="B5" s="9"/>
      <c r="C5" s="10"/>
      <c r="D5" s="11"/>
      <c r="E5" s="11"/>
      <c r="F5" s="12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2.75" customHeight="1">
      <c r="A6" s="13"/>
      <c r="B6" s="9"/>
      <c r="C6" s="10"/>
      <c r="D6" s="14"/>
      <c r="E6" s="14"/>
      <c r="F6" s="15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30.0" customHeight="1">
      <c r="A7" s="16"/>
      <c r="B7" s="9"/>
      <c r="C7" s="17"/>
      <c r="D7" s="18"/>
      <c r="E7" s="19"/>
      <c r="F7" s="15" t="s">
        <v>1933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0.0" customHeight="1">
      <c r="A8" s="20" t="s">
        <v>296</v>
      </c>
      <c r="B8" s="21"/>
      <c r="C8" s="22"/>
      <c r="D8" s="23"/>
      <c r="E8" s="23"/>
      <c r="F8" s="2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7.75" customHeight="1">
      <c r="A9" s="25" t="s">
        <v>297</v>
      </c>
      <c r="B9" s="26"/>
      <c r="C9" s="26"/>
      <c r="D9" s="26"/>
      <c r="E9" s="26"/>
      <c r="F9" s="27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8.5" customHeight="1">
      <c r="A10" s="128"/>
      <c r="B10" s="106"/>
      <c r="C10" s="107"/>
      <c r="D10" s="108"/>
      <c r="E10" s="108"/>
      <c r="F10" s="109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</row>
    <row r="11" ht="32.25" customHeight="1">
      <c r="A11" s="461" t="s">
        <v>1934</v>
      </c>
      <c r="B11" s="111"/>
      <c r="C11" s="112" t="s">
        <v>299</v>
      </c>
      <c r="D11" s="113" t="s">
        <v>300</v>
      </c>
      <c r="E11" s="114" t="s">
        <v>301</v>
      </c>
      <c r="F11" s="115" t="s">
        <v>11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75" customHeight="1">
      <c r="A12" s="116" t="s">
        <v>302</v>
      </c>
      <c r="B12" s="117"/>
      <c r="C12" s="118"/>
      <c r="D12" s="119"/>
      <c r="E12" s="120"/>
      <c r="F12" s="121" t="s">
        <v>13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75" customHeight="1">
      <c r="A13" s="122" t="s">
        <v>303</v>
      </c>
      <c r="B13" s="123" t="s">
        <v>304</v>
      </c>
      <c r="C13" s="124"/>
      <c r="D13" s="125"/>
      <c r="E13" s="126"/>
      <c r="F13" s="127" t="s">
        <v>1935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2.75" customHeight="1">
      <c r="A14" s="137" t="s">
        <v>1086</v>
      </c>
      <c r="B14" s="129" t="s">
        <v>15</v>
      </c>
      <c r="C14" s="130">
        <v>5455.0</v>
      </c>
      <c r="D14" s="131">
        <v>144013.13</v>
      </c>
      <c r="E14" s="132">
        <v>149840.82</v>
      </c>
      <c r="F14" s="133" t="s">
        <v>1936</v>
      </c>
      <c r="G14" s="52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2.75" customHeight="1">
      <c r="A15" s="128" t="s">
        <v>308</v>
      </c>
      <c r="B15" s="129" t="s">
        <v>309</v>
      </c>
      <c r="C15" s="130">
        <v>3031.0</v>
      </c>
      <c r="D15" s="131">
        <v>80057.92</v>
      </c>
      <c r="E15" s="132">
        <v>83299.89</v>
      </c>
      <c r="F15" s="133" t="s">
        <v>1937</v>
      </c>
      <c r="G15" s="52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2.75" customHeight="1">
      <c r="A16" s="42" t="s">
        <v>1225</v>
      </c>
      <c r="B16" s="129" t="s">
        <v>1226</v>
      </c>
      <c r="C16" s="130">
        <v>2106.0</v>
      </c>
      <c r="D16" s="131">
        <v>55309.54</v>
      </c>
      <c r="E16" s="132">
        <v>57519.41</v>
      </c>
      <c r="F16" s="51" t="s">
        <v>1938</v>
      </c>
      <c r="G16" s="52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2.75" customHeight="1">
      <c r="A17" s="42" t="s">
        <v>1939</v>
      </c>
      <c r="B17" s="129" t="s">
        <v>1226</v>
      </c>
      <c r="C17" s="130">
        <v>2120.0</v>
      </c>
      <c r="D17" s="131">
        <v>56065.55</v>
      </c>
      <c r="E17" s="132">
        <v>58341.22</v>
      </c>
      <c r="F17" s="127" t="s">
        <v>1940</v>
      </c>
      <c r="G17" s="52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2.75" customHeight="1">
      <c r="A18" s="128"/>
      <c r="B18" s="134"/>
      <c r="C18" s="130"/>
      <c r="D18" s="131"/>
      <c r="E18" s="132"/>
      <c r="F18" s="127" t="s">
        <v>1941</v>
      </c>
      <c r="G18" s="52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2.75" customHeight="1">
      <c r="A19" s="136" t="s">
        <v>1942</v>
      </c>
      <c r="B19" s="135" t="s">
        <v>1943</v>
      </c>
      <c r="C19" s="130"/>
      <c r="D19" s="131"/>
      <c r="E19" s="132"/>
      <c r="F19" s="141" t="s">
        <v>1944</v>
      </c>
      <c r="G19" s="52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2.75" customHeight="1">
      <c r="A20" s="136" t="s">
        <v>1945</v>
      </c>
      <c r="B20" s="135" t="s">
        <v>1946</v>
      </c>
      <c r="C20" s="130"/>
      <c r="D20" s="131"/>
      <c r="E20" s="132"/>
      <c r="F20" s="462"/>
      <c r="G20" s="52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2.75" customHeight="1">
      <c r="A21" s="135" t="s">
        <v>1947</v>
      </c>
      <c r="B21" s="136" t="s">
        <v>1948</v>
      </c>
      <c r="C21" s="130"/>
      <c r="D21" s="131"/>
      <c r="E21" s="132"/>
      <c r="F21" s="51"/>
      <c r="G21" s="52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2.75" customHeight="1">
      <c r="A22" s="135" t="s">
        <v>1949</v>
      </c>
      <c r="B22" s="135" t="s">
        <v>1950</v>
      </c>
      <c r="C22" s="130"/>
      <c r="D22" s="131"/>
      <c r="E22" s="132"/>
      <c r="F22" s="127"/>
      <c r="G22" s="52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2.75" customHeight="1">
      <c r="A23" s="135" t="s">
        <v>1951</v>
      </c>
      <c r="B23" s="136" t="s">
        <v>1952</v>
      </c>
      <c r="C23" s="130"/>
      <c r="D23" s="131"/>
      <c r="E23" s="132"/>
      <c r="F23" s="127"/>
      <c r="G23" s="52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2.0" customHeight="1">
      <c r="A24" s="136" t="s">
        <v>1953</v>
      </c>
      <c r="B24" s="135" t="s">
        <v>1954</v>
      </c>
      <c r="C24" s="138"/>
      <c r="D24" s="139"/>
      <c r="E24" s="140"/>
      <c r="F24" s="141"/>
      <c r="G24" s="52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2.0" customHeight="1">
      <c r="A25" s="135"/>
      <c r="B25" s="135"/>
      <c r="C25" s="138"/>
      <c r="D25" s="139"/>
      <c r="E25" s="140"/>
      <c r="F25" s="141"/>
      <c r="G25" s="52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8.75" customHeight="1">
      <c r="A26" s="137" t="s">
        <v>382</v>
      </c>
      <c r="B26" s="134"/>
      <c r="C26" s="138"/>
      <c r="D26" s="139"/>
      <c r="E26" s="140"/>
      <c r="F26" s="141"/>
      <c r="G26" s="52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8.75" customHeight="1">
      <c r="A27" s="142"/>
      <c r="B27" s="143"/>
      <c r="C27" s="144">
        <f t="shared" ref="C27:E27" si="1">SUM(C12:C23)</f>
        <v>12712</v>
      </c>
      <c r="D27" s="145">
        <f t="shared" si="1"/>
        <v>335446.14</v>
      </c>
      <c r="E27" s="146">
        <f t="shared" si="1"/>
        <v>349001.34</v>
      </c>
      <c r="F27" s="147"/>
      <c r="G27" s="52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30.75" customHeight="1">
      <c r="A28" s="463" t="s">
        <v>1955</v>
      </c>
      <c r="B28" s="464"/>
      <c r="C28" s="112" t="s">
        <v>299</v>
      </c>
      <c r="D28" s="113" t="s">
        <v>300</v>
      </c>
      <c r="E28" s="114" t="s">
        <v>301</v>
      </c>
      <c r="F28" s="150" t="s">
        <v>11</v>
      </c>
      <c r="G28" s="52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8.0" customHeight="1">
      <c r="A29" s="36" t="s">
        <v>319</v>
      </c>
      <c r="B29" s="151"/>
      <c r="C29" s="152"/>
      <c r="D29" s="119"/>
      <c r="E29" s="120"/>
      <c r="F29" s="121" t="s">
        <v>13</v>
      </c>
      <c r="G29" s="52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1.0" customHeight="1">
      <c r="A30" s="153" t="s">
        <v>303</v>
      </c>
      <c r="B30" s="49" t="s">
        <v>304</v>
      </c>
      <c r="C30" s="154"/>
      <c r="D30" s="125"/>
      <c r="E30" s="126"/>
      <c r="F30" s="127" t="s">
        <v>1956</v>
      </c>
      <c r="G30" s="52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160" t="s">
        <v>1086</v>
      </c>
      <c r="B31" s="155" t="s">
        <v>15</v>
      </c>
      <c r="C31" s="156">
        <v>8674.0</v>
      </c>
      <c r="D31" s="131">
        <v>221086.47</v>
      </c>
      <c r="E31" s="132">
        <v>230681.57</v>
      </c>
      <c r="F31" s="133" t="s">
        <v>1957</v>
      </c>
      <c r="G31" s="52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2" t="s">
        <v>308</v>
      </c>
      <c r="B32" s="155" t="s">
        <v>309</v>
      </c>
      <c r="C32" s="156">
        <v>2303.0</v>
      </c>
      <c r="D32" s="131">
        <v>58580.59</v>
      </c>
      <c r="E32" s="132">
        <v>61116.9</v>
      </c>
      <c r="F32" s="300" t="s">
        <v>1958</v>
      </c>
      <c r="G32" s="52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2.75" customHeight="1">
      <c r="A33" s="42" t="s">
        <v>1225</v>
      </c>
      <c r="B33" s="155" t="s">
        <v>1226</v>
      </c>
      <c r="C33" s="156">
        <v>3205.0</v>
      </c>
      <c r="D33" s="131">
        <v>84325.71</v>
      </c>
      <c r="E33" s="132">
        <v>88028.92</v>
      </c>
      <c r="F33" s="51" t="s">
        <v>1959</v>
      </c>
      <c r="G33" s="52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2.75" customHeight="1">
      <c r="A34" s="42" t="s">
        <v>1939</v>
      </c>
      <c r="B34" s="155" t="s">
        <v>1226</v>
      </c>
      <c r="C34" s="156">
        <v>1067.0</v>
      </c>
      <c r="D34" s="131">
        <v>28029.47</v>
      </c>
      <c r="E34" s="132">
        <v>29219.55</v>
      </c>
      <c r="F34" s="127" t="s">
        <v>1960</v>
      </c>
      <c r="G34" s="52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2.75" customHeight="1">
      <c r="A35" s="42"/>
      <c r="B35" s="157"/>
      <c r="C35" s="156"/>
      <c r="D35" s="131"/>
      <c r="E35" s="132"/>
      <c r="F35" s="127" t="s">
        <v>1961</v>
      </c>
      <c r="G35" s="52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2.75" customHeight="1">
      <c r="A36" s="160" t="s">
        <v>1962</v>
      </c>
      <c r="B36" s="157" t="s">
        <v>1963</v>
      </c>
      <c r="C36" s="156"/>
      <c r="D36" s="131"/>
      <c r="E36" s="132"/>
      <c r="F36" s="141" t="s">
        <v>1964</v>
      </c>
      <c r="G36" s="52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2.75" customHeight="1">
      <c r="A37" s="160" t="s">
        <v>1965</v>
      </c>
      <c r="B37" s="157" t="s">
        <v>1966</v>
      </c>
      <c r="C37" s="156"/>
      <c r="D37" s="131"/>
      <c r="E37" s="132"/>
      <c r="F37" s="462"/>
      <c r="G37" s="52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2.75" customHeight="1">
      <c r="A38" s="160" t="s">
        <v>1967</v>
      </c>
      <c r="B38" s="157" t="s">
        <v>1968</v>
      </c>
      <c r="C38" s="156"/>
      <c r="D38" s="131"/>
      <c r="E38" s="132"/>
      <c r="F38" s="51"/>
      <c r="G38" s="52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2.75" customHeight="1">
      <c r="A39" s="162" t="s">
        <v>1969</v>
      </c>
      <c r="B39" s="158" t="s">
        <v>1970</v>
      </c>
      <c r="C39" s="156"/>
      <c r="D39" s="131"/>
      <c r="E39" s="132"/>
      <c r="F39" s="127"/>
      <c r="G39" s="52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2.75" customHeight="1">
      <c r="A40" s="160" t="s">
        <v>1971</v>
      </c>
      <c r="B40" s="158" t="s">
        <v>1972</v>
      </c>
      <c r="C40" s="156"/>
      <c r="D40" s="131"/>
      <c r="E40" s="132"/>
      <c r="F40" s="127"/>
      <c r="G40" s="52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2.75" customHeight="1">
      <c r="A41" s="160" t="s">
        <v>1973</v>
      </c>
      <c r="B41" s="158" t="s">
        <v>1974</v>
      </c>
      <c r="C41" s="156"/>
      <c r="D41" s="131"/>
      <c r="E41" s="132"/>
      <c r="F41" s="141"/>
      <c r="G41" s="52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2.75" customHeight="1">
      <c r="A42" s="160" t="s">
        <v>1975</v>
      </c>
      <c r="B42" s="157" t="s">
        <v>1976</v>
      </c>
      <c r="C42" s="156"/>
      <c r="D42" s="131"/>
      <c r="E42" s="132"/>
      <c r="F42" s="127"/>
      <c r="G42" s="52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22.5" customHeight="1">
      <c r="A43" s="42"/>
      <c r="B43" s="82"/>
      <c r="C43" s="163"/>
      <c r="D43" s="139"/>
      <c r="E43" s="140"/>
      <c r="F43" s="141"/>
      <c r="G43" s="52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22.5" customHeight="1">
      <c r="A44" s="42" t="s">
        <v>382</v>
      </c>
      <c r="B44" s="82"/>
      <c r="C44" s="163"/>
      <c r="D44" s="139"/>
      <c r="E44" s="140"/>
      <c r="F44" s="141"/>
      <c r="G44" s="52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33.0" customHeight="1">
      <c r="A45" s="164"/>
      <c r="B45" s="165"/>
      <c r="C45" s="166">
        <f t="shared" ref="C45:D45" si="2">SUM(C29:C40)</f>
        <v>15249</v>
      </c>
      <c r="D45" s="145">
        <f t="shared" si="2"/>
        <v>392022.24</v>
      </c>
      <c r="E45" s="146">
        <f>SUM(E29:E44)</f>
        <v>409046.94</v>
      </c>
      <c r="F45" s="147"/>
      <c r="G45" s="52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30.75" customHeight="1">
      <c r="A46" s="465" t="s">
        <v>1977</v>
      </c>
      <c r="B46" s="149"/>
      <c r="C46" s="112" t="s">
        <v>299</v>
      </c>
      <c r="D46" s="113" t="s">
        <v>300</v>
      </c>
      <c r="E46" s="114" t="s">
        <v>301</v>
      </c>
      <c r="F46" s="150" t="s">
        <v>11</v>
      </c>
      <c r="G46" s="52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8.75" customHeight="1">
      <c r="A47" s="194" t="s">
        <v>385</v>
      </c>
      <c r="B47" s="195"/>
      <c r="C47" s="196"/>
      <c r="D47" s="182"/>
      <c r="E47" s="183"/>
      <c r="F47" s="121" t="s">
        <v>13</v>
      </c>
      <c r="G47" s="52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8.75" customHeight="1">
      <c r="A48" s="197" t="s">
        <v>303</v>
      </c>
      <c r="B48" s="198" t="s">
        <v>304</v>
      </c>
      <c r="C48" s="199"/>
      <c r="D48" s="185"/>
      <c r="E48" s="186"/>
      <c r="F48" s="127" t="s">
        <v>1978</v>
      </c>
      <c r="G48" s="52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8.0" customHeight="1">
      <c r="A49" s="200" t="s">
        <v>1086</v>
      </c>
      <c r="B49" s="201" t="s">
        <v>15</v>
      </c>
      <c r="C49" s="130">
        <v>2561.0</v>
      </c>
      <c r="D49" s="131">
        <v>66511.75</v>
      </c>
      <c r="E49" s="132">
        <v>69414.43</v>
      </c>
      <c r="F49" s="133" t="s">
        <v>1979</v>
      </c>
      <c r="G49" s="52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2.75" customHeight="1">
      <c r="A50" s="200" t="s">
        <v>308</v>
      </c>
      <c r="B50" s="201" t="s">
        <v>309</v>
      </c>
      <c r="C50" s="130">
        <v>1728.0</v>
      </c>
      <c r="D50" s="131">
        <v>43234.22</v>
      </c>
      <c r="E50" s="132">
        <v>45209.55</v>
      </c>
      <c r="F50" s="300" t="s">
        <v>1980</v>
      </c>
      <c r="G50" s="52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2.75" customHeight="1">
      <c r="A51" s="128" t="s">
        <v>1225</v>
      </c>
      <c r="B51" s="129" t="s">
        <v>1226</v>
      </c>
      <c r="C51" s="130">
        <v>1023.0</v>
      </c>
      <c r="D51" s="131">
        <v>26888.0</v>
      </c>
      <c r="E51" s="132">
        <v>28086.99</v>
      </c>
      <c r="F51" s="51" t="s">
        <v>1981</v>
      </c>
      <c r="G51" s="52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75" customHeight="1">
      <c r="A52" s="171"/>
      <c r="B52" s="202"/>
      <c r="C52" s="130"/>
      <c r="D52" s="131"/>
      <c r="E52" s="132"/>
      <c r="F52" s="127" t="s">
        <v>1982</v>
      </c>
      <c r="G52" s="52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2.75" customHeight="1">
      <c r="A53" s="135" t="s">
        <v>1983</v>
      </c>
      <c r="B53" s="135" t="s">
        <v>1984</v>
      </c>
      <c r="C53" s="130"/>
      <c r="D53" s="131"/>
      <c r="E53" s="132"/>
      <c r="F53" s="127" t="s">
        <v>1985</v>
      </c>
      <c r="G53" s="52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2.75" customHeight="1">
      <c r="A54" s="135" t="s">
        <v>1986</v>
      </c>
      <c r="B54" s="135" t="s">
        <v>1987</v>
      </c>
      <c r="C54" s="130"/>
      <c r="D54" s="131"/>
      <c r="E54" s="132"/>
      <c r="F54" s="141" t="s">
        <v>1988</v>
      </c>
      <c r="G54" s="52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2.75" customHeight="1">
      <c r="A55" s="135" t="s">
        <v>1989</v>
      </c>
      <c r="B55" s="202"/>
      <c r="C55" s="138"/>
      <c r="D55" s="139"/>
      <c r="E55" s="140"/>
      <c r="F55" s="141"/>
      <c r="G55" s="52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8.75" customHeight="1">
      <c r="A56" s="128"/>
      <c r="B56" s="134"/>
      <c r="C56" s="138"/>
      <c r="D56" s="139"/>
      <c r="E56" s="140"/>
      <c r="F56" s="141"/>
      <c r="G56" s="52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8.75" customHeight="1">
      <c r="A57" s="128" t="s">
        <v>316</v>
      </c>
      <c r="B57" s="134"/>
      <c r="C57" s="138"/>
      <c r="D57" s="139"/>
      <c r="E57" s="140"/>
      <c r="F57" s="141"/>
      <c r="G57" s="52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26.25" customHeight="1">
      <c r="A58" s="203"/>
      <c r="B58" s="143"/>
      <c r="C58" s="144">
        <f t="shared" ref="C58:D58" si="3">SUM(C47:C54)</f>
        <v>5312</v>
      </c>
      <c r="D58" s="145">
        <f t="shared" si="3"/>
        <v>136633.97</v>
      </c>
      <c r="E58" s="146">
        <f>SUM(E47:E57)</f>
        <v>142710.97</v>
      </c>
      <c r="F58" s="147"/>
      <c r="G58" s="52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29.25" customHeight="1">
      <c r="A59" s="465" t="s">
        <v>1990</v>
      </c>
      <c r="B59" s="149"/>
      <c r="C59" s="112" t="s">
        <v>299</v>
      </c>
      <c r="D59" s="113" t="s">
        <v>300</v>
      </c>
      <c r="E59" s="114" t="s">
        <v>301</v>
      </c>
      <c r="F59" s="150" t="s">
        <v>11</v>
      </c>
      <c r="G59" s="52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9.5" customHeight="1">
      <c r="A60" s="187" t="s">
        <v>440</v>
      </c>
      <c r="B60" s="188"/>
      <c r="C60" s="181"/>
      <c r="D60" s="182"/>
      <c r="E60" s="183"/>
      <c r="F60" s="121" t="s">
        <v>13</v>
      </c>
      <c r="G60" s="52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2.75" customHeight="1">
      <c r="A61" s="190" t="s">
        <v>303</v>
      </c>
      <c r="B61" s="161" t="s">
        <v>304</v>
      </c>
      <c r="C61" s="184"/>
      <c r="D61" s="185"/>
      <c r="E61" s="186"/>
      <c r="F61" s="127" t="s">
        <v>1991</v>
      </c>
      <c r="G61" s="52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2.75" customHeight="1">
      <c r="A62" s="173" t="s">
        <v>1086</v>
      </c>
      <c r="B62" s="174" t="s">
        <v>15</v>
      </c>
      <c r="C62" s="156">
        <v>4088.0</v>
      </c>
      <c r="D62" s="131">
        <v>105451.649</v>
      </c>
      <c r="E62" s="132">
        <v>109717.809</v>
      </c>
      <c r="F62" s="133" t="s">
        <v>1992</v>
      </c>
      <c r="G62" s="52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2.75" customHeight="1">
      <c r="A63" s="173" t="s">
        <v>308</v>
      </c>
      <c r="B63" s="174" t="s">
        <v>309</v>
      </c>
      <c r="C63" s="156">
        <v>1271.0</v>
      </c>
      <c r="D63" s="131">
        <v>32656.24</v>
      </c>
      <c r="E63" s="132">
        <v>33980.7</v>
      </c>
      <c r="F63" s="300" t="s">
        <v>1993</v>
      </c>
      <c r="G63" s="52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2.75" customHeight="1">
      <c r="A64" s="173" t="s">
        <v>1225</v>
      </c>
      <c r="B64" s="155" t="s">
        <v>1226</v>
      </c>
      <c r="C64" s="156">
        <v>4324.0</v>
      </c>
      <c r="D64" s="131">
        <v>110993.98</v>
      </c>
      <c r="E64" s="132">
        <v>115498.81</v>
      </c>
      <c r="F64" s="51" t="s">
        <v>1994</v>
      </c>
      <c r="G64" s="52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2.75" customHeight="1">
      <c r="A65" s="173"/>
      <c r="B65" s="158"/>
      <c r="C65" s="156"/>
      <c r="D65" s="131"/>
      <c r="E65" s="132"/>
      <c r="F65" s="127" t="s">
        <v>1995</v>
      </c>
      <c r="G65" s="52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2.75" customHeight="1">
      <c r="A66" s="160" t="s">
        <v>1996</v>
      </c>
      <c r="B66" s="157" t="s">
        <v>1997</v>
      </c>
      <c r="C66" s="156"/>
      <c r="D66" s="131"/>
      <c r="E66" s="132"/>
      <c r="F66" s="127" t="s">
        <v>1998</v>
      </c>
      <c r="G66" s="52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2.75" customHeight="1">
      <c r="A67" s="160" t="s">
        <v>1999</v>
      </c>
      <c r="B67" s="157" t="s">
        <v>2000</v>
      </c>
      <c r="C67" s="156"/>
      <c r="D67" s="131"/>
      <c r="E67" s="132"/>
      <c r="F67" s="141" t="s">
        <v>2001</v>
      </c>
      <c r="G67" s="52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2.75" customHeight="1">
      <c r="A68" s="160" t="s">
        <v>2002</v>
      </c>
      <c r="B68" s="157" t="s">
        <v>2003</v>
      </c>
      <c r="C68" s="156"/>
      <c r="D68" s="131"/>
      <c r="E68" s="132"/>
      <c r="F68" s="141"/>
      <c r="G68" s="52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2.75" customHeight="1">
      <c r="A69" s="160" t="s">
        <v>2004</v>
      </c>
      <c r="B69" s="157" t="s">
        <v>2005</v>
      </c>
      <c r="C69" s="156"/>
      <c r="D69" s="131"/>
      <c r="E69" s="132"/>
      <c r="F69" s="141"/>
      <c r="G69" s="52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2.75" customHeight="1">
      <c r="A70" s="160" t="s">
        <v>2006</v>
      </c>
      <c r="B70" s="49"/>
      <c r="C70" s="156"/>
      <c r="D70" s="131"/>
      <c r="E70" s="132"/>
      <c r="F70" s="141"/>
      <c r="G70" s="52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2.75" customHeight="1">
      <c r="A71" s="42"/>
      <c r="B71" s="49"/>
      <c r="C71" s="156"/>
      <c r="D71" s="131"/>
      <c r="E71" s="132"/>
      <c r="F71" s="141"/>
      <c r="G71" s="52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75" customHeight="1">
      <c r="A72" s="42" t="s">
        <v>382</v>
      </c>
      <c r="B72" s="49"/>
      <c r="C72" s="156"/>
      <c r="D72" s="131"/>
      <c r="E72" s="132"/>
      <c r="F72" s="141"/>
      <c r="G72" s="52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8.75" customHeight="1">
      <c r="A73" s="177"/>
      <c r="B73" s="178"/>
      <c r="C73" s="172">
        <f t="shared" ref="C73:E73" si="4">SUM(C60:C72)</f>
        <v>9683</v>
      </c>
      <c r="D73" s="145">
        <f t="shared" si="4"/>
        <v>249101.869</v>
      </c>
      <c r="E73" s="146">
        <f t="shared" si="4"/>
        <v>259197.319</v>
      </c>
      <c r="F73" s="147"/>
      <c r="G73" s="52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30.0" customHeight="1">
      <c r="A74" s="465" t="s">
        <v>2007</v>
      </c>
      <c r="B74" s="149"/>
      <c r="C74" s="112" t="s">
        <v>299</v>
      </c>
      <c r="D74" s="113" t="s">
        <v>300</v>
      </c>
      <c r="E74" s="114" t="s">
        <v>301</v>
      </c>
      <c r="F74" s="150" t="s">
        <v>11</v>
      </c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0" customHeight="1">
      <c r="A75" s="36" t="s">
        <v>486</v>
      </c>
      <c r="B75" s="151"/>
      <c r="C75" s="181"/>
      <c r="D75" s="182"/>
      <c r="E75" s="183"/>
      <c r="F75" s="121" t="s">
        <v>13</v>
      </c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0" customHeight="1">
      <c r="A76" s="153" t="s">
        <v>303</v>
      </c>
      <c r="B76" s="49" t="s">
        <v>304</v>
      </c>
      <c r="C76" s="184"/>
      <c r="D76" s="185"/>
      <c r="E76" s="186"/>
      <c r="F76" s="127" t="s">
        <v>2008</v>
      </c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8.75" customHeight="1">
      <c r="A77" s="42" t="s">
        <v>1086</v>
      </c>
      <c r="B77" s="155" t="s">
        <v>15</v>
      </c>
      <c r="C77" s="156">
        <v>5015.0</v>
      </c>
      <c r="D77" s="131">
        <v>133169.02</v>
      </c>
      <c r="E77" s="132">
        <v>138446.11</v>
      </c>
      <c r="F77" s="133" t="s">
        <v>2009</v>
      </c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3.5" customHeight="1">
      <c r="A78" s="42" t="s">
        <v>308</v>
      </c>
      <c r="B78" s="155" t="s">
        <v>309</v>
      </c>
      <c r="C78" s="156">
        <v>1309.0</v>
      </c>
      <c r="D78" s="131">
        <v>33171.69</v>
      </c>
      <c r="E78" s="132">
        <v>34525.53</v>
      </c>
      <c r="F78" s="300" t="s">
        <v>2010</v>
      </c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2.75" customHeight="1">
      <c r="A79" s="173" t="s">
        <v>1225</v>
      </c>
      <c r="B79" s="174" t="s">
        <v>1226</v>
      </c>
      <c r="C79" s="156">
        <v>2100.0</v>
      </c>
      <c r="D79" s="131">
        <v>55396.1</v>
      </c>
      <c r="E79" s="132">
        <v>57600.87</v>
      </c>
      <c r="F79" s="51" t="s">
        <v>2011</v>
      </c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2.75" customHeight="1">
      <c r="A80" s="42"/>
      <c r="B80" s="49"/>
      <c r="C80" s="156"/>
      <c r="D80" s="131"/>
      <c r="E80" s="132"/>
      <c r="F80" s="127" t="s">
        <v>2012</v>
      </c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2.75" customHeight="1">
      <c r="A81" s="160" t="s">
        <v>2013</v>
      </c>
      <c r="B81" s="157" t="s">
        <v>2014</v>
      </c>
      <c r="C81" s="156"/>
      <c r="D81" s="131"/>
      <c r="E81" s="132"/>
      <c r="F81" s="127" t="s">
        <v>2015</v>
      </c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2.75" customHeight="1">
      <c r="A82" s="160" t="s">
        <v>2016</v>
      </c>
      <c r="B82" s="157" t="s">
        <v>2017</v>
      </c>
      <c r="C82" s="156"/>
      <c r="D82" s="131"/>
      <c r="E82" s="132"/>
      <c r="F82" s="141" t="s">
        <v>2018</v>
      </c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2.75" customHeight="1">
      <c r="A83" s="160" t="s">
        <v>2019</v>
      </c>
      <c r="B83" s="157" t="s">
        <v>2020</v>
      </c>
      <c r="C83" s="156"/>
      <c r="D83" s="131"/>
      <c r="E83" s="132"/>
      <c r="F83" s="141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2.75" customHeight="1">
      <c r="A84" s="160" t="s">
        <v>2021</v>
      </c>
      <c r="B84" s="157" t="s">
        <v>2022</v>
      </c>
      <c r="C84" s="156"/>
      <c r="D84" s="131"/>
      <c r="E84" s="132"/>
      <c r="F84" s="127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3.5" customHeight="1">
      <c r="A85" s="160"/>
      <c r="B85" s="157"/>
      <c r="C85" s="156"/>
      <c r="D85" s="131"/>
      <c r="E85" s="132"/>
      <c r="F85" s="141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3.5" customHeight="1">
      <c r="A86" s="160" t="s">
        <v>382</v>
      </c>
      <c r="B86" s="157"/>
      <c r="C86" s="156"/>
      <c r="D86" s="131"/>
      <c r="E86" s="132"/>
      <c r="F86" s="141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8.0" customHeight="1">
      <c r="A87" s="177"/>
      <c r="B87" s="178"/>
      <c r="C87" s="172">
        <f t="shared" ref="C87:E87" si="5">SUM(C75:C86)</f>
        <v>8424</v>
      </c>
      <c r="D87" s="145">
        <f t="shared" si="5"/>
        <v>221736.81</v>
      </c>
      <c r="E87" s="146">
        <f t="shared" si="5"/>
        <v>230572.51</v>
      </c>
      <c r="F87" s="216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32.25" customHeight="1">
      <c r="A88" s="466" t="s">
        <v>2023</v>
      </c>
      <c r="B88" s="149"/>
      <c r="C88" s="112" t="s">
        <v>299</v>
      </c>
      <c r="D88" s="113" t="s">
        <v>300</v>
      </c>
      <c r="E88" s="114" t="s">
        <v>301</v>
      </c>
      <c r="F88" s="150" t="s">
        <v>11</v>
      </c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8.0" customHeight="1">
      <c r="A89" s="36" t="s">
        <v>523</v>
      </c>
      <c r="B89" s="151"/>
      <c r="C89" s="181"/>
      <c r="D89" s="182"/>
      <c r="E89" s="183"/>
      <c r="F89" s="121" t="s">
        <v>13</v>
      </c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2.75" customHeight="1">
      <c r="A90" s="153" t="s">
        <v>303</v>
      </c>
      <c r="B90" s="49" t="s">
        <v>304</v>
      </c>
      <c r="C90" s="184"/>
      <c r="D90" s="185"/>
      <c r="E90" s="186"/>
      <c r="F90" s="127" t="s">
        <v>2024</v>
      </c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2" t="s">
        <v>1225</v>
      </c>
      <c r="B91" s="155" t="s">
        <v>1226</v>
      </c>
      <c r="C91" s="156">
        <v>2051.0</v>
      </c>
      <c r="D91" s="131">
        <v>55681.94</v>
      </c>
      <c r="E91" s="132">
        <v>57875.92</v>
      </c>
      <c r="F91" s="133" t="s">
        <v>2025</v>
      </c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2.75" customHeight="1">
      <c r="A92" s="42" t="s">
        <v>1939</v>
      </c>
      <c r="B92" s="155" t="s">
        <v>1226</v>
      </c>
      <c r="C92" s="156">
        <v>2041.0</v>
      </c>
      <c r="D92" s="131">
        <v>54787.98</v>
      </c>
      <c r="E92" s="132">
        <v>56989.1</v>
      </c>
      <c r="F92" s="300" t="s">
        <v>2026</v>
      </c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2.75" customHeight="1">
      <c r="A93" s="160"/>
      <c r="B93" s="157"/>
      <c r="C93" s="156"/>
      <c r="D93" s="131"/>
      <c r="E93" s="132"/>
      <c r="F93" s="51" t="s">
        <v>2027</v>
      </c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2.75" customHeight="1">
      <c r="A94" s="162" t="s">
        <v>2028</v>
      </c>
      <c r="B94" s="158" t="s">
        <v>2029</v>
      </c>
      <c r="C94" s="156"/>
      <c r="D94" s="131"/>
      <c r="E94" s="132"/>
      <c r="F94" s="127" t="s">
        <v>2030</v>
      </c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2.75" customHeight="1">
      <c r="A95" s="162" t="s">
        <v>2031</v>
      </c>
      <c r="B95" s="158" t="s">
        <v>2032</v>
      </c>
      <c r="C95" s="156"/>
      <c r="D95" s="131"/>
      <c r="E95" s="132"/>
      <c r="F95" s="127" t="s">
        <v>2033</v>
      </c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0" customHeight="1">
      <c r="A96" s="160"/>
      <c r="B96" s="157"/>
      <c r="C96" s="156"/>
      <c r="D96" s="131"/>
      <c r="E96" s="132"/>
      <c r="F96" s="141" t="s">
        <v>2034</v>
      </c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8.75" customHeight="1">
      <c r="A97" s="160" t="s">
        <v>382</v>
      </c>
      <c r="B97" s="157"/>
      <c r="C97" s="156"/>
      <c r="D97" s="131"/>
      <c r="E97" s="132"/>
      <c r="F97" s="141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22.5" customHeight="1">
      <c r="A98" s="177"/>
      <c r="B98" s="178"/>
      <c r="C98" s="172">
        <f t="shared" ref="C98:E98" si="6">SUM(C89:C97)</f>
        <v>4092</v>
      </c>
      <c r="D98" s="145">
        <f t="shared" si="6"/>
        <v>110469.92</v>
      </c>
      <c r="E98" s="146">
        <f t="shared" si="6"/>
        <v>114865.02</v>
      </c>
      <c r="F98" s="147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27.75" customHeight="1">
      <c r="A99" s="465" t="s">
        <v>2035</v>
      </c>
      <c r="B99" s="149"/>
      <c r="C99" s="112" t="s">
        <v>299</v>
      </c>
      <c r="D99" s="113" t="s">
        <v>300</v>
      </c>
      <c r="E99" s="114" t="s">
        <v>301</v>
      </c>
      <c r="F99" s="238" t="s">
        <v>11</v>
      </c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0" customHeight="1">
      <c r="A100" s="36" t="s">
        <v>572</v>
      </c>
      <c r="B100" s="151"/>
      <c r="C100" s="181"/>
      <c r="D100" s="239"/>
      <c r="E100" s="240"/>
      <c r="F100" s="241" t="s">
        <v>13</v>
      </c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0" customHeight="1">
      <c r="A101" s="153" t="s">
        <v>303</v>
      </c>
      <c r="B101" s="49" t="s">
        <v>304</v>
      </c>
      <c r="C101" s="154"/>
      <c r="D101" s="242"/>
      <c r="E101" s="243"/>
      <c r="F101" s="244" t="s">
        <v>2036</v>
      </c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0" customHeight="1">
      <c r="A102" s="42" t="s">
        <v>1086</v>
      </c>
      <c r="B102" s="155" t="s">
        <v>15</v>
      </c>
      <c r="C102" s="156">
        <v>8232.0</v>
      </c>
      <c r="D102" s="245">
        <v>204559.49</v>
      </c>
      <c r="E102" s="246">
        <v>213100.13</v>
      </c>
      <c r="F102" s="51" t="s">
        <v>2037</v>
      </c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0" customHeight="1">
      <c r="A103" s="42" t="s">
        <v>308</v>
      </c>
      <c r="B103" s="155" t="s">
        <v>309</v>
      </c>
      <c r="C103" s="156">
        <v>6134.0</v>
      </c>
      <c r="D103" s="245">
        <v>156080.75</v>
      </c>
      <c r="E103" s="246">
        <v>162501.03</v>
      </c>
      <c r="F103" s="300" t="s">
        <v>2038</v>
      </c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2.0" customHeight="1">
      <c r="A104" s="42" t="s">
        <v>1939</v>
      </c>
      <c r="B104" s="155" t="s">
        <v>1226</v>
      </c>
      <c r="C104" s="156">
        <v>2137.0</v>
      </c>
      <c r="D104" s="245">
        <v>55597.71</v>
      </c>
      <c r="E104" s="246">
        <v>57839.99</v>
      </c>
      <c r="F104" s="51" t="s">
        <v>2039</v>
      </c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0" customHeight="1">
      <c r="A105" s="42"/>
      <c r="B105" s="157"/>
      <c r="C105" s="156"/>
      <c r="D105" s="245"/>
      <c r="E105" s="246"/>
      <c r="F105" s="244" t="s">
        <v>2040</v>
      </c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2.0" customHeight="1">
      <c r="A106" s="160" t="s">
        <v>2041</v>
      </c>
      <c r="B106" s="157" t="s">
        <v>2042</v>
      </c>
      <c r="C106" s="156"/>
      <c r="D106" s="245"/>
      <c r="E106" s="246"/>
      <c r="F106" s="244" t="s">
        <v>2043</v>
      </c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2.0" customHeight="1">
      <c r="A107" s="160" t="s">
        <v>2044</v>
      </c>
      <c r="B107" s="158" t="s">
        <v>2045</v>
      </c>
      <c r="C107" s="156"/>
      <c r="D107" s="245"/>
      <c r="E107" s="246"/>
      <c r="F107" s="248" t="s">
        <v>2046</v>
      </c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2.0" customHeight="1">
      <c r="A108" s="162" t="s">
        <v>2047</v>
      </c>
      <c r="B108" s="158" t="s">
        <v>2048</v>
      </c>
      <c r="C108" s="156"/>
      <c r="D108" s="245"/>
      <c r="E108" s="246"/>
      <c r="F108" s="51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162" t="s">
        <v>2049</v>
      </c>
      <c r="B109" s="467" t="s">
        <v>2050</v>
      </c>
      <c r="C109" s="156"/>
      <c r="D109" s="245"/>
      <c r="E109" s="246"/>
      <c r="F109" s="24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162" t="s">
        <v>2051</v>
      </c>
      <c r="B110" s="467" t="s">
        <v>2052</v>
      </c>
      <c r="C110" s="156"/>
      <c r="D110" s="245"/>
      <c r="E110" s="246"/>
      <c r="F110" s="24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2.75" customHeight="1">
      <c r="A111" s="162" t="s">
        <v>2053</v>
      </c>
      <c r="B111" s="158" t="s">
        <v>2054</v>
      </c>
      <c r="C111" s="156"/>
      <c r="D111" s="245"/>
      <c r="E111" s="246"/>
      <c r="F111" s="248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2.75" customHeight="1">
      <c r="A112" s="162" t="s">
        <v>2055</v>
      </c>
      <c r="B112" s="158" t="s">
        <v>2056</v>
      </c>
      <c r="C112" s="156"/>
      <c r="D112" s="245"/>
      <c r="E112" s="246"/>
      <c r="F112" s="24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2.75" customHeight="1">
      <c r="A113" s="162" t="s">
        <v>2057</v>
      </c>
      <c r="B113" s="467"/>
      <c r="C113" s="156"/>
      <c r="D113" s="245"/>
      <c r="E113" s="246"/>
      <c r="F113" s="24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customHeight="1">
      <c r="A114" s="160"/>
      <c r="B114" s="157"/>
      <c r="C114" s="156"/>
      <c r="D114" s="245"/>
      <c r="E114" s="246"/>
      <c r="F114" s="24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0" customHeight="1">
      <c r="A115" s="160" t="s">
        <v>316</v>
      </c>
      <c r="B115" s="157"/>
      <c r="C115" s="156"/>
      <c r="D115" s="245"/>
      <c r="E115" s="246"/>
      <c r="F115" s="24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21.0" customHeight="1">
      <c r="A116" s="177"/>
      <c r="B116" s="178"/>
      <c r="C116" s="172">
        <f t="shared" ref="C116:E116" si="7">SUM(C100:C115)</f>
        <v>16503</v>
      </c>
      <c r="D116" s="249">
        <f t="shared" si="7"/>
        <v>416237.95</v>
      </c>
      <c r="E116" s="250">
        <f t="shared" si="7"/>
        <v>433441.15</v>
      </c>
      <c r="F116" s="251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30.0" customHeight="1">
      <c r="A117" s="468" t="s">
        <v>2058</v>
      </c>
      <c r="B117" s="469"/>
      <c r="C117" s="370" t="s">
        <v>299</v>
      </c>
      <c r="D117" s="470" t="s">
        <v>300</v>
      </c>
      <c r="E117" s="471" t="s">
        <v>301</v>
      </c>
      <c r="F117" s="472" t="s">
        <v>11</v>
      </c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8.75" customHeight="1">
      <c r="A118" s="36" t="s">
        <v>637</v>
      </c>
      <c r="B118" s="151"/>
      <c r="C118" s="152"/>
      <c r="D118" s="119"/>
      <c r="E118" s="120"/>
      <c r="F118" s="473" t="s">
        <v>13</v>
      </c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8.0" customHeight="1">
      <c r="A119" s="153" t="s">
        <v>303</v>
      </c>
      <c r="B119" s="49" t="s">
        <v>304</v>
      </c>
      <c r="C119" s="156"/>
      <c r="D119" s="131"/>
      <c r="E119" s="132"/>
      <c r="F119" s="474" t="s">
        <v>2059</v>
      </c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8.75" customHeight="1">
      <c r="A120" s="42" t="s">
        <v>1086</v>
      </c>
      <c r="B120" s="155" t="s">
        <v>15</v>
      </c>
      <c r="C120" s="156">
        <v>5766.0</v>
      </c>
      <c r="D120" s="131">
        <v>134962.97</v>
      </c>
      <c r="E120" s="132">
        <v>140878.869</v>
      </c>
      <c r="F120" s="475" t="s">
        <v>2060</v>
      </c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75" customHeight="1">
      <c r="A121" s="42" t="s">
        <v>308</v>
      </c>
      <c r="B121" s="155" t="s">
        <v>309</v>
      </c>
      <c r="C121" s="156">
        <v>133.0</v>
      </c>
      <c r="D121" s="131">
        <v>3111.02</v>
      </c>
      <c r="E121" s="132">
        <v>3247.341</v>
      </c>
      <c r="F121" s="300" t="s">
        <v>2061</v>
      </c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75" customHeight="1">
      <c r="A122" s="42" t="s">
        <v>1225</v>
      </c>
      <c r="B122" s="155" t="s">
        <v>1226</v>
      </c>
      <c r="C122" s="156">
        <v>1192.0</v>
      </c>
      <c r="D122" s="131">
        <v>27963.11</v>
      </c>
      <c r="E122" s="132">
        <v>29187.04</v>
      </c>
      <c r="F122" s="475" t="s">
        <v>2062</v>
      </c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2.75" customHeight="1">
      <c r="A123" s="160"/>
      <c r="B123" s="157"/>
      <c r="C123" s="156"/>
      <c r="D123" s="131"/>
      <c r="E123" s="132"/>
      <c r="F123" s="474" t="s">
        <v>2063</v>
      </c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2.75" customHeight="1">
      <c r="A124" s="162" t="s">
        <v>2064</v>
      </c>
      <c r="B124" s="158" t="s">
        <v>2065</v>
      </c>
      <c r="C124" s="156"/>
      <c r="D124" s="131"/>
      <c r="E124" s="132"/>
      <c r="F124" s="474" t="s">
        <v>2066</v>
      </c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2.75" customHeight="1">
      <c r="A125" s="162" t="s">
        <v>2067</v>
      </c>
      <c r="B125" s="158" t="s">
        <v>2068</v>
      </c>
      <c r="C125" s="156"/>
      <c r="D125" s="131"/>
      <c r="E125" s="132"/>
      <c r="F125" s="476" t="s">
        <v>2069</v>
      </c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2.75" customHeight="1">
      <c r="A126" s="162" t="s">
        <v>2070</v>
      </c>
      <c r="B126" s="158" t="s">
        <v>2071</v>
      </c>
      <c r="C126" s="156"/>
      <c r="D126" s="131"/>
      <c r="E126" s="132"/>
      <c r="F126" s="47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2.75" customHeight="1">
      <c r="A127" s="162" t="s">
        <v>2072</v>
      </c>
      <c r="B127" s="157"/>
      <c r="C127" s="156"/>
      <c r="D127" s="131"/>
      <c r="E127" s="132"/>
      <c r="F127" s="476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2.75" customHeight="1">
      <c r="A128" s="160"/>
      <c r="B128" s="157"/>
      <c r="C128" s="156"/>
      <c r="D128" s="131"/>
      <c r="E128" s="132"/>
      <c r="F128" s="476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2.75" customHeight="1">
      <c r="A129" s="160" t="s">
        <v>382</v>
      </c>
      <c r="B129" s="157"/>
      <c r="C129" s="156"/>
      <c r="D129" s="131"/>
      <c r="E129" s="132"/>
      <c r="F129" s="141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2.75" customHeight="1">
      <c r="A130" s="177"/>
      <c r="B130" s="178"/>
      <c r="C130" s="172">
        <f>SUM(C120:C129)</f>
        <v>7091</v>
      </c>
      <c r="D130" s="145">
        <f t="shared" ref="D130:E130" si="8">SUM(D118:D129)</f>
        <v>166037.1</v>
      </c>
      <c r="E130" s="146">
        <f t="shared" si="8"/>
        <v>173313.25</v>
      </c>
      <c r="F130" s="147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30.75" customHeight="1">
      <c r="A131" s="477" t="s">
        <v>2073</v>
      </c>
      <c r="B131" s="478"/>
      <c r="C131" s="370" t="s">
        <v>299</v>
      </c>
      <c r="D131" s="470" t="s">
        <v>300</v>
      </c>
      <c r="E131" s="471" t="s">
        <v>301</v>
      </c>
      <c r="F131" s="472" t="s">
        <v>11</v>
      </c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8.75" customHeight="1">
      <c r="A132" s="36" t="s">
        <v>2074</v>
      </c>
      <c r="B132" s="151"/>
      <c r="C132" s="152"/>
      <c r="D132" s="119"/>
      <c r="E132" s="120"/>
      <c r="F132" s="473" t="s">
        <v>13</v>
      </c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8.0" customHeight="1">
      <c r="A133" s="153" t="s">
        <v>303</v>
      </c>
      <c r="B133" s="49" t="s">
        <v>304</v>
      </c>
      <c r="C133" s="154"/>
      <c r="D133" s="125"/>
      <c r="E133" s="126"/>
      <c r="F133" s="474" t="s">
        <v>2075</v>
      </c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8.75" customHeight="1">
      <c r="A134" s="42" t="s">
        <v>1086</v>
      </c>
      <c r="B134" s="155" t="s">
        <v>15</v>
      </c>
      <c r="C134" s="156">
        <v>1390.0</v>
      </c>
      <c r="D134" s="131">
        <v>34554.606</v>
      </c>
      <c r="E134" s="132">
        <v>36008.516</v>
      </c>
      <c r="F134" s="475" t="s">
        <v>2076</v>
      </c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75" customHeight="1">
      <c r="A135" s="42" t="s">
        <v>308</v>
      </c>
      <c r="B135" s="155" t="s">
        <v>309</v>
      </c>
      <c r="C135" s="156">
        <v>5326.0</v>
      </c>
      <c r="D135" s="131">
        <v>133174.81</v>
      </c>
      <c r="E135" s="132">
        <v>138716.85</v>
      </c>
      <c r="F135" s="300" t="s">
        <v>2077</v>
      </c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.75" customHeight="1">
      <c r="A136" s="42" t="s">
        <v>1225</v>
      </c>
      <c r="B136" s="155" t="s">
        <v>1226</v>
      </c>
      <c r="C136" s="156">
        <v>2182.0</v>
      </c>
      <c r="D136" s="131">
        <v>55981.69</v>
      </c>
      <c r="E136" s="132">
        <v>58303.14</v>
      </c>
      <c r="F136" s="475" t="s">
        <v>2078</v>
      </c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.75" customHeight="1">
      <c r="A137" s="160"/>
      <c r="B137" s="157"/>
      <c r="C137" s="156"/>
      <c r="D137" s="131"/>
      <c r="E137" s="132"/>
      <c r="F137" s="474" t="s">
        <v>2079</v>
      </c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2.75" customHeight="1">
      <c r="A138" s="162" t="s">
        <v>2080</v>
      </c>
      <c r="B138" s="158" t="s">
        <v>2081</v>
      </c>
      <c r="C138" s="156"/>
      <c r="D138" s="131"/>
      <c r="E138" s="132"/>
      <c r="F138" s="474" t="s">
        <v>2082</v>
      </c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2.75" customHeight="1">
      <c r="A139" s="162" t="s">
        <v>2083</v>
      </c>
      <c r="B139" s="158" t="s">
        <v>2084</v>
      </c>
      <c r="C139" s="156"/>
      <c r="D139" s="131"/>
      <c r="E139" s="132"/>
      <c r="F139" s="476" t="s">
        <v>2085</v>
      </c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2.75" customHeight="1">
      <c r="A140" s="162" t="s">
        <v>2086</v>
      </c>
      <c r="B140" s="158" t="s">
        <v>2087</v>
      </c>
      <c r="C140" s="156"/>
      <c r="D140" s="131"/>
      <c r="E140" s="132"/>
      <c r="F140" s="475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2.75" customHeight="1">
      <c r="A141" s="162" t="s">
        <v>2088</v>
      </c>
      <c r="B141" s="158" t="s">
        <v>2089</v>
      </c>
      <c r="C141" s="156"/>
      <c r="D141" s="131"/>
      <c r="E141" s="132"/>
      <c r="F141" s="47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.75" customHeight="1">
      <c r="A142" s="160"/>
      <c r="B142" s="157"/>
      <c r="C142" s="156"/>
      <c r="D142" s="131"/>
      <c r="E142" s="132"/>
      <c r="F142" s="476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.75" customHeight="1">
      <c r="A143" s="160" t="s">
        <v>382</v>
      </c>
      <c r="B143" s="157"/>
      <c r="C143" s="156"/>
      <c r="D143" s="131"/>
      <c r="E143" s="132"/>
      <c r="F143" s="476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.75" customHeight="1">
      <c r="A144" s="177"/>
      <c r="B144" s="178"/>
      <c r="C144" s="172">
        <f>SUM(C134:C143)</f>
        <v>8898</v>
      </c>
      <c r="D144" s="145">
        <f t="shared" ref="D144:E144" si="9">SUM(D132:D143)</f>
        <v>223711.106</v>
      </c>
      <c r="E144" s="146">
        <f t="shared" si="9"/>
        <v>233028.506</v>
      </c>
      <c r="F144" s="147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31.5" customHeight="1">
      <c r="A145" s="479" t="s">
        <v>2090</v>
      </c>
      <c r="B145" s="469"/>
      <c r="C145" s="370" t="s">
        <v>299</v>
      </c>
      <c r="D145" s="470" t="s">
        <v>300</v>
      </c>
      <c r="E145" s="471" t="s">
        <v>301</v>
      </c>
      <c r="F145" s="472" t="s">
        <v>11</v>
      </c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8.75" customHeight="1">
      <c r="A146" s="36" t="s">
        <v>2091</v>
      </c>
      <c r="B146" s="151"/>
      <c r="C146" s="152"/>
      <c r="D146" s="119"/>
      <c r="E146" s="120"/>
      <c r="F146" s="473" t="s">
        <v>13</v>
      </c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8.0" customHeight="1">
      <c r="A147" s="153" t="s">
        <v>303</v>
      </c>
      <c r="B147" s="49" t="s">
        <v>304</v>
      </c>
      <c r="C147" s="154"/>
      <c r="D147" s="125"/>
      <c r="E147" s="126"/>
      <c r="F147" s="474" t="s">
        <v>2092</v>
      </c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8.75" customHeight="1">
      <c r="A148" s="42" t="s">
        <v>1086</v>
      </c>
      <c r="B148" s="155" t="s">
        <v>15</v>
      </c>
      <c r="C148" s="156">
        <v>4602.0</v>
      </c>
      <c r="D148" s="131">
        <v>105010.1</v>
      </c>
      <c r="E148" s="132">
        <v>109682.38</v>
      </c>
      <c r="F148" s="475" t="s">
        <v>2093</v>
      </c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2.75" customHeight="1">
      <c r="A149" s="42" t="s">
        <v>308</v>
      </c>
      <c r="B149" s="155" t="s">
        <v>309</v>
      </c>
      <c r="C149" s="156">
        <v>2451.0</v>
      </c>
      <c r="D149" s="131">
        <v>61534.17</v>
      </c>
      <c r="E149" s="132">
        <v>64228.26</v>
      </c>
      <c r="F149" s="300" t="s">
        <v>2094</v>
      </c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2.75" customHeight="1">
      <c r="A150" s="42" t="s">
        <v>1225</v>
      </c>
      <c r="B150" s="155" t="s">
        <v>1226</v>
      </c>
      <c r="C150" s="156">
        <v>1186.0</v>
      </c>
      <c r="D150" s="131">
        <v>28304.44</v>
      </c>
      <c r="E150" s="132">
        <v>29463.57</v>
      </c>
      <c r="F150" s="475" t="s">
        <v>2095</v>
      </c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.75" customHeight="1">
      <c r="A151" s="160"/>
      <c r="B151" s="157"/>
      <c r="C151" s="156"/>
      <c r="D151" s="131"/>
      <c r="E151" s="132"/>
      <c r="F151" s="474" t="s">
        <v>2096</v>
      </c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.75" customHeight="1">
      <c r="A152" s="162" t="s">
        <v>2097</v>
      </c>
      <c r="B152" s="158" t="s">
        <v>2098</v>
      </c>
      <c r="C152" s="156"/>
      <c r="D152" s="131"/>
      <c r="E152" s="132"/>
      <c r="F152" s="474" t="s">
        <v>2099</v>
      </c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.75" customHeight="1">
      <c r="A153" s="162" t="s">
        <v>2100</v>
      </c>
      <c r="B153" s="158" t="s">
        <v>2101</v>
      </c>
      <c r="C153" s="156"/>
      <c r="D153" s="131"/>
      <c r="E153" s="132"/>
      <c r="F153" s="476" t="s">
        <v>2102</v>
      </c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.75" customHeight="1">
      <c r="A154" s="162" t="s">
        <v>2103</v>
      </c>
      <c r="B154" s="158" t="s">
        <v>2104</v>
      </c>
      <c r="C154" s="156"/>
      <c r="D154" s="131"/>
      <c r="E154" s="132"/>
      <c r="F154" s="47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.75" customHeight="1">
      <c r="A155" s="162" t="s">
        <v>2105</v>
      </c>
      <c r="B155" s="158" t="s">
        <v>2106</v>
      </c>
      <c r="C155" s="156"/>
      <c r="D155" s="131"/>
      <c r="E155" s="132"/>
      <c r="F155" s="47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.75" customHeight="1">
      <c r="A156" s="162"/>
      <c r="B156" s="158"/>
      <c r="C156" s="156"/>
      <c r="D156" s="131"/>
      <c r="E156" s="132"/>
      <c r="F156" s="47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.75" customHeight="1">
      <c r="A157" s="160" t="s">
        <v>382</v>
      </c>
      <c r="B157" s="157"/>
      <c r="C157" s="156"/>
      <c r="D157" s="131"/>
      <c r="E157" s="132"/>
      <c r="F157" s="476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.75" customHeight="1">
      <c r="A158" s="164"/>
      <c r="B158" s="178"/>
      <c r="C158" s="172">
        <f t="shared" ref="C158:E158" si="10">SUM(C146:C157)</f>
        <v>8239</v>
      </c>
      <c r="D158" s="145">
        <f t="shared" si="10"/>
        <v>194848.71</v>
      </c>
      <c r="E158" s="146">
        <f t="shared" si="10"/>
        <v>203374.21</v>
      </c>
      <c r="F158" s="480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29.25" customHeight="1">
      <c r="A159" s="479" t="s">
        <v>2107</v>
      </c>
      <c r="B159" s="469"/>
      <c r="C159" s="370" t="s">
        <v>299</v>
      </c>
      <c r="D159" s="470" t="s">
        <v>300</v>
      </c>
      <c r="E159" s="471" t="s">
        <v>301</v>
      </c>
      <c r="F159" s="472" t="s">
        <v>11</v>
      </c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.75" customHeight="1">
      <c r="A160" s="36" t="s">
        <v>2108</v>
      </c>
      <c r="B160" s="481"/>
      <c r="C160" s="482"/>
      <c r="D160" s="483"/>
      <c r="E160" s="484"/>
      <c r="F160" s="241" t="s">
        <v>13</v>
      </c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.75" customHeight="1">
      <c r="A161" s="153" t="s">
        <v>303</v>
      </c>
      <c r="B161" s="123" t="s">
        <v>304</v>
      </c>
      <c r="C161" s="204"/>
      <c r="D161" s="125"/>
      <c r="E161" s="126"/>
      <c r="F161" s="244" t="s">
        <v>2109</v>
      </c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75" customHeight="1">
      <c r="A162" s="42" t="s">
        <v>1086</v>
      </c>
      <c r="B162" s="129" t="s">
        <v>15</v>
      </c>
      <c r="C162" s="130">
        <v>639.0</v>
      </c>
      <c r="D162" s="131">
        <v>14669.75</v>
      </c>
      <c r="E162" s="132">
        <v>15339.49</v>
      </c>
      <c r="F162" s="51" t="s">
        <v>2110</v>
      </c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.75" customHeight="1">
      <c r="A163" s="42" t="s">
        <v>308</v>
      </c>
      <c r="B163" s="129" t="s">
        <v>309</v>
      </c>
      <c r="C163" s="130">
        <v>419.0</v>
      </c>
      <c r="D163" s="131">
        <v>9546.46</v>
      </c>
      <c r="E163" s="132">
        <v>9984.42</v>
      </c>
      <c r="F163" s="300" t="s">
        <v>2111</v>
      </c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75" customHeight="1">
      <c r="A164" s="160"/>
      <c r="B164" s="134"/>
      <c r="C164" s="156"/>
      <c r="D164" s="131"/>
      <c r="E164" s="132"/>
      <c r="F164" s="51" t="s">
        <v>2112</v>
      </c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75" customHeight="1">
      <c r="A165" s="162" t="s">
        <v>2113</v>
      </c>
      <c r="B165" s="134"/>
      <c r="C165" s="156"/>
      <c r="D165" s="131"/>
      <c r="E165" s="132"/>
      <c r="F165" s="244" t="s">
        <v>2114</v>
      </c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75" customHeight="1">
      <c r="A166" s="162"/>
      <c r="B166" s="134"/>
      <c r="C166" s="130"/>
      <c r="D166" s="131"/>
      <c r="E166" s="132"/>
      <c r="F166" s="244" t="s">
        <v>2115</v>
      </c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.75" customHeight="1">
      <c r="A167" s="160" t="s">
        <v>382</v>
      </c>
      <c r="B167" s="134"/>
      <c r="C167" s="130"/>
      <c r="D167" s="131"/>
      <c r="E167" s="132"/>
      <c r="F167" s="248" t="s">
        <v>2116</v>
      </c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75" customHeight="1">
      <c r="A168" s="177"/>
      <c r="B168" s="485"/>
      <c r="C168" s="172">
        <f t="shared" ref="C168:E168" si="11">SUM(C160:C167)</f>
        <v>1058</v>
      </c>
      <c r="D168" s="145">
        <f t="shared" si="11"/>
        <v>24216.21</v>
      </c>
      <c r="E168" s="146">
        <f t="shared" si="11"/>
        <v>25323.91</v>
      </c>
      <c r="F168" s="251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30.75" customHeight="1">
      <c r="A169" s="465" t="s">
        <v>2117</v>
      </c>
      <c r="B169" s="464"/>
      <c r="C169" s="112" t="s">
        <v>299</v>
      </c>
      <c r="D169" s="113" t="s">
        <v>300</v>
      </c>
      <c r="E169" s="114" t="s">
        <v>301</v>
      </c>
      <c r="F169" s="238" t="s">
        <v>11</v>
      </c>
      <c r="G169" s="52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36" t="s">
        <v>319</v>
      </c>
      <c r="B170" s="151"/>
      <c r="C170" s="152"/>
      <c r="D170" s="119"/>
      <c r="E170" s="346"/>
      <c r="F170" s="241" t="s">
        <v>2118</v>
      </c>
      <c r="G170" s="52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75" customHeight="1">
      <c r="A171" s="153" t="s">
        <v>303</v>
      </c>
      <c r="B171" s="49" t="s">
        <v>304</v>
      </c>
      <c r="C171" s="154"/>
      <c r="D171" s="125"/>
      <c r="E171" s="243"/>
      <c r="F171" s="244" t="s">
        <v>2119</v>
      </c>
      <c r="G171" s="52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75" customHeight="1">
      <c r="A172" s="173" t="s">
        <v>1086</v>
      </c>
      <c r="B172" s="174" t="s">
        <v>15</v>
      </c>
      <c r="C172" s="156">
        <v>8812.0</v>
      </c>
      <c r="D172" s="131">
        <v>223788.951</v>
      </c>
      <c r="E172" s="246">
        <v>233384.701</v>
      </c>
      <c r="F172" s="51" t="s">
        <v>2120</v>
      </c>
      <c r="G172" s="52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75" customHeight="1">
      <c r="A173" s="173" t="s">
        <v>308</v>
      </c>
      <c r="B173" s="174" t="s">
        <v>309</v>
      </c>
      <c r="C173" s="156">
        <v>3322.0</v>
      </c>
      <c r="D173" s="131">
        <v>84489.84</v>
      </c>
      <c r="E173" s="246">
        <v>88106.14</v>
      </c>
      <c r="F173" s="51" t="s">
        <v>2121</v>
      </c>
      <c r="G173" s="52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75" customHeight="1">
      <c r="A174" s="162"/>
      <c r="B174" s="157"/>
      <c r="C174" s="156"/>
      <c r="D174" s="131"/>
      <c r="E174" s="246"/>
      <c r="F174" s="51" t="s">
        <v>2122</v>
      </c>
      <c r="G174" s="52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0" customHeight="1">
      <c r="A175" s="162" t="s">
        <v>2123</v>
      </c>
      <c r="B175" s="158" t="s">
        <v>2124</v>
      </c>
      <c r="C175" s="156"/>
      <c r="D175" s="131"/>
      <c r="E175" s="246"/>
      <c r="F175" s="244" t="s">
        <v>2125</v>
      </c>
      <c r="G175" s="52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7.25" customHeight="1">
      <c r="A176" s="162" t="s">
        <v>2126</v>
      </c>
      <c r="B176" s="158" t="s">
        <v>2127</v>
      </c>
      <c r="C176" s="156"/>
      <c r="D176" s="131"/>
      <c r="E176" s="246"/>
      <c r="F176" s="244" t="s">
        <v>2128</v>
      </c>
      <c r="G176" s="52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8.0" customHeight="1">
      <c r="A177" s="162" t="s">
        <v>2129</v>
      </c>
      <c r="B177" s="158" t="s">
        <v>2130</v>
      </c>
      <c r="C177" s="193"/>
      <c r="D177" s="139"/>
      <c r="E177" s="253"/>
      <c r="F177" s="248" t="s">
        <v>2131</v>
      </c>
      <c r="G177" s="52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3.5" customHeight="1">
      <c r="A178" s="162" t="s">
        <v>2132</v>
      </c>
      <c r="B178" s="158" t="s">
        <v>2133</v>
      </c>
      <c r="C178" s="193"/>
      <c r="D178" s="139"/>
      <c r="E178" s="253"/>
      <c r="F178" s="248"/>
      <c r="G178" s="52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6.5" customHeight="1">
      <c r="A179" s="162" t="s">
        <v>2134</v>
      </c>
      <c r="B179" s="158" t="s">
        <v>2135</v>
      </c>
      <c r="C179" s="193"/>
      <c r="D179" s="139"/>
      <c r="E179" s="253"/>
      <c r="F179" s="248"/>
      <c r="G179" s="52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6.5" customHeight="1">
      <c r="A180" s="162" t="s">
        <v>2136</v>
      </c>
      <c r="B180" s="157"/>
      <c r="C180" s="193"/>
      <c r="D180" s="139"/>
      <c r="E180" s="253"/>
      <c r="F180" s="248"/>
      <c r="G180" s="52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8.75" customHeight="1">
      <c r="A181" s="162"/>
      <c r="B181" s="157"/>
      <c r="C181" s="193"/>
      <c r="D181" s="139"/>
      <c r="E181" s="253"/>
      <c r="F181" s="248"/>
      <c r="G181" s="52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8.75" customHeight="1">
      <c r="A182" s="160" t="s">
        <v>382</v>
      </c>
      <c r="B182" s="157"/>
      <c r="C182" s="193"/>
      <c r="D182" s="139"/>
      <c r="E182" s="253"/>
      <c r="F182" s="248"/>
      <c r="G182" s="52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24.0" customHeight="1">
      <c r="A183" s="177"/>
      <c r="B183" s="178"/>
      <c r="C183" s="166">
        <f t="shared" ref="C183:D183" si="12">SUM(C170:C178)</f>
        <v>12134</v>
      </c>
      <c r="D183" s="145">
        <f t="shared" si="12"/>
        <v>308278.791</v>
      </c>
      <c r="E183" s="250">
        <f>SUM(E170:E182)</f>
        <v>321490.841</v>
      </c>
      <c r="F183" s="251"/>
      <c r="G183" s="52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30.0" customHeight="1">
      <c r="A184" s="465" t="s">
        <v>2137</v>
      </c>
      <c r="B184" s="149"/>
      <c r="C184" s="112" t="s">
        <v>299</v>
      </c>
      <c r="D184" s="113" t="s">
        <v>300</v>
      </c>
      <c r="E184" s="114" t="s">
        <v>301</v>
      </c>
      <c r="F184" s="150" t="s">
        <v>11</v>
      </c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75" customHeight="1">
      <c r="A185" s="36" t="s">
        <v>523</v>
      </c>
      <c r="B185" s="151"/>
      <c r="C185" s="181"/>
      <c r="D185" s="182"/>
      <c r="E185" s="183"/>
      <c r="F185" s="121" t="s">
        <v>2118</v>
      </c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75" customHeight="1">
      <c r="A186" s="153" t="s">
        <v>303</v>
      </c>
      <c r="B186" s="49" t="s">
        <v>304</v>
      </c>
      <c r="C186" s="154"/>
      <c r="D186" s="125"/>
      <c r="E186" s="126"/>
      <c r="F186" s="127" t="s">
        <v>2138</v>
      </c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75" customHeight="1">
      <c r="A187" s="42" t="s">
        <v>1086</v>
      </c>
      <c r="B187" s="155" t="s">
        <v>15</v>
      </c>
      <c r="C187" s="156">
        <v>7229.0</v>
      </c>
      <c r="D187" s="131">
        <v>202128.92</v>
      </c>
      <c r="E187" s="132">
        <v>210086.242</v>
      </c>
      <c r="F187" s="133" t="s">
        <v>2139</v>
      </c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75" customHeight="1">
      <c r="A188" s="42" t="s">
        <v>308</v>
      </c>
      <c r="B188" s="155" t="s">
        <v>309</v>
      </c>
      <c r="C188" s="156">
        <v>2682.0</v>
      </c>
      <c r="D188" s="131">
        <v>68647.922</v>
      </c>
      <c r="E188" s="132">
        <v>71523.5</v>
      </c>
      <c r="F188" s="300" t="s">
        <v>2140</v>
      </c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0.5" customHeight="1">
      <c r="A189" s="42"/>
      <c r="B189" s="157"/>
      <c r="C189" s="156"/>
      <c r="D189" s="131"/>
      <c r="E189" s="132"/>
      <c r="F189" s="51" t="s">
        <v>2141</v>
      </c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75" customHeight="1">
      <c r="A190" s="162" t="s">
        <v>2142</v>
      </c>
      <c r="B190" s="158" t="s">
        <v>2143</v>
      </c>
      <c r="C190" s="156"/>
      <c r="D190" s="131"/>
      <c r="E190" s="132"/>
      <c r="F190" s="244" t="s">
        <v>2144</v>
      </c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0.5" customHeight="1">
      <c r="A191" s="162" t="s">
        <v>2145</v>
      </c>
      <c r="B191" s="158" t="s">
        <v>2146</v>
      </c>
      <c r="C191" s="156"/>
      <c r="D191" s="131"/>
      <c r="E191" s="132"/>
      <c r="F191" s="244" t="s">
        <v>2147</v>
      </c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3.5" customHeight="1">
      <c r="A192" s="162" t="s">
        <v>2148</v>
      </c>
      <c r="B192" s="158" t="s">
        <v>2149</v>
      </c>
      <c r="C192" s="156"/>
      <c r="D192" s="131"/>
      <c r="E192" s="132"/>
      <c r="F192" s="248" t="s">
        <v>2150</v>
      </c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0.5" customHeight="1">
      <c r="A193" s="162" t="s">
        <v>2151</v>
      </c>
      <c r="B193" s="158" t="s">
        <v>2152</v>
      </c>
      <c r="C193" s="193"/>
      <c r="D193" s="139"/>
      <c r="E193" s="140"/>
      <c r="F193" s="248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0.5" customHeight="1">
      <c r="A194" s="162" t="s">
        <v>2153</v>
      </c>
      <c r="B194" s="158" t="s">
        <v>2154</v>
      </c>
      <c r="C194" s="193"/>
      <c r="D194" s="139"/>
      <c r="E194" s="140"/>
      <c r="F194" s="141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6.5" customHeight="1">
      <c r="A195" s="160"/>
      <c r="B195" s="157"/>
      <c r="C195" s="193"/>
      <c r="D195" s="139"/>
      <c r="E195" s="140"/>
      <c r="F195" s="141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6.5" customHeight="1">
      <c r="A196" s="160" t="s">
        <v>382</v>
      </c>
      <c r="B196" s="157"/>
      <c r="C196" s="193"/>
      <c r="D196" s="139"/>
      <c r="E196" s="140"/>
      <c r="F196" s="141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6.5" customHeight="1">
      <c r="A197" s="486"/>
      <c r="B197" s="178"/>
      <c r="C197" s="172">
        <f t="shared" ref="C197:E197" si="13">SUM(C185:C192)</f>
        <v>9911</v>
      </c>
      <c r="D197" s="145">
        <f t="shared" si="13"/>
        <v>270776.842</v>
      </c>
      <c r="E197" s="146">
        <f t="shared" si="13"/>
        <v>281609.742</v>
      </c>
      <c r="F197" s="147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32.25" customHeight="1">
      <c r="A198" s="465" t="s">
        <v>2155</v>
      </c>
      <c r="B198" s="149"/>
      <c r="C198" s="112" t="s">
        <v>299</v>
      </c>
      <c r="D198" s="113" t="s">
        <v>300</v>
      </c>
      <c r="E198" s="114" t="s">
        <v>301</v>
      </c>
      <c r="F198" s="150" t="s">
        <v>11</v>
      </c>
      <c r="G198" s="52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75" customHeight="1">
      <c r="A199" s="36" t="s">
        <v>440</v>
      </c>
      <c r="B199" s="151"/>
      <c r="C199" s="181"/>
      <c r="D199" s="182"/>
      <c r="E199" s="183"/>
      <c r="F199" s="121" t="s">
        <v>2118</v>
      </c>
      <c r="G199" s="52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75" customHeight="1">
      <c r="A200" s="153" t="s">
        <v>303</v>
      </c>
      <c r="B200" s="49" t="s">
        <v>304</v>
      </c>
      <c r="C200" s="184"/>
      <c r="D200" s="185"/>
      <c r="E200" s="186"/>
      <c r="F200" s="127" t="s">
        <v>2156</v>
      </c>
      <c r="G200" s="52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75" customHeight="1">
      <c r="A201" s="42" t="s">
        <v>1086</v>
      </c>
      <c r="B201" s="155" t="s">
        <v>15</v>
      </c>
      <c r="C201" s="156">
        <v>12868.0</v>
      </c>
      <c r="D201" s="131">
        <v>333216.419</v>
      </c>
      <c r="E201" s="132">
        <v>346637.299</v>
      </c>
      <c r="F201" s="133" t="s">
        <v>2157</v>
      </c>
      <c r="G201" s="52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.75" customHeight="1">
      <c r="A202" s="42" t="s">
        <v>308</v>
      </c>
      <c r="B202" s="155" t="s">
        <v>309</v>
      </c>
      <c r="C202" s="156">
        <v>3342.0</v>
      </c>
      <c r="D202" s="131">
        <v>86079.415</v>
      </c>
      <c r="E202" s="132">
        <v>89558.035</v>
      </c>
      <c r="F202" s="133" t="s">
        <v>2158</v>
      </c>
      <c r="G202" s="52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75" customHeight="1">
      <c r="A203" s="173"/>
      <c r="B203" s="157"/>
      <c r="C203" s="156"/>
      <c r="D203" s="131"/>
      <c r="E203" s="132"/>
      <c r="F203" s="51" t="s">
        <v>2159</v>
      </c>
      <c r="G203" s="52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75" customHeight="1">
      <c r="A204" s="160" t="s">
        <v>2160</v>
      </c>
      <c r="B204" s="157" t="s">
        <v>2161</v>
      </c>
      <c r="C204" s="156"/>
      <c r="D204" s="131"/>
      <c r="E204" s="132"/>
      <c r="F204" s="127" t="s">
        <v>2162</v>
      </c>
      <c r="G204" s="52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75" customHeight="1">
      <c r="A205" s="160" t="s">
        <v>2163</v>
      </c>
      <c r="B205" s="157" t="s">
        <v>2164</v>
      </c>
      <c r="C205" s="156"/>
      <c r="D205" s="131"/>
      <c r="E205" s="132"/>
      <c r="F205" s="127" t="s">
        <v>2165</v>
      </c>
      <c r="G205" s="52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75" customHeight="1">
      <c r="A206" s="160" t="s">
        <v>2166</v>
      </c>
      <c r="B206" s="157" t="s">
        <v>2167</v>
      </c>
      <c r="C206" s="156"/>
      <c r="D206" s="131"/>
      <c r="E206" s="132"/>
      <c r="F206" s="141" t="s">
        <v>2168</v>
      </c>
      <c r="G206" s="52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160" t="s">
        <v>2169</v>
      </c>
      <c r="B207" s="157" t="s">
        <v>2170</v>
      </c>
      <c r="C207" s="156"/>
      <c r="D207" s="131"/>
      <c r="E207" s="132"/>
      <c r="F207" s="141"/>
      <c r="G207" s="52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75" customHeight="1">
      <c r="A208" s="160" t="s">
        <v>2171</v>
      </c>
      <c r="B208" s="157" t="s">
        <v>2172</v>
      </c>
      <c r="C208" s="156"/>
      <c r="D208" s="131"/>
      <c r="E208" s="132"/>
      <c r="F208" s="141"/>
      <c r="G208" s="52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160" t="s">
        <v>2173</v>
      </c>
      <c r="B209" s="157" t="s">
        <v>2174</v>
      </c>
      <c r="C209" s="156"/>
      <c r="D209" s="131"/>
      <c r="E209" s="132"/>
      <c r="F209" s="141"/>
      <c r="G209" s="52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0" customHeight="1">
      <c r="A210" s="160" t="s">
        <v>2175</v>
      </c>
      <c r="B210" s="157" t="s">
        <v>2176</v>
      </c>
      <c r="C210" s="156"/>
      <c r="D210" s="131"/>
      <c r="E210" s="132"/>
      <c r="F210" s="141"/>
      <c r="G210" s="52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0" customHeight="1">
      <c r="A211" s="160" t="s">
        <v>2177</v>
      </c>
      <c r="B211" s="49"/>
      <c r="C211" s="156"/>
      <c r="D211" s="131"/>
      <c r="E211" s="132"/>
      <c r="F211" s="141"/>
      <c r="G211" s="52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6.5" customHeight="1">
      <c r="A212" s="42"/>
      <c r="B212" s="49"/>
      <c r="C212" s="156"/>
      <c r="D212" s="131"/>
      <c r="E212" s="132"/>
      <c r="F212" s="141"/>
      <c r="G212" s="52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8.75" customHeight="1">
      <c r="A213" s="42" t="s">
        <v>382</v>
      </c>
      <c r="B213" s="49"/>
      <c r="C213" s="156"/>
      <c r="D213" s="131"/>
      <c r="E213" s="132"/>
      <c r="F213" s="141"/>
      <c r="G213" s="52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24.75" customHeight="1">
      <c r="A214" s="177"/>
      <c r="B214" s="178"/>
      <c r="C214" s="172">
        <f t="shared" ref="C214:E214" si="14">SUM(C199:C213)</f>
        <v>16210</v>
      </c>
      <c r="D214" s="145">
        <f t="shared" si="14"/>
        <v>419295.834</v>
      </c>
      <c r="E214" s="146">
        <f t="shared" si="14"/>
        <v>436195.334</v>
      </c>
      <c r="F214" s="147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75" customHeight="1">
      <c r="A215" s="487"/>
      <c r="B215" s="488"/>
      <c r="C215" s="489"/>
      <c r="D215" s="490"/>
      <c r="E215" s="490"/>
      <c r="F215" s="491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75" customHeight="1">
      <c r="A216" s="492"/>
      <c r="B216" s="493"/>
      <c r="C216" s="494" t="s">
        <v>292</v>
      </c>
      <c r="D216" s="495" t="s">
        <v>292</v>
      </c>
      <c r="E216" s="496" t="s">
        <v>292</v>
      </c>
      <c r="F216" s="497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75" customHeight="1">
      <c r="A217" s="498"/>
      <c r="B217" s="499"/>
      <c r="C217" s="274">
        <f t="shared" ref="C217:E217" si="15">SUM(C27+C45+C58+C73+C87+C98+C116+C130+C144+C158+C168+C183+C197+C214)</f>
        <v>135516</v>
      </c>
      <c r="D217" s="275">
        <f t="shared" si="15"/>
        <v>3468813.492</v>
      </c>
      <c r="E217" s="275">
        <f t="shared" si="15"/>
        <v>3613171.042</v>
      </c>
      <c r="F217" s="500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75" customHeight="1">
      <c r="A218" s="4"/>
      <c r="B218" s="101"/>
      <c r="C218" s="4"/>
      <c r="D218" s="102"/>
      <c r="E218" s="103"/>
      <c r="F218" s="10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75" customHeight="1">
      <c r="A219" s="4"/>
      <c r="B219" s="101"/>
      <c r="C219" s="4"/>
      <c r="D219" s="102"/>
      <c r="E219" s="103"/>
      <c r="F219" s="10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75" customHeight="1">
      <c r="A220" s="4"/>
      <c r="B220" s="101"/>
      <c r="C220" s="4"/>
      <c r="D220" s="102"/>
      <c r="E220" s="103"/>
      <c r="F220" s="10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2.75" customHeight="1">
      <c r="A221" s="4"/>
      <c r="B221" s="101"/>
      <c r="C221" s="4"/>
      <c r="D221" s="102"/>
      <c r="E221" s="103"/>
      <c r="F221" s="10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2.75" customHeight="1">
      <c r="A222" s="4"/>
      <c r="B222" s="101"/>
      <c r="C222" s="4"/>
      <c r="D222" s="102"/>
      <c r="E222" s="103"/>
      <c r="F222" s="10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2.75" customHeight="1">
      <c r="A223" s="4"/>
      <c r="B223" s="101"/>
      <c r="C223" s="4"/>
      <c r="D223" s="102"/>
      <c r="E223" s="103"/>
      <c r="F223" s="10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2.75" customHeight="1">
      <c r="A224" s="4"/>
      <c r="B224" s="101"/>
      <c r="C224" s="4"/>
      <c r="D224" s="102"/>
      <c r="E224" s="103"/>
      <c r="F224" s="10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2.75" customHeight="1">
      <c r="A225" s="4"/>
      <c r="B225" s="101"/>
      <c r="C225" s="4"/>
      <c r="D225" s="102"/>
      <c r="E225" s="103"/>
      <c r="F225" s="10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2.75" customHeight="1">
      <c r="A226" s="4"/>
      <c r="B226" s="101"/>
      <c r="C226" s="4"/>
      <c r="D226" s="102"/>
      <c r="E226" s="103"/>
      <c r="F226" s="10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2.75" customHeight="1">
      <c r="A227" s="4"/>
      <c r="B227" s="101"/>
      <c r="C227" s="4"/>
      <c r="D227" s="102"/>
      <c r="E227" s="103"/>
      <c r="F227" s="10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2.75" customHeight="1">
      <c r="A228" s="4"/>
      <c r="B228" s="101"/>
      <c r="C228" s="4"/>
      <c r="D228" s="102"/>
      <c r="E228" s="103"/>
      <c r="F228" s="10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2.75" customHeight="1">
      <c r="A229" s="4"/>
      <c r="B229" s="101"/>
      <c r="C229" s="4"/>
      <c r="D229" s="102"/>
      <c r="E229" s="103"/>
      <c r="F229" s="10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2.75" customHeight="1">
      <c r="A230" s="4"/>
      <c r="B230" s="101"/>
      <c r="C230" s="4"/>
      <c r="D230" s="102"/>
      <c r="E230" s="103"/>
      <c r="F230" s="10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2.75" customHeight="1">
      <c r="A231" s="4"/>
      <c r="B231" s="101"/>
      <c r="C231" s="4"/>
      <c r="D231" s="102"/>
      <c r="E231" s="103"/>
      <c r="F231" s="10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2.75" customHeight="1">
      <c r="A232" s="4"/>
      <c r="B232" s="101"/>
      <c r="C232" s="4"/>
      <c r="D232" s="102"/>
      <c r="E232" s="103"/>
      <c r="F232" s="10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2.75" customHeight="1">
      <c r="A233" s="4"/>
      <c r="B233" s="101"/>
      <c r="C233" s="4"/>
      <c r="D233" s="102"/>
      <c r="E233" s="103"/>
      <c r="F233" s="10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2.75" customHeight="1">
      <c r="A234" s="4"/>
      <c r="B234" s="101"/>
      <c r="C234" s="4"/>
      <c r="D234" s="102"/>
      <c r="E234" s="103"/>
      <c r="F234" s="10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2.75" customHeight="1">
      <c r="A235" s="4"/>
      <c r="B235" s="101"/>
      <c r="C235" s="4"/>
      <c r="D235" s="102"/>
      <c r="E235" s="103"/>
      <c r="F235" s="10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2.75" customHeight="1">
      <c r="A236" s="4"/>
      <c r="B236" s="101"/>
      <c r="C236" s="4"/>
      <c r="D236" s="102"/>
      <c r="E236" s="103"/>
      <c r="F236" s="10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2.75" customHeight="1">
      <c r="A237" s="4"/>
      <c r="B237" s="101"/>
      <c r="C237" s="4"/>
      <c r="D237" s="102"/>
      <c r="E237" s="103"/>
      <c r="F237" s="10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2.75" customHeight="1">
      <c r="A238" s="4"/>
      <c r="B238" s="101"/>
      <c r="C238" s="4"/>
      <c r="D238" s="102"/>
      <c r="E238" s="103"/>
      <c r="F238" s="10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2.75" customHeight="1">
      <c r="A239" s="4"/>
      <c r="B239" s="101"/>
      <c r="C239" s="4"/>
      <c r="D239" s="102"/>
      <c r="E239" s="103"/>
      <c r="F239" s="10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2.75" customHeight="1">
      <c r="A240" s="4"/>
      <c r="B240" s="101"/>
      <c r="C240" s="4"/>
      <c r="D240" s="102"/>
      <c r="E240" s="103"/>
      <c r="F240" s="10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2.75" customHeight="1">
      <c r="A241" s="4"/>
      <c r="B241" s="101"/>
      <c r="C241" s="4"/>
      <c r="D241" s="102"/>
      <c r="E241" s="103"/>
      <c r="F241" s="10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2.75" customHeight="1">
      <c r="A242" s="4"/>
      <c r="B242" s="101"/>
      <c r="C242" s="4"/>
      <c r="D242" s="102"/>
      <c r="E242" s="103"/>
      <c r="F242" s="10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2.75" customHeight="1">
      <c r="A243" s="4"/>
      <c r="B243" s="101"/>
      <c r="C243" s="4"/>
      <c r="D243" s="102"/>
      <c r="E243" s="103"/>
      <c r="F243" s="10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2.75" customHeight="1">
      <c r="A244" s="4"/>
      <c r="B244" s="101"/>
      <c r="C244" s="4"/>
      <c r="D244" s="102"/>
      <c r="E244" s="103"/>
      <c r="F244" s="10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2.75" customHeight="1">
      <c r="A245" s="4"/>
      <c r="B245" s="101"/>
      <c r="C245" s="4"/>
      <c r="D245" s="102"/>
      <c r="E245" s="103"/>
      <c r="F245" s="10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2.75" customHeight="1">
      <c r="A246" s="4"/>
      <c r="B246" s="101"/>
      <c r="C246" s="4"/>
      <c r="D246" s="102"/>
      <c r="E246" s="103"/>
      <c r="F246" s="10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2.75" customHeight="1">
      <c r="A247" s="4"/>
      <c r="B247" s="101"/>
      <c r="C247" s="4"/>
      <c r="D247" s="102"/>
      <c r="E247" s="103"/>
      <c r="F247" s="10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2.75" customHeight="1">
      <c r="A248" s="4"/>
      <c r="B248" s="101"/>
      <c r="C248" s="4"/>
      <c r="D248" s="102"/>
      <c r="E248" s="103"/>
      <c r="F248" s="10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2.75" customHeight="1">
      <c r="A249" s="4"/>
      <c r="B249" s="101"/>
      <c r="C249" s="4"/>
      <c r="D249" s="102"/>
      <c r="E249" s="103"/>
      <c r="F249" s="10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2.75" customHeight="1">
      <c r="A250" s="4"/>
      <c r="B250" s="101"/>
      <c r="C250" s="4"/>
      <c r="D250" s="102"/>
      <c r="E250" s="103"/>
      <c r="F250" s="10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2.75" customHeight="1">
      <c r="A251" s="4"/>
      <c r="B251" s="101"/>
      <c r="C251" s="4"/>
      <c r="D251" s="102"/>
      <c r="E251" s="103"/>
      <c r="F251" s="10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2.75" customHeight="1">
      <c r="A252" s="4"/>
      <c r="B252" s="101"/>
      <c r="C252" s="4"/>
      <c r="D252" s="102"/>
      <c r="E252" s="103"/>
      <c r="F252" s="10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2.75" customHeight="1">
      <c r="A253" s="4"/>
      <c r="B253" s="101"/>
      <c r="C253" s="4"/>
      <c r="D253" s="102"/>
      <c r="E253" s="103"/>
      <c r="F253" s="10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2.75" customHeight="1">
      <c r="A254" s="4"/>
      <c r="B254" s="101"/>
      <c r="C254" s="4"/>
      <c r="D254" s="102"/>
      <c r="E254" s="103"/>
      <c r="F254" s="10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2.75" customHeight="1">
      <c r="A255" s="4"/>
      <c r="B255" s="101"/>
      <c r="C255" s="4"/>
      <c r="D255" s="102"/>
      <c r="E255" s="103"/>
      <c r="F255" s="10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2.75" customHeight="1">
      <c r="A256" s="4"/>
      <c r="B256" s="101"/>
      <c r="C256" s="4"/>
      <c r="D256" s="102"/>
      <c r="E256" s="103"/>
      <c r="F256" s="10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2.75" customHeight="1">
      <c r="A257" s="4"/>
      <c r="B257" s="101"/>
      <c r="C257" s="4"/>
      <c r="D257" s="102"/>
      <c r="E257" s="103"/>
      <c r="F257" s="10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2.75" customHeight="1">
      <c r="A258" s="4"/>
      <c r="B258" s="101"/>
      <c r="C258" s="4"/>
      <c r="D258" s="102"/>
      <c r="E258" s="103"/>
      <c r="F258" s="10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2.75" customHeight="1">
      <c r="A259" s="4"/>
      <c r="B259" s="101"/>
      <c r="C259" s="4"/>
      <c r="D259" s="102"/>
      <c r="E259" s="103"/>
      <c r="F259" s="10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2.75" customHeight="1">
      <c r="A260" s="4"/>
      <c r="B260" s="101"/>
      <c r="C260" s="4"/>
      <c r="D260" s="102"/>
      <c r="E260" s="103"/>
      <c r="F260" s="10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2.75" customHeight="1">
      <c r="A261" s="4"/>
      <c r="B261" s="101"/>
      <c r="C261" s="4"/>
      <c r="D261" s="102"/>
      <c r="E261" s="103"/>
      <c r="F261" s="10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2.75" customHeight="1">
      <c r="A262" s="4"/>
      <c r="B262" s="101"/>
      <c r="C262" s="4"/>
      <c r="D262" s="102"/>
      <c r="E262" s="103"/>
      <c r="F262" s="10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2.75" customHeight="1">
      <c r="A263" s="4"/>
      <c r="B263" s="101"/>
      <c r="C263" s="4"/>
      <c r="D263" s="102"/>
      <c r="E263" s="103"/>
      <c r="F263" s="10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2.75" customHeight="1">
      <c r="A264" s="4"/>
      <c r="B264" s="101"/>
      <c r="C264" s="4"/>
      <c r="D264" s="102"/>
      <c r="E264" s="103"/>
      <c r="F264" s="10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2.75" customHeight="1">
      <c r="A265" s="4"/>
      <c r="B265" s="101"/>
      <c r="C265" s="4"/>
      <c r="D265" s="102"/>
      <c r="E265" s="103"/>
      <c r="F265" s="10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2.75" customHeight="1">
      <c r="A266" s="4"/>
      <c r="B266" s="101"/>
      <c r="C266" s="4"/>
      <c r="D266" s="102"/>
      <c r="E266" s="103"/>
      <c r="F266" s="10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2.75" customHeight="1">
      <c r="A267" s="4"/>
      <c r="B267" s="101"/>
      <c r="C267" s="4"/>
      <c r="D267" s="102"/>
      <c r="E267" s="103"/>
      <c r="F267" s="10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2.75" customHeight="1">
      <c r="A268" s="4"/>
      <c r="B268" s="101"/>
      <c r="C268" s="4"/>
      <c r="D268" s="102"/>
      <c r="E268" s="103"/>
      <c r="F268" s="10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2.75" customHeight="1">
      <c r="A269" s="4"/>
      <c r="B269" s="101"/>
      <c r="C269" s="4"/>
      <c r="D269" s="102"/>
      <c r="E269" s="103"/>
      <c r="F269" s="10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2.75" customHeight="1">
      <c r="A270" s="4"/>
      <c r="B270" s="101"/>
      <c r="C270" s="4"/>
      <c r="D270" s="102"/>
      <c r="E270" s="103"/>
      <c r="F270" s="10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2.75" customHeight="1">
      <c r="A271" s="4"/>
      <c r="B271" s="101"/>
      <c r="C271" s="4"/>
      <c r="D271" s="102"/>
      <c r="E271" s="103"/>
      <c r="F271" s="10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2.75" customHeight="1">
      <c r="A272" s="4"/>
      <c r="B272" s="101"/>
      <c r="C272" s="4"/>
      <c r="D272" s="102"/>
      <c r="E272" s="103"/>
      <c r="F272" s="10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2.75" customHeight="1">
      <c r="A273" s="4"/>
      <c r="B273" s="101"/>
      <c r="C273" s="4"/>
      <c r="D273" s="102"/>
      <c r="E273" s="103"/>
      <c r="F273" s="10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2.75" customHeight="1">
      <c r="A274" s="4"/>
      <c r="B274" s="101"/>
      <c r="C274" s="4"/>
      <c r="D274" s="102"/>
      <c r="E274" s="103"/>
      <c r="F274" s="10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2.75" customHeight="1">
      <c r="A275" s="4"/>
      <c r="B275" s="101"/>
      <c r="C275" s="4"/>
      <c r="D275" s="102"/>
      <c r="E275" s="103"/>
      <c r="F275" s="10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2.75" customHeight="1">
      <c r="A276" s="4"/>
      <c r="B276" s="101"/>
      <c r="C276" s="4"/>
      <c r="D276" s="102"/>
      <c r="E276" s="103"/>
      <c r="F276" s="10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2.75" customHeight="1">
      <c r="A277" s="4"/>
      <c r="B277" s="101"/>
      <c r="C277" s="4"/>
      <c r="D277" s="102"/>
      <c r="E277" s="103"/>
      <c r="F277" s="10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2.75" customHeight="1">
      <c r="A278" s="4"/>
      <c r="B278" s="101"/>
      <c r="C278" s="4"/>
      <c r="D278" s="102"/>
      <c r="E278" s="103"/>
      <c r="F278" s="10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2.75" customHeight="1">
      <c r="A279" s="4"/>
      <c r="B279" s="101"/>
      <c r="C279" s="4"/>
      <c r="D279" s="102"/>
      <c r="E279" s="103"/>
      <c r="F279" s="10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2.75" customHeight="1">
      <c r="A280" s="4"/>
      <c r="B280" s="101"/>
      <c r="C280" s="4"/>
      <c r="D280" s="102"/>
      <c r="E280" s="103"/>
      <c r="F280" s="10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2.75" customHeight="1">
      <c r="A281" s="4"/>
      <c r="B281" s="101"/>
      <c r="C281" s="4"/>
      <c r="D281" s="102"/>
      <c r="E281" s="103"/>
      <c r="F281" s="10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2.75" customHeight="1">
      <c r="A282" s="4"/>
      <c r="B282" s="101"/>
      <c r="C282" s="4"/>
      <c r="D282" s="102"/>
      <c r="E282" s="103"/>
      <c r="F282" s="10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2.75" customHeight="1">
      <c r="A283" s="4"/>
      <c r="B283" s="101"/>
      <c r="C283" s="4"/>
      <c r="D283" s="102"/>
      <c r="E283" s="103"/>
      <c r="F283" s="10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2.75" customHeight="1">
      <c r="A284" s="4"/>
      <c r="B284" s="101"/>
      <c r="C284" s="4"/>
      <c r="D284" s="102"/>
      <c r="E284" s="103"/>
      <c r="F284" s="10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2.75" customHeight="1">
      <c r="A285" s="4"/>
      <c r="B285" s="101"/>
      <c r="C285" s="4"/>
      <c r="D285" s="102"/>
      <c r="E285" s="103"/>
      <c r="F285" s="10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2.75" customHeight="1">
      <c r="A286" s="4"/>
      <c r="B286" s="101"/>
      <c r="C286" s="4"/>
      <c r="D286" s="102"/>
      <c r="E286" s="103"/>
      <c r="F286" s="10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2.75" customHeight="1">
      <c r="A287" s="4"/>
      <c r="B287" s="101"/>
      <c r="C287" s="4"/>
      <c r="D287" s="102"/>
      <c r="E287" s="103"/>
      <c r="F287" s="10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2.75" customHeight="1">
      <c r="A288" s="4"/>
      <c r="B288" s="101"/>
      <c r="C288" s="4"/>
      <c r="D288" s="102"/>
      <c r="E288" s="103"/>
      <c r="F288" s="10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2.75" customHeight="1">
      <c r="A289" s="4"/>
      <c r="B289" s="101"/>
      <c r="C289" s="4"/>
      <c r="D289" s="102"/>
      <c r="E289" s="103"/>
      <c r="F289" s="10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2.75" customHeight="1">
      <c r="A290" s="4"/>
      <c r="B290" s="101"/>
      <c r="C290" s="4"/>
      <c r="D290" s="102"/>
      <c r="E290" s="103"/>
      <c r="F290" s="10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2.75" customHeight="1">
      <c r="A291" s="4"/>
      <c r="B291" s="101"/>
      <c r="C291" s="4"/>
      <c r="D291" s="102"/>
      <c r="E291" s="103"/>
      <c r="F291" s="10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2.75" customHeight="1">
      <c r="A292" s="4"/>
      <c r="B292" s="101"/>
      <c r="C292" s="4"/>
      <c r="D292" s="102"/>
      <c r="E292" s="103"/>
      <c r="F292" s="10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2.75" customHeight="1">
      <c r="A293" s="4"/>
      <c r="B293" s="101"/>
      <c r="C293" s="4"/>
      <c r="D293" s="102"/>
      <c r="E293" s="103"/>
      <c r="F293" s="10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2.75" customHeight="1">
      <c r="A294" s="4"/>
      <c r="B294" s="101"/>
      <c r="C294" s="4"/>
      <c r="D294" s="102"/>
      <c r="E294" s="103"/>
      <c r="F294" s="10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2.75" customHeight="1">
      <c r="A295" s="4"/>
      <c r="B295" s="101"/>
      <c r="C295" s="4"/>
      <c r="D295" s="102"/>
      <c r="E295" s="103"/>
      <c r="F295" s="10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2.75" customHeight="1">
      <c r="A296" s="4"/>
      <c r="B296" s="101"/>
      <c r="C296" s="4"/>
      <c r="D296" s="102"/>
      <c r="E296" s="103"/>
      <c r="F296" s="10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2.75" customHeight="1">
      <c r="A297" s="4"/>
      <c r="B297" s="101"/>
      <c r="C297" s="4"/>
      <c r="D297" s="102"/>
      <c r="E297" s="103"/>
      <c r="F297" s="10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2.75" customHeight="1">
      <c r="A298" s="4"/>
      <c r="B298" s="101"/>
      <c r="C298" s="4"/>
      <c r="D298" s="102"/>
      <c r="E298" s="103"/>
      <c r="F298" s="10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2.75" customHeight="1">
      <c r="A299" s="4"/>
      <c r="B299" s="101"/>
      <c r="C299" s="4"/>
      <c r="D299" s="102"/>
      <c r="E299" s="103"/>
      <c r="F299" s="10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2.75" customHeight="1">
      <c r="A300" s="4"/>
      <c r="B300" s="101"/>
      <c r="C300" s="4"/>
      <c r="D300" s="102"/>
      <c r="E300" s="103"/>
      <c r="F300" s="10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2.75" customHeight="1">
      <c r="A301" s="4"/>
      <c r="B301" s="101"/>
      <c r="C301" s="4"/>
      <c r="D301" s="102"/>
      <c r="E301" s="103"/>
      <c r="F301" s="10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2.75" customHeight="1">
      <c r="A302" s="4"/>
      <c r="B302" s="101"/>
      <c r="C302" s="4"/>
      <c r="D302" s="102"/>
      <c r="E302" s="103"/>
      <c r="F302" s="10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2.75" customHeight="1">
      <c r="A303" s="4"/>
      <c r="B303" s="101"/>
      <c r="C303" s="4"/>
      <c r="D303" s="102"/>
      <c r="E303" s="103"/>
      <c r="F303" s="10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2.75" customHeight="1">
      <c r="A304" s="4"/>
      <c r="B304" s="101"/>
      <c r="C304" s="4"/>
      <c r="D304" s="102"/>
      <c r="E304" s="103"/>
      <c r="F304" s="10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2.75" customHeight="1">
      <c r="A305" s="4"/>
      <c r="B305" s="101"/>
      <c r="C305" s="4"/>
      <c r="D305" s="102"/>
      <c r="E305" s="103"/>
      <c r="F305" s="10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2.75" customHeight="1">
      <c r="A306" s="4"/>
      <c r="B306" s="101"/>
      <c r="C306" s="4"/>
      <c r="D306" s="102"/>
      <c r="E306" s="103"/>
      <c r="F306" s="10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2.75" customHeight="1">
      <c r="A307" s="4"/>
      <c r="B307" s="101"/>
      <c r="C307" s="4"/>
      <c r="D307" s="102"/>
      <c r="E307" s="103"/>
      <c r="F307" s="10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2.75" customHeight="1">
      <c r="A308" s="4"/>
      <c r="B308" s="101"/>
      <c r="C308" s="4"/>
      <c r="D308" s="102"/>
      <c r="E308" s="103"/>
      <c r="F308" s="10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2.75" customHeight="1">
      <c r="A309" s="4"/>
      <c r="B309" s="101"/>
      <c r="C309" s="4"/>
      <c r="D309" s="102"/>
      <c r="E309" s="103"/>
      <c r="F309" s="10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2.75" customHeight="1">
      <c r="A310" s="4"/>
      <c r="B310" s="101"/>
      <c r="C310" s="4"/>
      <c r="D310" s="102"/>
      <c r="E310" s="103"/>
      <c r="F310" s="10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2.75" customHeight="1">
      <c r="A311" s="4"/>
      <c r="B311" s="101"/>
      <c r="C311" s="4"/>
      <c r="D311" s="102"/>
      <c r="E311" s="103"/>
      <c r="F311" s="10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2.75" customHeight="1">
      <c r="A312" s="4"/>
      <c r="B312" s="101"/>
      <c r="C312" s="4"/>
      <c r="D312" s="102"/>
      <c r="E312" s="103"/>
      <c r="F312" s="10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2.75" customHeight="1">
      <c r="A313" s="4"/>
      <c r="B313" s="101"/>
      <c r="C313" s="4"/>
      <c r="D313" s="102"/>
      <c r="E313" s="103"/>
      <c r="F313" s="10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2.75" customHeight="1">
      <c r="A314" s="4"/>
      <c r="B314" s="101"/>
      <c r="C314" s="4"/>
      <c r="D314" s="102"/>
      <c r="E314" s="103"/>
      <c r="F314" s="10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2.75" customHeight="1">
      <c r="A315" s="4"/>
      <c r="B315" s="101"/>
      <c r="C315" s="4"/>
      <c r="D315" s="102"/>
      <c r="E315" s="103"/>
      <c r="F315" s="10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2.75" customHeight="1">
      <c r="A316" s="4"/>
      <c r="B316" s="101"/>
      <c r="C316" s="4"/>
      <c r="D316" s="102"/>
      <c r="E316" s="103"/>
      <c r="F316" s="10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2.75" customHeight="1">
      <c r="A317" s="4"/>
      <c r="B317" s="101"/>
      <c r="C317" s="4"/>
      <c r="D317" s="102"/>
      <c r="E317" s="103"/>
      <c r="F317" s="10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2.75" customHeight="1">
      <c r="A318" s="4"/>
      <c r="B318" s="101"/>
      <c r="C318" s="4"/>
      <c r="D318" s="102"/>
      <c r="E318" s="103"/>
      <c r="F318" s="10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2.75" customHeight="1">
      <c r="A319" s="4"/>
      <c r="B319" s="101"/>
      <c r="C319" s="4"/>
      <c r="D319" s="102"/>
      <c r="E319" s="103"/>
      <c r="F319" s="10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2.75" customHeight="1">
      <c r="A320" s="4"/>
      <c r="B320" s="101"/>
      <c r="C320" s="4"/>
      <c r="D320" s="102"/>
      <c r="E320" s="103"/>
      <c r="F320" s="10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2.75" customHeight="1">
      <c r="A321" s="4"/>
      <c r="B321" s="101"/>
      <c r="C321" s="4"/>
      <c r="D321" s="102"/>
      <c r="E321" s="103"/>
      <c r="F321" s="10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2.75" customHeight="1">
      <c r="A322" s="4"/>
      <c r="B322" s="101"/>
      <c r="C322" s="4"/>
      <c r="D322" s="102"/>
      <c r="E322" s="103"/>
      <c r="F322" s="10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2.75" customHeight="1">
      <c r="A323" s="4"/>
      <c r="B323" s="101"/>
      <c r="C323" s="4"/>
      <c r="D323" s="102"/>
      <c r="E323" s="103"/>
      <c r="F323" s="10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2.75" customHeight="1">
      <c r="A324" s="4"/>
      <c r="B324" s="101"/>
      <c r="C324" s="4"/>
      <c r="D324" s="102"/>
      <c r="E324" s="103"/>
      <c r="F324" s="10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2.75" customHeight="1">
      <c r="A325" s="4"/>
      <c r="B325" s="101"/>
      <c r="C325" s="4"/>
      <c r="D325" s="102"/>
      <c r="E325" s="103"/>
      <c r="F325" s="10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2.75" customHeight="1">
      <c r="A326" s="4"/>
      <c r="B326" s="101"/>
      <c r="C326" s="4"/>
      <c r="D326" s="102"/>
      <c r="E326" s="103"/>
      <c r="F326" s="10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2.75" customHeight="1">
      <c r="A327" s="4"/>
      <c r="B327" s="101"/>
      <c r="C327" s="4"/>
      <c r="D327" s="102"/>
      <c r="E327" s="103"/>
      <c r="F327" s="10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2.75" customHeight="1">
      <c r="A328" s="4"/>
      <c r="B328" s="101"/>
      <c r="C328" s="4"/>
      <c r="D328" s="102"/>
      <c r="E328" s="103"/>
      <c r="F328" s="10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2.75" customHeight="1">
      <c r="A329" s="4"/>
      <c r="B329" s="101"/>
      <c r="C329" s="4"/>
      <c r="D329" s="102"/>
      <c r="E329" s="103"/>
      <c r="F329" s="10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2.75" customHeight="1">
      <c r="A330" s="4"/>
      <c r="B330" s="101"/>
      <c r="C330" s="4"/>
      <c r="D330" s="102"/>
      <c r="E330" s="103"/>
      <c r="F330" s="10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2.75" customHeight="1">
      <c r="A331" s="4"/>
      <c r="B331" s="101"/>
      <c r="C331" s="4"/>
      <c r="D331" s="102"/>
      <c r="E331" s="103"/>
      <c r="F331" s="10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2.75" customHeight="1">
      <c r="A332" s="4"/>
      <c r="B332" s="101"/>
      <c r="C332" s="4"/>
      <c r="D332" s="102"/>
      <c r="E332" s="103"/>
      <c r="F332" s="10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2.75" customHeight="1">
      <c r="A333" s="4"/>
      <c r="B333" s="101"/>
      <c r="C333" s="4"/>
      <c r="D333" s="102"/>
      <c r="E333" s="103"/>
      <c r="F333" s="10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2.75" customHeight="1">
      <c r="A334" s="4"/>
      <c r="B334" s="101"/>
      <c r="C334" s="4"/>
      <c r="D334" s="102"/>
      <c r="E334" s="103"/>
      <c r="F334" s="10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2.75" customHeight="1">
      <c r="A335" s="4"/>
      <c r="B335" s="101"/>
      <c r="C335" s="4"/>
      <c r="D335" s="102"/>
      <c r="E335" s="103"/>
      <c r="F335" s="10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2.75" customHeight="1">
      <c r="A336" s="4"/>
      <c r="B336" s="101"/>
      <c r="C336" s="4"/>
      <c r="D336" s="102"/>
      <c r="E336" s="103"/>
      <c r="F336" s="10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2.75" customHeight="1">
      <c r="A337" s="4"/>
      <c r="B337" s="101"/>
      <c r="C337" s="4"/>
      <c r="D337" s="102"/>
      <c r="E337" s="103"/>
      <c r="F337" s="10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2.75" customHeight="1">
      <c r="A338" s="4"/>
      <c r="B338" s="101"/>
      <c r="C338" s="4"/>
      <c r="D338" s="102"/>
      <c r="E338" s="103"/>
      <c r="F338" s="10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2.75" customHeight="1">
      <c r="A339" s="4"/>
      <c r="B339" s="101"/>
      <c r="C339" s="4"/>
      <c r="D339" s="102"/>
      <c r="E339" s="103"/>
      <c r="F339" s="10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2.75" customHeight="1">
      <c r="A340" s="4"/>
      <c r="B340" s="101"/>
      <c r="C340" s="4"/>
      <c r="D340" s="102"/>
      <c r="E340" s="103"/>
      <c r="F340" s="10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2.75" customHeight="1">
      <c r="A341" s="4"/>
      <c r="B341" s="101"/>
      <c r="C341" s="4"/>
      <c r="D341" s="102"/>
      <c r="E341" s="103"/>
      <c r="F341" s="10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2.75" customHeight="1">
      <c r="A342" s="4"/>
      <c r="B342" s="101"/>
      <c r="C342" s="4"/>
      <c r="D342" s="102"/>
      <c r="E342" s="103"/>
      <c r="F342" s="10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2.75" customHeight="1">
      <c r="A343" s="4"/>
      <c r="B343" s="101"/>
      <c r="C343" s="4"/>
      <c r="D343" s="102"/>
      <c r="E343" s="103"/>
      <c r="F343" s="10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2.75" customHeight="1">
      <c r="A344" s="4"/>
      <c r="B344" s="101"/>
      <c r="C344" s="4"/>
      <c r="D344" s="102"/>
      <c r="E344" s="103"/>
      <c r="F344" s="10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2.75" customHeight="1">
      <c r="A345" s="4"/>
      <c r="B345" s="101"/>
      <c r="C345" s="4"/>
      <c r="D345" s="102"/>
      <c r="E345" s="103"/>
      <c r="F345" s="10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2.75" customHeight="1">
      <c r="A346" s="4"/>
      <c r="B346" s="101"/>
      <c r="C346" s="4"/>
      <c r="D346" s="102"/>
      <c r="E346" s="103"/>
      <c r="F346" s="10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2.75" customHeight="1">
      <c r="A347" s="4"/>
      <c r="B347" s="101"/>
      <c r="C347" s="4"/>
      <c r="D347" s="102"/>
      <c r="E347" s="103"/>
      <c r="F347" s="10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2.75" customHeight="1">
      <c r="A348" s="4"/>
      <c r="B348" s="101"/>
      <c r="C348" s="4"/>
      <c r="D348" s="102"/>
      <c r="E348" s="103"/>
      <c r="F348" s="10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2.75" customHeight="1">
      <c r="A349" s="4"/>
      <c r="B349" s="101"/>
      <c r="C349" s="4"/>
      <c r="D349" s="102"/>
      <c r="E349" s="103"/>
      <c r="F349" s="10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2.75" customHeight="1">
      <c r="A350" s="4"/>
      <c r="B350" s="101"/>
      <c r="C350" s="4"/>
      <c r="D350" s="102"/>
      <c r="E350" s="103"/>
      <c r="F350" s="10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2.75" customHeight="1">
      <c r="A351" s="4"/>
      <c r="B351" s="101"/>
      <c r="C351" s="4"/>
      <c r="D351" s="102"/>
      <c r="E351" s="103"/>
      <c r="F351" s="10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2.75" customHeight="1">
      <c r="A352" s="4"/>
      <c r="B352" s="101"/>
      <c r="C352" s="4"/>
      <c r="D352" s="102"/>
      <c r="E352" s="103"/>
      <c r="F352" s="10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2.75" customHeight="1">
      <c r="A353" s="4"/>
      <c r="B353" s="101"/>
      <c r="C353" s="4"/>
      <c r="D353" s="102"/>
      <c r="E353" s="103"/>
      <c r="F353" s="10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2.75" customHeight="1">
      <c r="A354" s="4"/>
      <c r="B354" s="101"/>
      <c r="C354" s="4"/>
      <c r="D354" s="102"/>
      <c r="E354" s="103"/>
      <c r="F354" s="10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2.75" customHeight="1">
      <c r="A355" s="4"/>
      <c r="B355" s="101"/>
      <c r="C355" s="4"/>
      <c r="D355" s="102"/>
      <c r="E355" s="103"/>
      <c r="F355" s="10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2.75" customHeight="1">
      <c r="A356" s="4"/>
      <c r="B356" s="101"/>
      <c r="C356" s="4"/>
      <c r="D356" s="102"/>
      <c r="E356" s="103"/>
      <c r="F356" s="10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2.75" customHeight="1">
      <c r="A357" s="4"/>
      <c r="B357" s="101"/>
      <c r="C357" s="4"/>
      <c r="D357" s="102"/>
      <c r="E357" s="103"/>
      <c r="F357" s="10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2.75" customHeight="1">
      <c r="A358" s="4"/>
      <c r="B358" s="101"/>
      <c r="C358" s="4"/>
      <c r="D358" s="102"/>
      <c r="E358" s="103"/>
      <c r="F358" s="10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2.75" customHeight="1">
      <c r="A359" s="4"/>
      <c r="B359" s="101"/>
      <c r="C359" s="4"/>
      <c r="D359" s="102"/>
      <c r="E359" s="103"/>
      <c r="F359" s="10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2.75" customHeight="1">
      <c r="A360" s="4"/>
      <c r="B360" s="101"/>
      <c r="C360" s="4"/>
      <c r="D360" s="102"/>
      <c r="E360" s="103"/>
      <c r="F360" s="10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2.75" customHeight="1">
      <c r="A361" s="4"/>
      <c r="B361" s="101"/>
      <c r="C361" s="4"/>
      <c r="D361" s="102"/>
      <c r="E361" s="103"/>
      <c r="F361" s="10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2.75" customHeight="1">
      <c r="A362" s="4"/>
      <c r="B362" s="101"/>
      <c r="C362" s="4"/>
      <c r="D362" s="102"/>
      <c r="E362" s="103"/>
      <c r="F362" s="10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2.75" customHeight="1">
      <c r="A363" s="4"/>
      <c r="B363" s="101"/>
      <c r="C363" s="4"/>
      <c r="D363" s="102"/>
      <c r="E363" s="103"/>
      <c r="F363" s="10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2.75" customHeight="1">
      <c r="A364" s="4"/>
      <c r="B364" s="101"/>
      <c r="C364" s="4"/>
      <c r="D364" s="102"/>
      <c r="E364" s="103"/>
      <c r="F364" s="10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2.75" customHeight="1">
      <c r="A365" s="4"/>
      <c r="B365" s="101"/>
      <c r="C365" s="4"/>
      <c r="D365" s="102"/>
      <c r="E365" s="103"/>
      <c r="F365" s="10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2.75" customHeight="1">
      <c r="A366" s="4"/>
      <c r="B366" s="101"/>
      <c r="C366" s="4"/>
      <c r="D366" s="102"/>
      <c r="E366" s="103"/>
      <c r="F366" s="10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2.75" customHeight="1">
      <c r="A367" s="4"/>
      <c r="B367" s="101"/>
      <c r="C367" s="4"/>
      <c r="D367" s="102"/>
      <c r="E367" s="103"/>
      <c r="F367" s="10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2.75" customHeight="1">
      <c r="A368" s="4"/>
      <c r="B368" s="101"/>
      <c r="C368" s="4"/>
      <c r="D368" s="102"/>
      <c r="E368" s="103"/>
      <c r="F368" s="10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2.75" customHeight="1">
      <c r="A369" s="4"/>
      <c r="B369" s="101"/>
      <c r="C369" s="4"/>
      <c r="D369" s="102"/>
      <c r="E369" s="103"/>
      <c r="F369" s="10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2.75" customHeight="1">
      <c r="A370" s="4"/>
      <c r="B370" s="101"/>
      <c r="C370" s="4"/>
      <c r="D370" s="102"/>
      <c r="E370" s="103"/>
      <c r="F370" s="10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2.75" customHeight="1">
      <c r="A371" s="4"/>
      <c r="B371" s="101"/>
      <c r="C371" s="4"/>
      <c r="D371" s="102"/>
      <c r="E371" s="103"/>
      <c r="F371" s="10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2.75" customHeight="1">
      <c r="A372" s="4"/>
      <c r="B372" s="101"/>
      <c r="C372" s="4"/>
      <c r="D372" s="102"/>
      <c r="E372" s="103"/>
      <c r="F372" s="10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2.75" customHeight="1">
      <c r="A373" s="4"/>
      <c r="B373" s="101"/>
      <c r="C373" s="4"/>
      <c r="D373" s="102"/>
      <c r="E373" s="103"/>
      <c r="F373" s="10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2.75" customHeight="1">
      <c r="A374" s="4"/>
      <c r="B374" s="101"/>
      <c r="C374" s="4"/>
      <c r="D374" s="102"/>
      <c r="E374" s="103"/>
      <c r="F374" s="10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2.75" customHeight="1">
      <c r="A375" s="4"/>
      <c r="B375" s="101"/>
      <c r="C375" s="4"/>
      <c r="D375" s="102"/>
      <c r="E375" s="103"/>
      <c r="F375" s="10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2.75" customHeight="1">
      <c r="A376" s="4"/>
      <c r="B376" s="101"/>
      <c r="C376" s="4"/>
      <c r="D376" s="102"/>
      <c r="E376" s="103"/>
      <c r="F376" s="10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2.75" customHeight="1">
      <c r="A377" s="4"/>
      <c r="B377" s="101"/>
      <c r="C377" s="4"/>
      <c r="D377" s="102"/>
      <c r="E377" s="103"/>
      <c r="F377" s="10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2.75" customHeight="1">
      <c r="A378" s="4"/>
      <c r="B378" s="101"/>
      <c r="C378" s="4"/>
      <c r="D378" s="102"/>
      <c r="E378" s="103"/>
      <c r="F378" s="10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2.75" customHeight="1">
      <c r="A379" s="4"/>
      <c r="B379" s="101"/>
      <c r="C379" s="4"/>
      <c r="D379" s="102"/>
      <c r="E379" s="103"/>
      <c r="F379" s="10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2.75" customHeight="1">
      <c r="A380" s="4"/>
      <c r="B380" s="101"/>
      <c r="C380" s="4"/>
      <c r="D380" s="102"/>
      <c r="E380" s="103"/>
      <c r="F380" s="10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2.75" customHeight="1">
      <c r="A381" s="4"/>
      <c r="B381" s="101"/>
      <c r="C381" s="4"/>
      <c r="D381" s="102"/>
      <c r="E381" s="103"/>
      <c r="F381" s="10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2.75" customHeight="1">
      <c r="A382" s="4"/>
      <c r="B382" s="101"/>
      <c r="C382" s="4"/>
      <c r="D382" s="102"/>
      <c r="E382" s="103"/>
      <c r="F382" s="10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2.75" customHeight="1">
      <c r="A383" s="4"/>
      <c r="B383" s="101"/>
      <c r="C383" s="4"/>
      <c r="D383" s="102"/>
      <c r="E383" s="103"/>
      <c r="F383" s="10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2.75" customHeight="1">
      <c r="A384" s="4"/>
      <c r="B384" s="101"/>
      <c r="C384" s="4"/>
      <c r="D384" s="102"/>
      <c r="E384" s="103"/>
      <c r="F384" s="10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2.75" customHeight="1">
      <c r="A385" s="4"/>
      <c r="B385" s="101"/>
      <c r="C385" s="4"/>
      <c r="D385" s="102"/>
      <c r="E385" s="103"/>
      <c r="F385" s="10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2.75" customHeight="1">
      <c r="A386" s="4"/>
      <c r="B386" s="101"/>
      <c r="C386" s="4"/>
      <c r="D386" s="102"/>
      <c r="E386" s="103"/>
      <c r="F386" s="10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2.75" customHeight="1">
      <c r="A387" s="4"/>
      <c r="B387" s="101"/>
      <c r="C387" s="4"/>
      <c r="D387" s="102"/>
      <c r="E387" s="103"/>
      <c r="F387" s="10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2.75" customHeight="1">
      <c r="A388" s="4"/>
      <c r="B388" s="101"/>
      <c r="C388" s="4"/>
      <c r="D388" s="102"/>
      <c r="E388" s="103"/>
      <c r="F388" s="10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2.75" customHeight="1">
      <c r="A389" s="4"/>
      <c r="B389" s="101"/>
      <c r="C389" s="4"/>
      <c r="D389" s="102"/>
      <c r="E389" s="103"/>
      <c r="F389" s="10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2.75" customHeight="1">
      <c r="A390" s="4"/>
      <c r="B390" s="101"/>
      <c r="C390" s="4"/>
      <c r="D390" s="102"/>
      <c r="E390" s="103"/>
      <c r="F390" s="10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2.75" customHeight="1">
      <c r="A391" s="4"/>
      <c r="B391" s="101"/>
      <c r="C391" s="4"/>
      <c r="D391" s="102"/>
      <c r="E391" s="103"/>
      <c r="F391" s="10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2.75" customHeight="1">
      <c r="A392" s="4"/>
      <c r="B392" s="101"/>
      <c r="C392" s="4"/>
      <c r="D392" s="102"/>
      <c r="E392" s="103"/>
      <c r="F392" s="10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2.75" customHeight="1">
      <c r="A393" s="4"/>
      <c r="B393" s="101"/>
      <c r="C393" s="4"/>
      <c r="D393" s="102"/>
      <c r="E393" s="103"/>
      <c r="F393" s="10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2.75" customHeight="1">
      <c r="A394" s="4"/>
      <c r="B394" s="101"/>
      <c r="C394" s="4"/>
      <c r="D394" s="102"/>
      <c r="E394" s="103"/>
      <c r="F394" s="10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2.75" customHeight="1">
      <c r="A395" s="4"/>
      <c r="B395" s="101"/>
      <c r="C395" s="4"/>
      <c r="D395" s="102"/>
      <c r="E395" s="103"/>
      <c r="F395" s="10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2.75" customHeight="1">
      <c r="A396" s="4"/>
      <c r="B396" s="101"/>
      <c r="C396" s="4"/>
      <c r="D396" s="102"/>
      <c r="E396" s="103"/>
      <c r="F396" s="10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2.75" customHeight="1">
      <c r="A397" s="4"/>
      <c r="B397" s="101"/>
      <c r="C397" s="4"/>
      <c r="D397" s="102"/>
      <c r="E397" s="103"/>
      <c r="F397" s="10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2.75" customHeight="1">
      <c r="A398" s="4"/>
      <c r="B398" s="101"/>
      <c r="C398" s="4"/>
      <c r="D398" s="102"/>
      <c r="E398" s="103"/>
      <c r="F398" s="10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2.75" customHeight="1">
      <c r="A399" s="4"/>
      <c r="B399" s="101"/>
      <c r="C399" s="4"/>
      <c r="D399" s="102"/>
      <c r="E399" s="103"/>
      <c r="F399" s="10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2.75" customHeight="1">
      <c r="A400" s="4"/>
      <c r="B400" s="101"/>
      <c r="C400" s="4"/>
      <c r="D400" s="102"/>
      <c r="E400" s="103"/>
      <c r="F400" s="10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2.75" customHeight="1">
      <c r="A401" s="4"/>
      <c r="B401" s="101"/>
      <c r="C401" s="4"/>
      <c r="D401" s="102"/>
      <c r="E401" s="103"/>
      <c r="F401" s="10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2.75" customHeight="1">
      <c r="A402" s="4"/>
      <c r="B402" s="101"/>
      <c r="C402" s="4"/>
      <c r="D402" s="102"/>
      <c r="E402" s="103"/>
      <c r="F402" s="10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2.75" customHeight="1">
      <c r="A403" s="4"/>
      <c r="B403" s="101"/>
      <c r="C403" s="4"/>
      <c r="D403" s="102"/>
      <c r="E403" s="103"/>
      <c r="F403" s="10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2.75" customHeight="1">
      <c r="A404" s="4"/>
      <c r="B404" s="101"/>
      <c r="C404" s="4"/>
      <c r="D404" s="102"/>
      <c r="E404" s="103"/>
      <c r="F404" s="10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2.75" customHeight="1">
      <c r="A405" s="4"/>
      <c r="B405" s="101"/>
      <c r="C405" s="4"/>
      <c r="D405" s="102"/>
      <c r="E405" s="103"/>
      <c r="F405" s="10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2.75" customHeight="1">
      <c r="A406" s="4"/>
      <c r="B406" s="101"/>
      <c r="C406" s="4"/>
      <c r="D406" s="102"/>
      <c r="E406" s="103"/>
      <c r="F406" s="10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2.75" customHeight="1">
      <c r="A407" s="4"/>
      <c r="B407" s="101"/>
      <c r="C407" s="4"/>
      <c r="D407" s="102"/>
      <c r="E407" s="103"/>
      <c r="F407" s="10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2.75" customHeight="1">
      <c r="A408" s="4"/>
      <c r="B408" s="101"/>
      <c r="C408" s="4"/>
      <c r="D408" s="102"/>
      <c r="E408" s="103"/>
      <c r="F408" s="10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2.75" customHeight="1">
      <c r="A409" s="4"/>
      <c r="B409" s="101"/>
      <c r="C409" s="4"/>
      <c r="D409" s="102"/>
      <c r="E409" s="103"/>
      <c r="F409" s="10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2.75" customHeight="1">
      <c r="A410" s="4"/>
      <c r="B410" s="101"/>
      <c r="C410" s="4"/>
      <c r="D410" s="102"/>
      <c r="E410" s="103"/>
      <c r="F410" s="10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2.75" customHeight="1">
      <c r="A411" s="4"/>
      <c r="B411" s="101"/>
      <c r="C411" s="4"/>
      <c r="D411" s="102"/>
      <c r="E411" s="103"/>
      <c r="F411" s="10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2.75" customHeight="1">
      <c r="A412" s="4"/>
      <c r="B412" s="101"/>
      <c r="C412" s="4"/>
      <c r="D412" s="102"/>
      <c r="E412" s="103"/>
      <c r="F412" s="10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2.75" customHeight="1">
      <c r="A413" s="4"/>
      <c r="B413" s="101"/>
      <c r="C413" s="4"/>
      <c r="D413" s="102"/>
      <c r="E413" s="103"/>
      <c r="F413" s="10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2.75" customHeight="1">
      <c r="A414" s="4"/>
      <c r="B414" s="101"/>
      <c r="C414" s="4"/>
      <c r="D414" s="102"/>
      <c r="E414" s="103"/>
      <c r="F414" s="10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2.75" customHeight="1">
      <c r="A415" s="4"/>
      <c r="B415" s="101"/>
      <c r="C415" s="4"/>
      <c r="D415" s="102"/>
      <c r="E415" s="103"/>
      <c r="F415" s="10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2.75" customHeight="1">
      <c r="A416" s="4"/>
      <c r="B416" s="101"/>
      <c r="C416" s="4"/>
      <c r="D416" s="102"/>
      <c r="E416" s="103"/>
      <c r="F416" s="10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2.75" customHeight="1">
      <c r="A417" s="4"/>
      <c r="B417" s="101"/>
      <c r="C417" s="4"/>
      <c r="D417" s="102"/>
      <c r="E417" s="103"/>
      <c r="F417" s="10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131:B131"/>
    <mergeCell ref="A145:B145"/>
    <mergeCell ref="A159:B159"/>
    <mergeCell ref="A1:F1"/>
    <mergeCell ref="A2:F2"/>
    <mergeCell ref="A3:F3"/>
    <mergeCell ref="A4:F4"/>
    <mergeCell ref="D7:E7"/>
    <mergeCell ref="A9:F9"/>
    <mergeCell ref="A117:B117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2.63" defaultRowHeight="15.0"/>
  <cols>
    <col customWidth="1" min="1" max="1" width="76.5"/>
    <col customWidth="1" min="2" max="2" width="86.5"/>
    <col customWidth="1" min="3" max="3" width="23.5"/>
    <col customWidth="1" min="4" max="4" width="20.5"/>
    <col customWidth="1" min="5" max="5" width="22.88"/>
    <col customWidth="1" min="6" max="6" width="54.0"/>
    <col customWidth="1" min="7" max="7" width="50.13"/>
    <col customWidth="1" min="8" max="26" width="8.0"/>
  </cols>
  <sheetData>
    <row r="1" ht="12.75" customHeight="1">
      <c r="A1" s="1" t="s">
        <v>293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2.75" customHeight="1">
      <c r="A2" s="5" t="s">
        <v>294</v>
      </c>
      <c r="B2" s="6"/>
      <c r="C2" s="6"/>
      <c r="D2" s="6"/>
      <c r="E2" s="6"/>
      <c r="F2" s="7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2.75" customHeight="1">
      <c r="A3" s="5" t="s">
        <v>2</v>
      </c>
      <c r="B3" s="6"/>
      <c r="C3" s="6"/>
      <c r="D3" s="6"/>
      <c r="E3" s="6"/>
      <c r="F3" s="7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2.75" customHeight="1">
      <c r="A4" s="5" t="s">
        <v>3</v>
      </c>
      <c r="B4" s="6"/>
      <c r="C4" s="6"/>
      <c r="D4" s="6"/>
      <c r="E4" s="6"/>
      <c r="F4" s="7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2.75" customHeight="1">
      <c r="A5" s="8"/>
      <c r="B5" s="9"/>
      <c r="C5" s="10"/>
      <c r="D5" s="11"/>
      <c r="E5" s="11"/>
      <c r="F5" s="12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2.75" customHeight="1">
      <c r="A6" s="13"/>
      <c r="B6" s="9"/>
      <c r="C6" s="10"/>
      <c r="D6" s="14"/>
      <c r="E6" s="14"/>
      <c r="F6" s="15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30.0" customHeight="1">
      <c r="A7" s="16"/>
      <c r="B7" s="9"/>
      <c r="C7" s="17"/>
      <c r="D7" s="18"/>
      <c r="E7" s="19"/>
      <c r="F7" s="501" t="s">
        <v>2178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0.0" customHeight="1">
      <c r="A8" s="20" t="s">
        <v>296</v>
      </c>
      <c r="B8" s="21"/>
      <c r="C8" s="22"/>
      <c r="D8" s="23"/>
      <c r="E8" s="23"/>
      <c r="F8" s="2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7.75" customHeight="1">
      <c r="A9" s="25" t="s">
        <v>2179</v>
      </c>
      <c r="B9" s="26"/>
      <c r="C9" s="26"/>
      <c r="D9" s="26"/>
      <c r="E9" s="26"/>
      <c r="F9" s="27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8.5" customHeight="1">
      <c r="A10" s="128"/>
      <c r="B10" s="106"/>
      <c r="C10" s="107"/>
      <c r="D10" s="108"/>
      <c r="E10" s="108"/>
      <c r="F10" s="109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</row>
    <row r="11" ht="32.25" customHeight="1">
      <c r="A11" s="461"/>
      <c r="B11" s="111"/>
      <c r="C11" s="112" t="s">
        <v>299</v>
      </c>
      <c r="D11" s="113" t="s">
        <v>300</v>
      </c>
      <c r="E11" s="114" t="s">
        <v>301</v>
      </c>
      <c r="F11" s="472" t="s">
        <v>11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75" customHeight="1">
      <c r="A12" s="502" t="s">
        <v>2180</v>
      </c>
      <c r="B12" s="117"/>
      <c r="C12" s="118"/>
      <c r="D12" s="119"/>
      <c r="E12" s="346"/>
      <c r="F12" s="241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75" customHeight="1">
      <c r="A13" s="122" t="s">
        <v>303</v>
      </c>
      <c r="B13" s="123" t="s">
        <v>304</v>
      </c>
      <c r="C13" s="124"/>
      <c r="D13" s="125"/>
      <c r="E13" s="243"/>
      <c r="F13" s="24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2.75" customHeight="1">
      <c r="A14" s="137"/>
      <c r="B14" s="129"/>
      <c r="C14" s="130"/>
      <c r="D14" s="131"/>
      <c r="E14" s="246"/>
      <c r="F14" s="503"/>
      <c r="G14" s="52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2.75" customHeight="1">
      <c r="A15" s="136"/>
      <c r="B15" s="135"/>
      <c r="C15" s="130"/>
      <c r="D15" s="131"/>
      <c r="E15" s="246"/>
      <c r="F15" s="51"/>
      <c r="G15" s="52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2.75" customHeight="1">
      <c r="A16" s="136"/>
      <c r="B16" s="135"/>
      <c r="C16" s="130"/>
      <c r="D16" s="131"/>
      <c r="E16" s="246"/>
      <c r="F16" s="244"/>
      <c r="G16" s="52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2.75" customHeight="1">
      <c r="A17" s="136"/>
      <c r="B17" s="135"/>
      <c r="C17" s="130"/>
      <c r="D17" s="131"/>
      <c r="E17" s="246"/>
      <c r="F17" s="244"/>
      <c r="G17" s="52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2.75" customHeight="1">
      <c r="A18" s="380" t="s">
        <v>2181</v>
      </c>
      <c r="B18" s="135"/>
      <c r="C18" s="130"/>
      <c r="D18" s="131"/>
      <c r="E18" s="246"/>
      <c r="F18" s="248"/>
      <c r="G18" s="52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8.75" customHeight="1">
      <c r="A19" s="142"/>
      <c r="B19" s="143"/>
      <c r="C19" s="144">
        <f t="shared" ref="C19:E19" si="1">SUM(C12:C18)</f>
        <v>0</v>
      </c>
      <c r="D19" s="145">
        <f t="shared" si="1"/>
        <v>0</v>
      </c>
      <c r="E19" s="250">
        <f t="shared" si="1"/>
        <v>0</v>
      </c>
      <c r="F19" s="251"/>
      <c r="G19" s="52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2.75" customHeight="1">
      <c r="A20" s="4"/>
      <c r="B20" s="101"/>
      <c r="C20" s="4"/>
      <c r="D20" s="102"/>
      <c r="E20" s="102"/>
      <c r="F20" s="10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2.75" customHeight="1">
      <c r="A21" s="4"/>
      <c r="B21" s="101"/>
      <c r="C21" s="4"/>
      <c r="D21" s="102"/>
      <c r="E21" s="102"/>
      <c r="F21" s="10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2.75" customHeight="1">
      <c r="A22" s="4"/>
      <c r="B22" s="101"/>
      <c r="C22" s="4"/>
      <c r="D22" s="102"/>
      <c r="E22" s="102"/>
      <c r="F22" s="10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2.75" customHeight="1">
      <c r="A23" s="4"/>
      <c r="B23" s="101"/>
      <c r="C23" s="4"/>
      <c r="D23" s="102"/>
      <c r="E23" s="102"/>
      <c r="F23" s="10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2.75" customHeight="1">
      <c r="A24" s="4"/>
      <c r="B24" s="101"/>
      <c r="C24" s="4"/>
      <c r="D24" s="102"/>
      <c r="E24" s="102"/>
      <c r="F24" s="10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2.75" customHeight="1">
      <c r="A25" s="4"/>
      <c r="B25" s="101"/>
      <c r="C25" s="4"/>
      <c r="D25" s="102"/>
      <c r="E25" s="102"/>
      <c r="F25" s="10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2.75" customHeight="1">
      <c r="A26" s="4"/>
      <c r="B26" s="101"/>
      <c r="C26" s="4"/>
      <c r="D26" s="102"/>
      <c r="E26" s="102"/>
      <c r="F26" s="10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2.75" customHeight="1">
      <c r="A27" s="4"/>
      <c r="B27" s="101"/>
      <c r="C27" s="4"/>
      <c r="D27" s="102"/>
      <c r="E27" s="102"/>
      <c r="F27" s="10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2.75" customHeight="1">
      <c r="A28" s="4"/>
      <c r="B28" s="101"/>
      <c r="C28" s="4"/>
      <c r="D28" s="102"/>
      <c r="E28" s="102"/>
      <c r="F28" s="10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2.75" customHeight="1">
      <c r="A29" s="4"/>
      <c r="B29" s="101"/>
      <c r="C29" s="4"/>
      <c r="D29" s="102"/>
      <c r="E29" s="102"/>
      <c r="F29" s="10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2.75" customHeight="1">
      <c r="A30" s="4"/>
      <c r="B30" s="101"/>
      <c r="C30" s="4"/>
      <c r="D30" s="102"/>
      <c r="E30" s="102"/>
      <c r="F30" s="10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2.75" customHeight="1">
      <c r="A31" s="4"/>
      <c r="B31" s="101"/>
      <c r="C31" s="4"/>
      <c r="D31" s="102"/>
      <c r="E31" s="102"/>
      <c r="F31" s="10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2.75" customHeight="1">
      <c r="A32" s="4"/>
      <c r="B32" s="101"/>
      <c r="C32" s="4"/>
      <c r="D32" s="102"/>
      <c r="E32" s="102"/>
      <c r="F32" s="10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2.75" customHeight="1">
      <c r="A33" s="4"/>
      <c r="B33" s="101"/>
      <c r="C33" s="4"/>
      <c r="D33" s="102"/>
      <c r="E33" s="102"/>
      <c r="F33" s="10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2.75" customHeight="1">
      <c r="A34" s="4"/>
      <c r="B34" s="101"/>
      <c r="C34" s="4"/>
      <c r="D34" s="102"/>
      <c r="E34" s="102"/>
      <c r="F34" s="10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2.75" customHeight="1">
      <c r="A35" s="4"/>
      <c r="B35" s="101"/>
      <c r="C35" s="4"/>
      <c r="D35" s="102"/>
      <c r="E35" s="102"/>
      <c r="F35" s="10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2.75" customHeight="1">
      <c r="A36" s="4"/>
      <c r="B36" s="101"/>
      <c r="C36" s="4"/>
      <c r="D36" s="102"/>
      <c r="E36" s="102"/>
      <c r="F36" s="10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2.75" customHeight="1">
      <c r="A37" s="4"/>
      <c r="B37" s="101"/>
      <c r="C37" s="4"/>
      <c r="D37" s="102"/>
      <c r="E37" s="102"/>
      <c r="F37" s="10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2.75" customHeight="1">
      <c r="A38" s="4"/>
      <c r="B38" s="101"/>
      <c r="C38" s="4"/>
      <c r="D38" s="102"/>
      <c r="E38" s="102"/>
      <c r="F38" s="10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2.75" customHeight="1">
      <c r="A39" s="4"/>
      <c r="B39" s="101"/>
      <c r="C39" s="4"/>
      <c r="D39" s="102"/>
      <c r="E39" s="102"/>
      <c r="F39" s="10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2.75" customHeight="1">
      <c r="A40" s="4"/>
      <c r="B40" s="101"/>
      <c r="C40" s="4"/>
      <c r="D40" s="102"/>
      <c r="E40" s="102"/>
      <c r="F40" s="10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2.75" customHeight="1">
      <c r="A41" s="4"/>
      <c r="B41" s="101"/>
      <c r="C41" s="4"/>
      <c r="D41" s="102"/>
      <c r="E41" s="102"/>
      <c r="F41" s="10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2.75" customHeight="1">
      <c r="A42" s="4"/>
      <c r="B42" s="101"/>
      <c r="C42" s="4"/>
      <c r="D42" s="102"/>
      <c r="E42" s="102"/>
      <c r="F42" s="10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2.75" customHeight="1">
      <c r="A43" s="4"/>
      <c r="B43" s="101"/>
      <c r="C43" s="4"/>
      <c r="D43" s="102"/>
      <c r="E43" s="102"/>
      <c r="F43" s="10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2.75" customHeight="1">
      <c r="A44" s="4"/>
      <c r="B44" s="101"/>
      <c r="C44" s="4"/>
      <c r="D44" s="102"/>
      <c r="E44" s="102"/>
      <c r="F44" s="10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2.75" customHeight="1">
      <c r="A45" s="4"/>
      <c r="B45" s="101"/>
      <c r="C45" s="4"/>
      <c r="D45" s="102"/>
      <c r="E45" s="102"/>
      <c r="F45" s="10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2.75" customHeight="1">
      <c r="A46" s="4"/>
      <c r="B46" s="101"/>
      <c r="C46" s="4"/>
      <c r="D46" s="102"/>
      <c r="E46" s="102"/>
      <c r="F46" s="10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2.75" customHeight="1">
      <c r="A47" s="4"/>
      <c r="B47" s="101"/>
      <c r="C47" s="4"/>
      <c r="D47" s="102"/>
      <c r="E47" s="102"/>
      <c r="F47" s="10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2.75" customHeight="1">
      <c r="A48" s="4"/>
      <c r="B48" s="101"/>
      <c r="C48" s="4"/>
      <c r="D48" s="102"/>
      <c r="E48" s="102"/>
      <c r="F48" s="10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2.75" customHeight="1">
      <c r="A49" s="4"/>
      <c r="B49" s="101"/>
      <c r="C49" s="4"/>
      <c r="D49" s="102"/>
      <c r="E49" s="102"/>
      <c r="F49" s="10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2.75" customHeight="1">
      <c r="A50" s="4"/>
      <c r="B50" s="101"/>
      <c r="C50" s="4"/>
      <c r="D50" s="102"/>
      <c r="E50" s="102"/>
      <c r="F50" s="10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2.75" customHeight="1">
      <c r="A51" s="4"/>
      <c r="B51" s="101"/>
      <c r="C51" s="4"/>
      <c r="D51" s="102"/>
      <c r="E51" s="102"/>
      <c r="F51" s="10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75" customHeight="1">
      <c r="A52" s="4"/>
      <c r="B52" s="101"/>
      <c r="C52" s="4"/>
      <c r="D52" s="102"/>
      <c r="E52" s="102"/>
      <c r="F52" s="10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2.75" customHeight="1">
      <c r="A53" s="4"/>
      <c r="B53" s="101"/>
      <c r="C53" s="4"/>
      <c r="D53" s="102"/>
      <c r="E53" s="102"/>
      <c r="F53" s="10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2.75" customHeight="1">
      <c r="A54" s="4"/>
      <c r="B54" s="101"/>
      <c r="C54" s="4"/>
      <c r="D54" s="102"/>
      <c r="E54" s="102"/>
      <c r="F54" s="10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2.75" customHeight="1">
      <c r="A55" s="4"/>
      <c r="B55" s="101"/>
      <c r="C55" s="4"/>
      <c r="D55" s="102"/>
      <c r="E55" s="102"/>
      <c r="F55" s="10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2.75" customHeight="1">
      <c r="A56" s="4"/>
      <c r="B56" s="101"/>
      <c r="C56" s="4"/>
      <c r="D56" s="102"/>
      <c r="E56" s="102"/>
      <c r="F56" s="10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2.75" customHeight="1">
      <c r="A57" s="4"/>
      <c r="B57" s="101"/>
      <c r="C57" s="4"/>
      <c r="D57" s="102"/>
      <c r="E57" s="102"/>
      <c r="F57" s="10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2.75" customHeight="1">
      <c r="A58" s="4"/>
      <c r="B58" s="101"/>
      <c r="C58" s="4"/>
      <c r="D58" s="102"/>
      <c r="E58" s="102"/>
      <c r="F58" s="10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2.75" customHeight="1">
      <c r="A59" s="4"/>
      <c r="B59" s="101"/>
      <c r="C59" s="4"/>
      <c r="D59" s="102"/>
      <c r="E59" s="102"/>
      <c r="F59" s="10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2.75" customHeight="1">
      <c r="A60" s="4"/>
      <c r="B60" s="101"/>
      <c r="C60" s="4"/>
      <c r="D60" s="102"/>
      <c r="E60" s="102"/>
      <c r="F60" s="10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2.75" customHeight="1">
      <c r="A61" s="4"/>
      <c r="B61" s="101"/>
      <c r="C61" s="4"/>
      <c r="D61" s="102"/>
      <c r="E61" s="102"/>
      <c r="F61" s="10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2.75" customHeight="1">
      <c r="A62" s="4"/>
      <c r="B62" s="101"/>
      <c r="C62" s="4"/>
      <c r="D62" s="102"/>
      <c r="E62" s="102"/>
      <c r="F62" s="10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2.75" customHeight="1">
      <c r="A63" s="4"/>
      <c r="B63" s="101"/>
      <c r="C63" s="4"/>
      <c r="D63" s="102"/>
      <c r="E63" s="102"/>
      <c r="F63" s="10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2.75" customHeight="1">
      <c r="A64" s="4"/>
      <c r="B64" s="101"/>
      <c r="C64" s="4"/>
      <c r="D64" s="102"/>
      <c r="E64" s="102"/>
      <c r="F64" s="10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2.75" customHeight="1">
      <c r="A65" s="4"/>
      <c r="B65" s="101"/>
      <c r="C65" s="4"/>
      <c r="D65" s="102"/>
      <c r="E65" s="102"/>
      <c r="F65" s="10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2.75" customHeight="1">
      <c r="A66" s="4"/>
      <c r="B66" s="101"/>
      <c r="C66" s="4"/>
      <c r="D66" s="102"/>
      <c r="E66" s="102"/>
      <c r="F66" s="10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2.75" customHeight="1">
      <c r="A67" s="4"/>
      <c r="B67" s="101"/>
      <c r="C67" s="4"/>
      <c r="D67" s="102"/>
      <c r="E67" s="102"/>
      <c r="F67" s="10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2.75" customHeight="1">
      <c r="A68" s="4"/>
      <c r="B68" s="101"/>
      <c r="C68" s="4"/>
      <c r="D68" s="102"/>
      <c r="E68" s="102"/>
      <c r="F68" s="10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2.75" customHeight="1">
      <c r="A69" s="4"/>
      <c r="B69" s="101"/>
      <c r="C69" s="4"/>
      <c r="D69" s="102"/>
      <c r="E69" s="102"/>
      <c r="F69" s="10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2.75" customHeight="1">
      <c r="A70" s="4"/>
      <c r="B70" s="101"/>
      <c r="C70" s="4"/>
      <c r="D70" s="102"/>
      <c r="E70" s="102"/>
      <c r="F70" s="10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2.75" customHeight="1">
      <c r="A71" s="4"/>
      <c r="B71" s="101"/>
      <c r="C71" s="4"/>
      <c r="D71" s="102"/>
      <c r="E71" s="102"/>
      <c r="F71" s="10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75" customHeight="1">
      <c r="A72" s="4"/>
      <c r="B72" s="101"/>
      <c r="C72" s="4"/>
      <c r="D72" s="102"/>
      <c r="E72" s="102"/>
      <c r="F72" s="10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.75" customHeight="1">
      <c r="A73" s="4"/>
      <c r="B73" s="101"/>
      <c r="C73" s="4"/>
      <c r="D73" s="102"/>
      <c r="E73" s="102"/>
      <c r="F73" s="10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2.75" customHeight="1">
      <c r="A74" s="4"/>
      <c r="B74" s="101"/>
      <c r="C74" s="4"/>
      <c r="D74" s="102"/>
      <c r="E74" s="102"/>
      <c r="F74" s="10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75" customHeight="1">
      <c r="A75" s="4"/>
      <c r="B75" s="101"/>
      <c r="C75" s="4"/>
      <c r="D75" s="102"/>
      <c r="E75" s="102"/>
      <c r="F75" s="10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2.75" customHeight="1">
      <c r="A76" s="4"/>
      <c r="B76" s="101"/>
      <c r="C76" s="4"/>
      <c r="D76" s="102"/>
      <c r="E76" s="102"/>
      <c r="F76" s="10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75" customHeight="1">
      <c r="A77" s="4"/>
      <c r="B77" s="101"/>
      <c r="C77" s="4"/>
      <c r="D77" s="102"/>
      <c r="E77" s="102"/>
      <c r="F77" s="10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2.75" customHeight="1">
      <c r="A78" s="4"/>
      <c r="B78" s="101"/>
      <c r="C78" s="4"/>
      <c r="D78" s="102"/>
      <c r="E78" s="102"/>
      <c r="F78" s="10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2.75" customHeight="1">
      <c r="A79" s="4"/>
      <c r="B79" s="101"/>
      <c r="C79" s="4"/>
      <c r="D79" s="102"/>
      <c r="E79" s="102"/>
      <c r="F79" s="10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2.75" customHeight="1">
      <c r="A80" s="4"/>
      <c r="B80" s="101"/>
      <c r="C80" s="4"/>
      <c r="D80" s="102"/>
      <c r="E80" s="102"/>
      <c r="F80" s="10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2.75" customHeight="1">
      <c r="A81" s="4"/>
      <c r="B81" s="101"/>
      <c r="C81" s="4"/>
      <c r="D81" s="102"/>
      <c r="E81" s="102"/>
      <c r="F81" s="10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2.75" customHeight="1">
      <c r="A82" s="4"/>
      <c r="B82" s="101"/>
      <c r="C82" s="4"/>
      <c r="D82" s="102"/>
      <c r="E82" s="102"/>
      <c r="F82" s="10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2.75" customHeight="1">
      <c r="A83" s="4"/>
      <c r="B83" s="101"/>
      <c r="C83" s="4"/>
      <c r="D83" s="102"/>
      <c r="E83" s="102"/>
      <c r="F83" s="10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2.75" customHeight="1">
      <c r="A84" s="4"/>
      <c r="B84" s="101"/>
      <c r="C84" s="4"/>
      <c r="D84" s="102"/>
      <c r="E84" s="102"/>
      <c r="F84" s="10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2.75" customHeight="1">
      <c r="A85" s="4"/>
      <c r="B85" s="101"/>
      <c r="C85" s="4"/>
      <c r="D85" s="102"/>
      <c r="E85" s="102"/>
      <c r="F85" s="10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2.75" customHeight="1">
      <c r="A86" s="4"/>
      <c r="B86" s="101"/>
      <c r="C86" s="4"/>
      <c r="D86" s="102"/>
      <c r="E86" s="102"/>
      <c r="F86" s="10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2.75" customHeight="1">
      <c r="A87" s="4"/>
      <c r="B87" s="101"/>
      <c r="C87" s="4"/>
      <c r="D87" s="102"/>
      <c r="E87" s="102"/>
      <c r="F87" s="10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2.75" customHeight="1">
      <c r="A88" s="4"/>
      <c r="B88" s="101"/>
      <c r="C88" s="4"/>
      <c r="D88" s="102"/>
      <c r="E88" s="102"/>
      <c r="F88" s="10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2.75" customHeight="1">
      <c r="A89" s="4"/>
      <c r="B89" s="101"/>
      <c r="C89" s="4"/>
      <c r="D89" s="102"/>
      <c r="E89" s="102"/>
      <c r="F89" s="10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2.75" customHeight="1">
      <c r="A90" s="4"/>
      <c r="B90" s="101"/>
      <c r="C90" s="4"/>
      <c r="D90" s="102"/>
      <c r="E90" s="102"/>
      <c r="F90" s="10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2.75" customHeight="1">
      <c r="A91" s="4"/>
      <c r="B91" s="101"/>
      <c r="C91" s="4"/>
      <c r="D91" s="102"/>
      <c r="E91" s="102"/>
      <c r="F91" s="10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2.75" customHeight="1">
      <c r="A92" s="4"/>
      <c r="B92" s="101"/>
      <c r="C92" s="4"/>
      <c r="D92" s="102"/>
      <c r="E92" s="102"/>
      <c r="F92" s="10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2.75" customHeight="1">
      <c r="A93" s="4"/>
      <c r="B93" s="101"/>
      <c r="C93" s="4"/>
      <c r="D93" s="102"/>
      <c r="E93" s="102"/>
      <c r="F93" s="10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2.75" customHeight="1">
      <c r="A94" s="4"/>
      <c r="B94" s="101"/>
      <c r="C94" s="4"/>
      <c r="D94" s="102"/>
      <c r="E94" s="102"/>
      <c r="F94" s="10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2.75" customHeight="1">
      <c r="A95" s="4"/>
      <c r="B95" s="101"/>
      <c r="C95" s="4"/>
      <c r="D95" s="102"/>
      <c r="E95" s="102"/>
      <c r="F95" s="10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2.75" customHeight="1">
      <c r="A96" s="4"/>
      <c r="B96" s="101"/>
      <c r="C96" s="4"/>
      <c r="D96" s="102"/>
      <c r="E96" s="102"/>
      <c r="F96" s="10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2.75" customHeight="1">
      <c r="A97" s="4"/>
      <c r="B97" s="101"/>
      <c r="C97" s="4"/>
      <c r="D97" s="102"/>
      <c r="E97" s="102"/>
      <c r="F97" s="10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2.75" customHeight="1">
      <c r="A98" s="4"/>
      <c r="B98" s="101"/>
      <c r="C98" s="4"/>
      <c r="D98" s="102"/>
      <c r="E98" s="102"/>
      <c r="F98" s="10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75" customHeight="1">
      <c r="A99" s="4"/>
      <c r="B99" s="101"/>
      <c r="C99" s="4"/>
      <c r="D99" s="102"/>
      <c r="E99" s="102"/>
      <c r="F99" s="10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.75" customHeight="1">
      <c r="A100" s="4"/>
      <c r="B100" s="101"/>
      <c r="C100" s="4"/>
      <c r="D100" s="102"/>
      <c r="E100" s="102"/>
      <c r="F100" s="10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2.75" customHeight="1">
      <c r="A101" s="4"/>
      <c r="B101" s="101"/>
      <c r="C101" s="4"/>
      <c r="D101" s="102"/>
      <c r="E101" s="102"/>
      <c r="F101" s="10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75" customHeight="1">
      <c r="A102" s="4"/>
      <c r="B102" s="101"/>
      <c r="C102" s="4"/>
      <c r="D102" s="102"/>
      <c r="E102" s="102"/>
      <c r="F102" s="10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.75" customHeight="1">
      <c r="A103" s="4"/>
      <c r="B103" s="101"/>
      <c r="C103" s="4"/>
      <c r="D103" s="102"/>
      <c r="E103" s="102"/>
      <c r="F103" s="10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2.75" customHeight="1">
      <c r="A104" s="4"/>
      <c r="B104" s="101"/>
      <c r="C104" s="4"/>
      <c r="D104" s="102"/>
      <c r="E104" s="102"/>
      <c r="F104" s="10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2.75" customHeight="1">
      <c r="A105" s="4"/>
      <c r="B105" s="101"/>
      <c r="C105" s="4"/>
      <c r="D105" s="102"/>
      <c r="E105" s="102"/>
      <c r="F105" s="10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2.75" customHeight="1">
      <c r="A106" s="4"/>
      <c r="B106" s="101"/>
      <c r="C106" s="4"/>
      <c r="D106" s="102"/>
      <c r="E106" s="102"/>
      <c r="F106" s="10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2.75" customHeight="1">
      <c r="A107" s="4"/>
      <c r="B107" s="101"/>
      <c r="C107" s="4"/>
      <c r="D107" s="102"/>
      <c r="E107" s="102"/>
      <c r="F107" s="10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2.75" customHeight="1">
      <c r="A108" s="4"/>
      <c r="B108" s="101"/>
      <c r="C108" s="4"/>
      <c r="D108" s="102"/>
      <c r="E108" s="102"/>
      <c r="F108" s="10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2.75" customHeight="1">
      <c r="A109" s="4"/>
      <c r="B109" s="101"/>
      <c r="C109" s="4"/>
      <c r="D109" s="102"/>
      <c r="E109" s="102"/>
      <c r="F109" s="10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2.75" customHeight="1">
      <c r="A110" s="4"/>
      <c r="B110" s="101"/>
      <c r="C110" s="4"/>
      <c r="D110" s="102"/>
      <c r="E110" s="102"/>
      <c r="F110" s="10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2.75" customHeight="1">
      <c r="A111" s="4"/>
      <c r="B111" s="101"/>
      <c r="C111" s="4"/>
      <c r="D111" s="102"/>
      <c r="E111" s="102"/>
      <c r="F111" s="10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2.75" customHeight="1">
      <c r="A112" s="4"/>
      <c r="B112" s="101"/>
      <c r="C112" s="4"/>
      <c r="D112" s="102"/>
      <c r="E112" s="102"/>
      <c r="F112" s="10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2.75" customHeight="1">
      <c r="A113" s="4"/>
      <c r="B113" s="101"/>
      <c r="C113" s="4"/>
      <c r="D113" s="102"/>
      <c r="E113" s="102"/>
      <c r="F113" s="10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2.75" customHeight="1">
      <c r="A114" s="4"/>
      <c r="B114" s="101"/>
      <c r="C114" s="4"/>
      <c r="D114" s="102"/>
      <c r="E114" s="102"/>
      <c r="F114" s="10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2.75" customHeight="1">
      <c r="A115" s="4"/>
      <c r="B115" s="101"/>
      <c r="C115" s="4"/>
      <c r="D115" s="102"/>
      <c r="E115" s="102"/>
      <c r="F115" s="10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2.75" customHeight="1">
      <c r="A116" s="4"/>
      <c r="B116" s="101"/>
      <c r="C116" s="4"/>
      <c r="D116" s="102"/>
      <c r="E116" s="102"/>
      <c r="F116" s="10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2.75" customHeight="1">
      <c r="A117" s="4"/>
      <c r="B117" s="101"/>
      <c r="C117" s="4"/>
      <c r="D117" s="102"/>
      <c r="E117" s="102"/>
      <c r="F117" s="10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2.75" customHeight="1">
      <c r="A118" s="4"/>
      <c r="B118" s="101"/>
      <c r="C118" s="4"/>
      <c r="D118" s="102"/>
      <c r="E118" s="102"/>
      <c r="F118" s="10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2.75" customHeight="1">
      <c r="A119" s="4"/>
      <c r="B119" s="101"/>
      <c r="C119" s="4"/>
      <c r="D119" s="102"/>
      <c r="E119" s="102"/>
      <c r="F119" s="10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2.75" customHeight="1">
      <c r="A120" s="4"/>
      <c r="B120" s="101"/>
      <c r="C120" s="4"/>
      <c r="D120" s="102"/>
      <c r="E120" s="102"/>
      <c r="F120" s="10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75" customHeight="1">
      <c r="A121" s="4"/>
      <c r="B121" s="101"/>
      <c r="C121" s="4"/>
      <c r="D121" s="102"/>
      <c r="E121" s="102"/>
      <c r="F121" s="10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75" customHeight="1">
      <c r="A122" s="4"/>
      <c r="B122" s="101"/>
      <c r="C122" s="4"/>
      <c r="D122" s="102"/>
      <c r="E122" s="102"/>
      <c r="F122" s="10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2.75" customHeight="1">
      <c r="A123" s="4"/>
      <c r="B123" s="101"/>
      <c r="C123" s="4"/>
      <c r="D123" s="102"/>
      <c r="E123" s="102"/>
      <c r="F123" s="10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2.75" customHeight="1">
      <c r="A124" s="4"/>
      <c r="B124" s="101"/>
      <c r="C124" s="4"/>
      <c r="D124" s="102"/>
      <c r="E124" s="102"/>
      <c r="F124" s="10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2.75" customHeight="1">
      <c r="A125" s="4"/>
      <c r="B125" s="101"/>
      <c r="C125" s="4"/>
      <c r="D125" s="102"/>
      <c r="E125" s="102"/>
      <c r="F125" s="10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2.75" customHeight="1">
      <c r="A126" s="4"/>
      <c r="B126" s="101"/>
      <c r="C126" s="4"/>
      <c r="D126" s="102"/>
      <c r="E126" s="102"/>
      <c r="F126" s="10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2.75" customHeight="1">
      <c r="A127" s="4"/>
      <c r="B127" s="101"/>
      <c r="C127" s="4"/>
      <c r="D127" s="102"/>
      <c r="E127" s="102"/>
      <c r="F127" s="10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2.75" customHeight="1">
      <c r="A128" s="4"/>
      <c r="B128" s="101"/>
      <c r="C128" s="4"/>
      <c r="D128" s="102"/>
      <c r="E128" s="102"/>
      <c r="F128" s="10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2.75" customHeight="1">
      <c r="A129" s="4"/>
      <c r="B129" s="101"/>
      <c r="C129" s="4"/>
      <c r="D129" s="102"/>
      <c r="E129" s="102"/>
      <c r="F129" s="10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2.75" customHeight="1">
      <c r="A130" s="4"/>
      <c r="B130" s="101"/>
      <c r="C130" s="4"/>
      <c r="D130" s="102"/>
      <c r="E130" s="102"/>
      <c r="F130" s="10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2.75" customHeight="1">
      <c r="A131" s="4"/>
      <c r="B131" s="101"/>
      <c r="C131" s="4"/>
      <c r="D131" s="102"/>
      <c r="E131" s="102"/>
      <c r="F131" s="10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2.75" customHeight="1">
      <c r="A132" s="4"/>
      <c r="B132" s="101"/>
      <c r="C132" s="4"/>
      <c r="D132" s="102"/>
      <c r="E132" s="102"/>
      <c r="F132" s="10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2.75" customHeight="1">
      <c r="A133" s="4"/>
      <c r="B133" s="101"/>
      <c r="C133" s="4"/>
      <c r="D133" s="102"/>
      <c r="E133" s="102"/>
      <c r="F133" s="10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75" customHeight="1">
      <c r="A134" s="4"/>
      <c r="B134" s="101"/>
      <c r="C134" s="4"/>
      <c r="D134" s="102"/>
      <c r="E134" s="102"/>
      <c r="F134" s="10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75" customHeight="1">
      <c r="A135" s="4"/>
      <c r="B135" s="101"/>
      <c r="C135" s="4"/>
      <c r="D135" s="102"/>
      <c r="E135" s="102"/>
      <c r="F135" s="10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.75" customHeight="1">
      <c r="A136" s="4"/>
      <c r="B136" s="101"/>
      <c r="C136" s="4"/>
      <c r="D136" s="102"/>
      <c r="E136" s="102"/>
      <c r="F136" s="10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.75" customHeight="1">
      <c r="A137" s="4"/>
      <c r="B137" s="101"/>
      <c r="C137" s="4"/>
      <c r="D137" s="102"/>
      <c r="E137" s="102"/>
      <c r="F137" s="10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2.75" customHeight="1">
      <c r="A138" s="4"/>
      <c r="B138" s="101"/>
      <c r="C138" s="4"/>
      <c r="D138" s="102"/>
      <c r="E138" s="102"/>
      <c r="F138" s="10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2.75" customHeight="1">
      <c r="A139" s="4"/>
      <c r="B139" s="101"/>
      <c r="C139" s="4"/>
      <c r="D139" s="102"/>
      <c r="E139" s="102"/>
      <c r="F139" s="10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2.75" customHeight="1">
      <c r="A140" s="4"/>
      <c r="B140" s="101"/>
      <c r="C140" s="4"/>
      <c r="D140" s="102"/>
      <c r="E140" s="102"/>
      <c r="F140" s="10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2.75" customHeight="1">
      <c r="A141" s="4"/>
      <c r="B141" s="101"/>
      <c r="C141" s="4"/>
      <c r="D141" s="102"/>
      <c r="E141" s="102"/>
      <c r="F141" s="10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.75" customHeight="1">
      <c r="A142" s="4"/>
      <c r="B142" s="101"/>
      <c r="C142" s="4"/>
      <c r="D142" s="102"/>
      <c r="E142" s="102"/>
      <c r="F142" s="10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.75" customHeight="1">
      <c r="A143" s="4"/>
      <c r="B143" s="101"/>
      <c r="C143" s="4"/>
      <c r="D143" s="102"/>
      <c r="E143" s="102"/>
      <c r="F143" s="10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.75" customHeight="1">
      <c r="A144" s="4"/>
      <c r="B144" s="101"/>
      <c r="C144" s="4"/>
      <c r="D144" s="102"/>
      <c r="E144" s="102"/>
      <c r="F144" s="10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.75" customHeight="1">
      <c r="A145" s="4"/>
      <c r="B145" s="101"/>
      <c r="C145" s="4"/>
      <c r="D145" s="102"/>
      <c r="E145" s="102"/>
      <c r="F145" s="10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2.75" customHeight="1">
      <c r="A146" s="4"/>
      <c r="B146" s="101"/>
      <c r="C146" s="4"/>
      <c r="D146" s="102"/>
      <c r="E146" s="102"/>
      <c r="F146" s="10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75" customHeight="1">
      <c r="A147" s="4"/>
      <c r="B147" s="101"/>
      <c r="C147" s="4"/>
      <c r="D147" s="102"/>
      <c r="E147" s="102"/>
      <c r="F147" s="10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75" customHeight="1">
      <c r="A148" s="4"/>
      <c r="B148" s="101"/>
      <c r="C148" s="4"/>
      <c r="D148" s="102"/>
      <c r="E148" s="102"/>
      <c r="F148" s="10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2.75" customHeight="1">
      <c r="A149" s="4"/>
      <c r="B149" s="101"/>
      <c r="C149" s="4"/>
      <c r="D149" s="102"/>
      <c r="E149" s="102"/>
      <c r="F149" s="10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2.75" customHeight="1">
      <c r="A150" s="4"/>
      <c r="B150" s="101"/>
      <c r="C150" s="4"/>
      <c r="D150" s="102"/>
      <c r="E150" s="102"/>
      <c r="F150" s="10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.75" customHeight="1">
      <c r="A151" s="4"/>
      <c r="B151" s="101"/>
      <c r="C151" s="4"/>
      <c r="D151" s="102"/>
      <c r="E151" s="102"/>
      <c r="F151" s="10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.75" customHeight="1">
      <c r="A152" s="4"/>
      <c r="B152" s="101"/>
      <c r="C152" s="4"/>
      <c r="D152" s="102"/>
      <c r="E152" s="102"/>
      <c r="F152" s="10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.75" customHeight="1">
      <c r="A153" s="4"/>
      <c r="B153" s="101"/>
      <c r="C153" s="4"/>
      <c r="D153" s="102"/>
      <c r="E153" s="102"/>
      <c r="F153" s="10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.75" customHeight="1">
      <c r="A154" s="4"/>
      <c r="B154" s="101"/>
      <c r="C154" s="4"/>
      <c r="D154" s="102"/>
      <c r="E154" s="102"/>
      <c r="F154" s="10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.75" customHeight="1">
      <c r="A155" s="4"/>
      <c r="B155" s="101"/>
      <c r="C155" s="4"/>
      <c r="D155" s="102"/>
      <c r="E155" s="102"/>
      <c r="F155" s="10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.75" customHeight="1">
      <c r="A156" s="4"/>
      <c r="B156" s="101"/>
      <c r="C156" s="4"/>
      <c r="D156" s="102"/>
      <c r="E156" s="102"/>
      <c r="F156" s="10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.75" customHeight="1">
      <c r="A157" s="4"/>
      <c r="B157" s="101"/>
      <c r="C157" s="4"/>
      <c r="D157" s="102"/>
      <c r="E157" s="102"/>
      <c r="F157" s="10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.75" customHeight="1">
      <c r="A158" s="4"/>
      <c r="B158" s="101"/>
      <c r="C158" s="4"/>
      <c r="D158" s="102"/>
      <c r="E158" s="102"/>
      <c r="F158" s="10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2.75" customHeight="1">
      <c r="A159" s="4"/>
      <c r="B159" s="101"/>
      <c r="C159" s="4"/>
      <c r="D159" s="102"/>
      <c r="E159" s="102"/>
      <c r="F159" s="10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.75" customHeight="1">
      <c r="A160" s="4"/>
      <c r="B160" s="101"/>
      <c r="C160" s="4"/>
      <c r="D160" s="102"/>
      <c r="E160" s="102"/>
      <c r="F160" s="10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.75" customHeight="1">
      <c r="A161" s="4"/>
      <c r="B161" s="101"/>
      <c r="C161" s="4"/>
      <c r="D161" s="102"/>
      <c r="E161" s="102"/>
      <c r="F161" s="10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75" customHeight="1">
      <c r="A162" s="4"/>
      <c r="B162" s="101"/>
      <c r="C162" s="4"/>
      <c r="D162" s="102"/>
      <c r="E162" s="102"/>
      <c r="F162" s="10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.75" customHeight="1">
      <c r="A163" s="4"/>
      <c r="B163" s="101"/>
      <c r="C163" s="4"/>
      <c r="D163" s="102"/>
      <c r="E163" s="102"/>
      <c r="F163" s="10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75" customHeight="1">
      <c r="A164" s="4"/>
      <c r="B164" s="101"/>
      <c r="C164" s="4"/>
      <c r="D164" s="102"/>
      <c r="E164" s="102"/>
      <c r="F164" s="10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75" customHeight="1">
      <c r="A165" s="4"/>
      <c r="B165" s="101"/>
      <c r="C165" s="4"/>
      <c r="D165" s="102"/>
      <c r="E165" s="102"/>
      <c r="F165" s="10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75" customHeight="1">
      <c r="A166" s="4"/>
      <c r="B166" s="101"/>
      <c r="C166" s="4"/>
      <c r="D166" s="102"/>
      <c r="E166" s="102"/>
      <c r="F166" s="10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.75" customHeight="1">
      <c r="A167" s="4"/>
      <c r="B167" s="101"/>
      <c r="C167" s="4"/>
      <c r="D167" s="102"/>
      <c r="E167" s="102"/>
      <c r="F167" s="10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75" customHeight="1">
      <c r="A168" s="4"/>
      <c r="B168" s="101"/>
      <c r="C168" s="4"/>
      <c r="D168" s="102"/>
      <c r="E168" s="102"/>
      <c r="F168" s="10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75" customHeight="1">
      <c r="A169" s="4"/>
      <c r="B169" s="101"/>
      <c r="C169" s="4"/>
      <c r="D169" s="102"/>
      <c r="E169" s="102"/>
      <c r="F169" s="10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75" customHeight="1">
      <c r="A170" s="4"/>
      <c r="B170" s="101"/>
      <c r="C170" s="4"/>
      <c r="D170" s="102"/>
      <c r="E170" s="102"/>
      <c r="F170" s="10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75" customHeight="1">
      <c r="A171" s="4"/>
      <c r="B171" s="101"/>
      <c r="C171" s="4"/>
      <c r="D171" s="102"/>
      <c r="E171" s="102"/>
      <c r="F171" s="10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75" customHeight="1">
      <c r="A172" s="4"/>
      <c r="B172" s="101"/>
      <c r="C172" s="4"/>
      <c r="D172" s="102"/>
      <c r="E172" s="102"/>
      <c r="F172" s="10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75" customHeight="1">
      <c r="A173" s="4"/>
      <c r="B173" s="101"/>
      <c r="C173" s="4"/>
      <c r="D173" s="102"/>
      <c r="E173" s="102"/>
      <c r="F173" s="10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75" customHeight="1">
      <c r="A174" s="4"/>
      <c r="B174" s="101"/>
      <c r="C174" s="4"/>
      <c r="D174" s="102"/>
      <c r="E174" s="102"/>
      <c r="F174" s="10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75" customHeight="1">
      <c r="A175" s="4"/>
      <c r="B175" s="101"/>
      <c r="C175" s="4"/>
      <c r="D175" s="102"/>
      <c r="E175" s="102"/>
      <c r="F175" s="10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75" customHeight="1">
      <c r="A176" s="4"/>
      <c r="B176" s="101"/>
      <c r="C176" s="4"/>
      <c r="D176" s="102"/>
      <c r="E176" s="102"/>
      <c r="F176" s="10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75" customHeight="1">
      <c r="A177" s="4"/>
      <c r="B177" s="101"/>
      <c r="C177" s="4"/>
      <c r="D177" s="102"/>
      <c r="E177" s="102"/>
      <c r="F177" s="10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75" customHeight="1">
      <c r="A178" s="4"/>
      <c r="B178" s="101"/>
      <c r="C178" s="4"/>
      <c r="D178" s="102"/>
      <c r="E178" s="102"/>
      <c r="F178" s="10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75" customHeight="1">
      <c r="A179" s="4"/>
      <c r="B179" s="101"/>
      <c r="C179" s="4"/>
      <c r="D179" s="102"/>
      <c r="E179" s="102"/>
      <c r="F179" s="10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75" customHeight="1">
      <c r="A180" s="4"/>
      <c r="B180" s="101"/>
      <c r="C180" s="4"/>
      <c r="D180" s="102"/>
      <c r="E180" s="102"/>
      <c r="F180" s="10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75" customHeight="1">
      <c r="A181" s="4"/>
      <c r="B181" s="101"/>
      <c r="C181" s="4"/>
      <c r="D181" s="102"/>
      <c r="E181" s="102"/>
      <c r="F181" s="10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75" customHeight="1">
      <c r="A182" s="4"/>
      <c r="B182" s="101"/>
      <c r="C182" s="4"/>
      <c r="D182" s="102"/>
      <c r="E182" s="102"/>
      <c r="F182" s="10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75" customHeight="1">
      <c r="A183" s="4"/>
      <c r="B183" s="101"/>
      <c r="C183" s="4"/>
      <c r="D183" s="102"/>
      <c r="E183" s="102"/>
      <c r="F183" s="10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75" customHeight="1">
      <c r="A184" s="4"/>
      <c r="B184" s="101"/>
      <c r="C184" s="4"/>
      <c r="D184" s="102"/>
      <c r="E184" s="102"/>
      <c r="F184" s="10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75" customHeight="1">
      <c r="A185" s="4"/>
      <c r="B185" s="101"/>
      <c r="C185" s="4"/>
      <c r="D185" s="102"/>
      <c r="E185" s="102"/>
      <c r="F185" s="10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75" customHeight="1">
      <c r="A186" s="4"/>
      <c r="B186" s="101"/>
      <c r="C186" s="4"/>
      <c r="D186" s="102"/>
      <c r="E186" s="102"/>
      <c r="F186" s="10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75" customHeight="1">
      <c r="A187" s="4"/>
      <c r="B187" s="101"/>
      <c r="C187" s="4"/>
      <c r="D187" s="102"/>
      <c r="E187" s="102"/>
      <c r="F187" s="10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75" customHeight="1">
      <c r="A188" s="4"/>
      <c r="B188" s="101"/>
      <c r="C188" s="4"/>
      <c r="D188" s="102"/>
      <c r="E188" s="102"/>
      <c r="F188" s="10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75" customHeight="1">
      <c r="A189" s="4"/>
      <c r="B189" s="101"/>
      <c r="C189" s="4"/>
      <c r="D189" s="102"/>
      <c r="E189" s="102"/>
      <c r="F189" s="10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75" customHeight="1">
      <c r="A190" s="4"/>
      <c r="B190" s="101"/>
      <c r="C190" s="4"/>
      <c r="D190" s="102"/>
      <c r="E190" s="102"/>
      <c r="F190" s="10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75" customHeight="1">
      <c r="A191" s="4"/>
      <c r="B191" s="101"/>
      <c r="C191" s="4"/>
      <c r="D191" s="102"/>
      <c r="E191" s="102"/>
      <c r="F191" s="10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75" customHeight="1">
      <c r="A192" s="4"/>
      <c r="B192" s="101"/>
      <c r="C192" s="4"/>
      <c r="D192" s="102"/>
      <c r="E192" s="102"/>
      <c r="F192" s="10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75" customHeight="1">
      <c r="A193" s="4"/>
      <c r="B193" s="101"/>
      <c r="C193" s="4"/>
      <c r="D193" s="102"/>
      <c r="E193" s="102"/>
      <c r="F193" s="10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75" customHeight="1">
      <c r="A194" s="4"/>
      <c r="B194" s="101"/>
      <c r="C194" s="4"/>
      <c r="D194" s="102"/>
      <c r="E194" s="102"/>
      <c r="F194" s="10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75" customHeight="1">
      <c r="A195" s="4"/>
      <c r="B195" s="101"/>
      <c r="C195" s="4"/>
      <c r="D195" s="102"/>
      <c r="E195" s="102"/>
      <c r="F195" s="10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75" customHeight="1">
      <c r="A196" s="4"/>
      <c r="B196" s="101"/>
      <c r="C196" s="4"/>
      <c r="D196" s="102"/>
      <c r="E196" s="102"/>
      <c r="F196" s="10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75" customHeight="1">
      <c r="A197" s="4"/>
      <c r="B197" s="101"/>
      <c r="C197" s="4"/>
      <c r="D197" s="102"/>
      <c r="E197" s="102"/>
      <c r="F197" s="10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75" customHeight="1">
      <c r="A198" s="4"/>
      <c r="B198" s="101"/>
      <c r="C198" s="4"/>
      <c r="D198" s="102"/>
      <c r="E198" s="102"/>
      <c r="F198" s="10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75" customHeight="1">
      <c r="A199" s="4"/>
      <c r="B199" s="101"/>
      <c r="C199" s="4"/>
      <c r="D199" s="102"/>
      <c r="E199" s="102"/>
      <c r="F199" s="10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75" customHeight="1">
      <c r="A200" s="4"/>
      <c r="B200" s="101"/>
      <c r="C200" s="4"/>
      <c r="D200" s="102"/>
      <c r="E200" s="102"/>
      <c r="F200" s="10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75" customHeight="1">
      <c r="A201" s="4"/>
      <c r="B201" s="101"/>
      <c r="C201" s="4"/>
      <c r="D201" s="102"/>
      <c r="E201" s="102"/>
      <c r="F201" s="10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.75" customHeight="1">
      <c r="A202" s="4"/>
      <c r="B202" s="101"/>
      <c r="C202" s="4"/>
      <c r="D202" s="102"/>
      <c r="E202" s="102"/>
      <c r="F202" s="10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75" customHeight="1">
      <c r="A203" s="4"/>
      <c r="B203" s="101"/>
      <c r="C203" s="4"/>
      <c r="D203" s="102"/>
      <c r="E203" s="102"/>
      <c r="F203" s="10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75" customHeight="1">
      <c r="A204" s="4"/>
      <c r="B204" s="101"/>
      <c r="C204" s="4"/>
      <c r="D204" s="102"/>
      <c r="E204" s="102"/>
      <c r="F204" s="10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75" customHeight="1">
      <c r="A205" s="4"/>
      <c r="B205" s="101"/>
      <c r="C205" s="4"/>
      <c r="D205" s="102"/>
      <c r="E205" s="102"/>
      <c r="F205" s="10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75" customHeight="1">
      <c r="A206" s="4"/>
      <c r="B206" s="101"/>
      <c r="C206" s="4"/>
      <c r="D206" s="102"/>
      <c r="E206" s="102"/>
      <c r="F206" s="10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75" customHeight="1">
      <c r="A207" s="4"/>
      <c r="B207" s="101"/>
      <c r="C207" s="4"/>
      <c r="D207" s="102"/>
      <c r="E207" s="102"/>
      <c r="F207" s="10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75" customHeight="1">
      <c r="A208" s="4"/>
      <c r="B208" s="101"/>
      <c r="C208" s="4"/>
      <c r="D208" s="102"/>
      <c r="E208" s="102"/>
      <c r="F208" s="10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75" customHeight="1">
      <c r="A209" s="4"/>
      <c r="B209" s="101"/>
      <c r="C209" s="4"/>
      <c r="D209" s="102"/>
      <c r="E209" s="102"/>
      <c r="F209" s="10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75" customHeight="1">
      <c r="A210" s="4"/>
      <c r="B210" s="101"/>
      <c r="C210" s="4"/>
      <c r="D210" s="102"/>
      <c r="E210" s="102"/>
      <c r="F210" s="10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.75" customHeight="1">
      <c r="A211" s="4"/>
      <c r="B211" s="101"/>
      <c r="C211" s="4"/>
      <c r="D211" s="102"/>
      <c r="E211" s="102"/>
      <c r="F211" s="10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75" customHeight="1">
      <c r="A212" s="4"/>
      <c r="B212" s="101"/>
      <c r="C212" s="4"/>
      <c r="D212" s="102"/>
      <c r="E212" s="102"/>
      <c r="F212" s="10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75" customHeight="1">
      <c r="A213" s="4"/>
      <c r="B213" s="101"/>
      <c r="C213" s="4"/>
      <c r="D213" s="102"/>
      <c r="E213" s="102"/>
      <c r="F213" s="10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75" customHeight="1">
      <c r="A214" s="4"/>
      <c r="B214" s="101"/>
      <c r="C214" s="4"/>
      <c r="D214" s="102"/>
      <c r="E214" s="102"/>
      <c r="F214" s="10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75" customHeight="1">
      <c r="A215" s="4"/>
      <c r="B215" s="101"/>
      <c r="C215" s="4"/>
      <c r="D215" s="102"/>
      <c r="E215" s="102"/>
      <c r="F215" s="10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</sheetData>
  <mergeCells count="6">
    <mergeCell ref="A1:F1"/>
    <mergeCell ref="A2:F2"/>
    <mergeCell ref="A3:F3"/>
    <mergeCell ref="A4:F4"/>
    <mergeCell ref="D7:E7"/>
    <mergeCell ref="A9:F9"/>
  </mergeCells>
  <printOptions/>
  <pageMargins bottom="0.75" footer="0.0" header="0.0" left="0.7" right="0.7" top="0.75"/>
  <pageSetup scale="44" orientation="landscape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2.63" defaultRowHeight="15.0"/>
  <cols>
    <col customWidth="1" min="1" max="1" width="52.5"/>
    <col customWidth="1" min="2" max="2" width="49.5"/>
    <col customWidth="1" min="3" max="3" width="21.88"/>
    <col customWidth="1" min="4" max="4" width="21.5"/>
    <col customWidth="1" min="5" max="5" width="22.88"/>
    <col customWidth="1" min="6" max="6" width="71.5"/>
    <col customWidth="1" min="7" max="7" width="50.13"/>
    <col customWidth="1" min="8" max="26" width="8.0"/>
  </cols>
  <sheetData>
    <row r="1" ht="12.75" customHeight="1">
      <c r="A1" s="439" t="s">
        <v>0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2.75" customHeight="1">
      <c r="A2" s="5" t="s">
        <v>1</v>
      </c>
      <c r="B2" s="6"/>
      <c r="C2" s="6"/>
      <c r="D2" s="6"/>
      <c r="E2" s="6"/>
      <c r="F2" s="7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2.75" customHeight="1">
      <c r="A3" s="5" t="s">
        <v>2</v>
      </c>
      <c r="B3" s="6"/>
      <c r="C3" s="6"/>
      <c r="D3" s="6"/>
      <c r="E3" s="6"/>
      <c r="F3" s="7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2.75" customHeight="1">
      <c r="A4" s="5" t="s">
        <v>3</v>
      </c>
      <c r="B4" s="6"/>
      <c r="C4" s="6"/>
      <c r="D4" s="6"/>
      <c r="E4" s="6"/>
      <c r="F4" s="7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2.75" customHeight="1">
      <c r="A5" s="8"/>
      <c r="B5" s="9"/>
      <c r="C5" s="10"/>
      <c r="D5" s="11"/>
      <c r="E5" s="11"/>
      <c r="F5" s="12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2.75" customHeight="1">
      <c r="A6" s="13"/>
      <c r="B6" s="9"/>
      <c r="C6" s="10"/>
      <c r="D6" s="14"/>
      <c r="E6" s="14"/>
      <c r="F6" s="15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30.0" customHeight="1">
      <c r="A7" s="16"/>
      <c r="B7" s="9"/>
      <c r="C7" s="17"/>
      <c r="D7" s="18"/>
      <c r="E7" s="19"/>
      <c r="F7" s="15" t="s">
        <v>2182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0.0" customHeight="1">
      <c r="A8" s="20" t="s">
        <v>5</v>
      </c>
      <c r="B8" s="21"/>
      <c r="C8" s="22"/>
      <c r="D8" s="23"/>
      <c r="E8" s="23"/>
      <c r="F8" s="2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7.75" customHeight="1">
      <c r="A9" s="25" t="s">
        <v>2183</v>
      </c>
      <c r="B9" s="26"/>
      <c r="C9" s="26"/>
      <c r="D9" s="26"/>
      <c r="E9" s="26"/>
      <c r="F9" s="27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8.5" customHeight="1">
      <c r="A10" s="28"/>
      <c r="B10" s="29"/>
      <c r="C10" s="29"/>
      <c r="D10" s="30"/>
      <c r="E10" s="30"/>
      <c r="F10" s="31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</row>
    <row r="11" ht="22.5" customHeight="1">
      <c r="A11" s="33" t="s">
        <v>2184</v>
      </c>
      <c r="B11" s="27"/>
      <c r="C11" s="34" t="s">
        <v>8</v>
      </c>
      <c r="D11" s="34" t="s">
        <v>9</v>
      </c>
      <c r="E11" s="440" t="s">
        <v>10</v>
      </c>
      <c r="F11" s="441" t="s">
        <v>11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75" customHeight="1">
      <c r="A12" s="36" t="s">
        <v>12</v>
      </c>
      <c r="B12" s="37"/>
      <c r="C12" s="38"/>
      <c r="D12" s="39"/>
      <c r="E12" s="442"/>
      <c r="F12" s="41" t="s">
        <v>13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75" customHeight="1">
      <c r="A13" s="42" t="s">
        <v>1508</v>
      </c>
      <c r="B13" s="43" t="s">
        <v>15</v>
      </c>
      <c r="C13" s="50">
        <v>935.0</v>
      </c>
      <c r="D13" s="45">
        <v>24951.69</v>
      </c>
      <c r="E13" s="45">
        <v>26245.14</v>
      </c>
      <c r="F13" s="47" t="s">
        <v>2185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2.75" customHeight="1">
      <c r="A14" s="48" t="s">
        <v>2186</v>
      </c>
      <c r="B14" s="49"/>
      <c r="C14" s="50"/>
      <c r="D14" s="45"/>
      <c r="E14" s="443"/>
      <c r="F14" s="51" t="s">
        <v>2187</v>
      </c>
      <c r="G14" s="52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2.75" customHeight="1">
      <c r="A15" s="48" t="s">
        <v>2188</v>
      </c>
      <c r="B15" s="54"/>
      <c r="C15" s="55"/>
      <c r="D15" s="56"/>
      <c r="E15" s="444"/>
      <c r="F15" s="420" t="s">
        <v>2189</v>
      </c>
      <c r="G15" s="52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2.5" customHeight="1">
      <c r="A16" s="33" t="s">
        <v>2190</v>
      </c>
      <c r="B16" s="27"/>
      <c r="C16" s="34" t="s">
        <v>8</v>
      </c>
      <c r="D16" s="34" t="s">
        <v>9</v>
      </c>
      <c r="E16" s="440" t="s">
        <v>10</v>
      </c>
      <c r="F16" s="441" t="s">
        <v>11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36" t="s">
        <v>12</v>
      </c>
      <c r="B17" s="37"/>
      <c r="C17" s="38"/>
      <c r="D17" s="39"/>
      <c r="E17" s="442"/>
      <c r="F17" s="41" t="s">
        <v>13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42" t="s">
        <v>1508</v>
      </c>
      <c r="B18" s="43" t="s">
        <v>15</v>
      </c>
      <c r="C18" s="50">
        <v>917.0</v>
      </c>
      <c r="D18" s="45">
        <v>24999.75</v>
      </c>
      <c r="E18" s="45">
        <v>26268.98</v>
      </c>
      <c r="F18" s="47" t="s">
        <v>2191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2.75" customHeight="1">
      <c r="A19" s="48" t="s">
        <v>2186</v>
      </c>
      <c r="B19" s="49"/>
      <c r="C19" s="50"/>
      <c r="D19" s="45"/>
      <c r="E19" s="443"/>
      <c r="F19" s="51" t="s">
        <v>2192</v>
      </c>
      <c r="G19" s="52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2.75" customHeight="1">
      <c r="A20" s="48" t="s">
        <v>2193</v>
      </c>
      <c r="B20" s="54"/>
      <c r="C20" s="55"/>
      <c r="D20" s="56"/>
      <c r="E20" s="444"/>
      <c r="F20" s="420" t="s">
        <v>2194</v>
      </c>
      <c r="G20" s="52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2.5" customHeight="1">
      <c r="A21" s="33" t="s">
        <v>2195</v>
      </c>
      <c r="B21" s="27"/>
      <c r="C21" s="34" t="s">
        <v>8</v>
      </c>
      <c r="D21" s="34" t="s">
        <v>9</v>
      </c>
      <c r="E21" s="440" t="s">
        <v>10</v>
      </c>
      <c r="F21" s="441" t="s">
        <v>11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36" t="s">
        <v>12</v>
      </c>
      <c r="B22" s="37"/>
      <c r="C22" s="38"/>
      <c r="D22" s="39"/>
      <c r="E22" s="442"/>
      <c r="F22" s="41" t="s">
        <v>13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2" t="s">
        <v>1508</v>
      </c>
      <c r="B23" s="43" t="s">
        <v>15</v>
      </c>
      <c r="C23" s="50">
        <v>891.0</v>
      </c>
      <c r="D23" s="45">
        <v>25007.08</v>
      </c>
      <c r="E23" s="45">
        <v>26111.92</v>
      </c>
      <c r="F23" s="47" t="s">
        <v>2196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2.75" customHeight="1">
      <c r="A24" s="48" t="s">
        <v>2197</v>
      </c>
      <c r="B24" s="49"/>
      <c r="C24" s="50"/>
      <c r="D24" s="45"/>
      <c r="E24" s="443"/>
      <c r="F24" s="51" t="s">
        <v>2198</v>
      </c>
      <c r="G24" s="52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2.75" customHeight="1">
      <c r="A25" s="48" t="s">
        <v>1909</v>
      </c>
      <c r="B25" s="54"/>
      <c r="C25" s="55"/>
      <c r="D25" s="56"/>
      <c r="E25" s="444"/>
      <c r="F25" s="420" t="s">
        <v>2199</v>
      </c>
      <c r="G25" s="52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2.5" customHeight="1">
      <c r="A26" s="33" t="s">
        <v>2200</v>
      </c>
      <c r="B26" s="27"/>
      <c r="C26" s="34" t="s">
        <v>8</v>
      </c>
      <c r="D26" s="34" t="s">
        <v>9</v>
      </c>
      <c r="E26" s="440" t="s">
        <v>10</v>
      </c>
      <c r="F26" s="441" t="s">
        <v>11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36" t="s">
        <v>12</v>
      </c>
      <c r="B27" s="37"/>
      <c r="C27" s="38"/>
      <c r="D27" s="39"/>
      <c r="E27" s="442"/>
      <c r="F27" s="41" t="s">
        <v>13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2" t="s">
        <v>1508</v>
      </c>
      <c r="B28" s="43" t="s">
        <v>15</v>
      </c>
      <c r="C28" s="50">
        <v>860.0</v>
      </c>
      <c r="D28" s="45">
        <v>24984.53</v>
      </c>
      <c r="E28" s="45">
        <v>26182.73</v>
      </c>
      <c r="F28" s="47" t="s">
        <v>2201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2.75" customHeight="1">
      <c r="A29" s="48" t="s">
        <v>2197</v>
      </c>
      <c r="B29" s="49"/>
      <c r="C29" s="50"/>
      <c r="D29" s="45"/>
      <c r="E29" s="443"/>
      <c r="F29" s="51" t="s">
        <v>2202</v>
      </c>
      <c r="G29" s="52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2.75" customHeight="1">
      <c r="A30" s="48" t="s">
        <v>2203</v>
      </c>
      <c r="B30" s="54"/>
      <c r="C30" s="55"/>
      <c r="D30" s="56"/>
      <c r="E30" s="444"/>
      <c r="F30" s="420" t="s">
        <v>2204</v>
      </c>
      <c r="G30" s="52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2.5" customHeight="1">
      <c r="A31" s="33" t="s">
        <v>2205</v>
      </c>
      <c r="B31" s="27"/>
      <c r="C31" s="34" t="s">
        <v>8</v>
      </c>
      <c r="D31" s="34" t="s">
        <v>9</v>
      </c>
      <c r="E31" s="440" t="s">
        <v>10</v>
      </c>
      <c r="F31" s="441" t="s">
        <v>11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36" t="s">
        <v>12</v>
      </c>
      <c r="B32" s="37"/>
      <c r="C32" s="38"/>
      <c r="D32" s="39"/>
      <c r="E32" s="442"/>
      <c r="F32" s="41" t="s">
        <v>13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2" t="s">
        <v>1508</v>
      </c>
      <c r="B33" s="43" t="s">
        <v>15</v>
      </c>
      <c r="C33" s="50">
        <v>920.0</v>
      </c>
      <c r="D33" s="45">
        <v>24918.52</v>
      </c>
      <c r="E33" s="45">
        <v>26038.92</v>
      </c>
      <c r="F33" s="47" t="s">
        <v>2206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2.75" customHeight="1">
      <c r="A34" s="48" t="s">
        <v>2186</v>
      </c>
      <c r="B34" s="49"/>
      <c r="C34" s="50"/>
      <c r="D34" s="45"/>
      <c r="E34" s="443"/>
      <c r="F34" s="51" t="s">
        <v>2207</v>
      </c>
      <c r="G34" s="52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2.75" customHeight="1">
      <c r="A35" s="48" t="s">
        <v>2208</v>
      </c>
      <c r="B35" s="54"/>
      <c r="C35" s="55"/>
      <c r="D35" s="56"/>
      <c r="E35" s="444"/>
      <c r="F35" s="420" t="s">
        <v>2209</v>
      </c>
      <c r="G35" s="52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2.5" customHeight="1">
      <c r="A36" s="33" t="s">
        <v>2210</v>
      </c>
      <c r="B36" s="27"/>
      <c r="C36" s="34" t="s">
        <v>8</v>
      </c>
      <c r="D36" s="34" t="s">
        <v>9</v>
      </c>
      <c r="E36" s="440" t="s">
        <v>10</v>
      </c>
      <c r="F36" s="441" t="s">
        <v>11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36" t="s">
        <v>12</v>
      </c>
      <c r="B37" s="37"/>
      <c r="C37" s="38"/>
      <c r="D37" s="50"/>
      <c r="E37" s="442"/>
      <c r="F37" s="41" t="s">
        <v>13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2" t="s">
        <v>1508</v>
      </c>
      <c r="B38" s="43" t="s">
        <v>15</v>
      </c>
      <c r="C38" s="50">
        <v>930.0</v>
      </c>
      <c r="D38" s="45">
        <v>24979.38</v>
      </c>
      <c r="E38" s="45">
        <v>26308.48</v>
      </c>
      <c r="F38" s="47" t="s">
        <v>2211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2.75" customHeight="1">
      <c r="A39" s="48" t="s">
        <v>2186</v>
      </c>
      <c r="B39" s="49"/>
      <c r="C39" s="50"/>
      <c r="D39" s="45"/>
      <c r="E39" s="443"/>
      <c r="F39" s="51" t="s">
        <v>2212</v>
      </c>
      <c r="G39" s="52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2.75" customHeight="1">
      <c r="A40" s="48" t="s">
        <v>2213</v>
      </c>
      <c r="B40" s="54"/>
      <c r="C40" s="55"/>
      <c r="D40" s="56"/>
      <c r="E40" s="444"/>
      <c r="F40" s="420" t="s">
        <v>2214</v>
      </c>
      <c r="G40" s="52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22.5" customHeight="1">
      <c r="A41" s="33" t="s">
        <v>2215</v>
      </c>
      <c r="B41" s="27"/>
      <c r="C41" s="34" t="s">
        <v>8</v>
      </c>
      <c r="D41" s="34" t="s">
        <v>9</v>
      </c>
      <c r="E41" s="440" t="s">
        <v>10</v>
      </c>
      <c r="F41" s="441" t="s">
        <v>11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36" t="s">
        <v>12</v>
      </c>
      <c r="B42" s="37"/>
      <c r="C42" s="38"/>
      <c r="D42" s="39"/>
      <c r="E42" s="442"/>
      <c r="F42" s="41" t="s">
        <v>13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2" t="s">
        <v>1508</v>
      </c>
      <c r="B43" s="43" t="s">
        <v>15</v>
      </c>
      <c r="C43" s="50">
        <v>875.0</v>
      </c>
      <c r="D43" s="45">
        <v>25014.99</v>
      </c>
      <c r="E43" s="45">
        <v>26110.59</v>
      </c>
      <c r="F43" s="47" t="s">
        <v>2216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2.75" customHeight="1">
      <c r="A44" s="48" t="s">
        <v>2197</v>
      </c>
      <c r="B44" s="49"/>
      <c r="C44" s="50"/>
      <c r="D44" s="45"/>
      <c r="E44" s="443"/>
      <c r="F44" s="51" t="s">
        <v>2217</v>
      </c>
      <c r="G44" s="52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2.75" customHeight="1">
      <c r="A45" s="48" t="s">
        <v>1898</v>
      </c>
      <c r="B45" s="54"/>
      <c r="C45" s="55"/>
      <c r="D45" s="56"/>
      <c r="E45" s="444"/>
      <c r="F45" s="420" t="s">
        <v>2218</v>
      </c>
      <c r="G45" s="52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22.5" customHeight="1">
      <c r="A46" s="33" t="s">
        <v>2219</v>
      </c>
      <c r="B46" s="27"/>
      <c r="C46" s="34" t="s">
        <v>8</v>
      </c>
      <c r="D46" s="34" t="s">
        <v>9</v>
      </c>
      <c r="E46" s="440" t="s">
        <v>10</v>
      </c>
      <c r="F46" s="441" t="s">
        <v>11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36" t="s">
        <v>12</v>
      </c>
      <c r="B47" s="37"/>
      <c r="C47" s="38"/>
      <c r="D47" s="39"/>
      <c r="E47" s="442"/>
      <c r="F47" s="41" t="s">
        <v>13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2" t="s">
        <v>1508</v>
      </c>
      <c r="B48" s="43" t="s">
        <v>15</v>
      </c>
      <c r="C48" s="50">
        <v>862.0</v>
      </c>
      <c r="D48" s="45">
        <v>25002.15</v>
      </c>
      <c r="E48" s="45">
        <v>26152.09</v>
      </c>
      <c r="F48" s="47" t="s">
        <v>2220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2.75" customHeight="1">
      <c r="A49" s="48" t="s">
        <v>2197</v>
      </c>
      <c r="B49" s="49"/>
      <c r="C49" s="50"/>
      <c r="D49" s="45"/>
      <c r="E49" s="443"/>
      <c r="F49" s="51" t="s">
        <v>2221</v>
      </c>
      <c r="G49" s="52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21.75" customHeight="1">
      <c r="A50" s="48" t="s">
        <v>2222</v>
      </c>
      <c r="B50" s="54"/>
      <c r="C50" s="55"/>
      <c r="D50" s="56"/>
      <c r="E50" s="444"/>
      <c r="F50" s="420" t="s">
        <v>2223</v>
      </c>
      <c r="G50" s="52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22.5" customHeight="1">
      <c r="A51" s="33" t="s">
        <v>2224</v>
      </c>
      <c r="B51" s="27"/>
      <c r="C51" s="34" t="s">
        <v>8</v>
      </c>
      <c r="D51" s="34" t="s">
        <v>9</v>
      </c>
      <c r="E51" s="440" t="s">
        <v>10</v>
      </c>
      <c r="F51" s="441" t="s">
        <v>11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36" t="s">
        <v>12</v>
      </c>
      <c r="B52" s="37"/>
      <c r="C52" s="38"/>
      <c r="D52" s="39"/>
      <c r="E52" s="442"/>
      <c r="F52" s="41" t="s">
        <v>13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2" t="s">
        <v>1508</v>
      </c>
      <c r="B53" s="43" t="s">
        <v>15</v>
      </c>
      <c r="C53" s="50">
        <v>928.0</v>
      </c>
      <c r="D53" s="45">
        <v>24972.47</v>
      </c>
      <c r="E53" s="45">
        <v>26319.83</v>
      </c>
      <c r="F53" s="47" t="s">
        <v>2225</v>
      </c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2.75" customHeight="1">
      <c r="A54" s="48" t="s">
        <v>2186</v>
      </c>
      <c r="B54" s="49"/>
      <c r="C54" s="50"/>
      <c r="D54" s="45"/>
      <c r="E54" s="443"/>
      <c r="F54" s="51" t="s">
        <v>2226</v>
      </c>
      <c r="G54" s="52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21.75" customHeight="1">
      <c r="A55" s="48" t="s">
        <v>2227</v>
      </c>
      <c r="B55" s="54"/>
      <c r="C55" s="55"/>
      <c r="D55" s="56"/>
      <c r="E55" s="444"/>
      <c r="F55" s="420" t="s">
        <v>2228</v>
      </c>
      <c r="G55" s="52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21.75" customHeight="1">
      <c r="A56" s="33" t="s">
        <v>2229</v>
      </c>
      <c r="B56" s="27"/>
      <c r="C56" s="34" t="s">
        <v>8</v>
      </c>
      <c r="D56" s="34" t="s">
        <v>9</v>
      </c>
      <c r="E56" s="440" t="s">
        <v>10</v>
      </c>
      <c r="F56" s="441" t="s">
        <v>11</v>
      </c>
      <c r="G56" s="52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21.75" customHeight="1">
      <c r="A57" s="36" t="s">
        <v>12</v>
      </c>
      <c r="B57" s="37"/>
      <c r="C57" s="38"/>
      <c r="D57" s="39"/>
      <c r="E57" s="442"/>
      <c r="F57" s="41" t="s">
        <v>13</v>
      </c>
      <c r="G57" s="52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21.75" customHeight="1">
      <c r="A58" s="42" t="s">
        <v>1508</v>
      </c>
      <c r="B58" s="43" t="s">
        <v>15</v>
      </c>
      <c r="C58" s="50">
        <v>924.0</v>
      </c>
      <c r="D58" s="45">
        <v>25002.04</v>
      </c>
      <c r="E58" s="45">
        <v>26325.92</v>
      </c>
      <c r="F58" s="47" t="s">
        <v>2230</v>
      </c>
      <c r="G58" s="52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21.75" customHeight="1">
      <c r="A59" s="48" t="s">
        <v>2186</v>
      </c>
      <c r="B59" s="49"/>
      <c r="C59" s="50"/>
      <c r="D59" s="45"/>
      <c r="E59" s="443"/>
      <c r="F59" s="51" t="s">
        <v>2231</v>
      </c>
      <c r="G59" s="52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21.75" customHeight="1">
      <c r="A60" s="48" t="s">
        <v>2232</v>
      </c>
      <c r="B60" s="54"/>
      <c r="C60" s="55"/>
      <c r="D60" s="56"/>
      <c r="E60" s="444"/>
      <c r="F60" s="420" t="s">
        <v>2233</v>
      </c>
      <c r="G60" s="52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21.75" customHeight="1">
      <c r="A61" s="33" t="s">
        <v>2234</v>
      </c>
      <c r="B61" s="27"/>
      <c r="C61" s="34" t="s">
        <v>8</v>
      </c>
      <c r="D61" s="34" t="s">
        <v>9</v>
      </c>
      <c r="E61" s="440" t="s">
        <v>10</v>
      </c>
      <c r="F61" s="441" t="s">
        <v>11</v>
      </c>
      <c r="G61" s="52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21.75" customHeight="1">
      <c r="A62" s="36" t="s">
        <v>12</v>
      </c>
      <c r="B62" s="37"/>
      <c r="C62" s="38"/>
      <c r="D62" s="39"/>
      <c r="E62" s="442"/>
      <c r="F62" s="41" t="s">
        <v>13</v>
      </c>
      <c r="G62" s="52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21.75" customHeight="1">
      <c r="A63" s="42" t="s">
        <v>1508</v>
      </c>
      <c r="B63" s="43" t="s">
        <v>15</v>
      </c>
      <c r="C63" s="50">
        <v>885.0</v>
      </c>
      <c r="D63" s="45">
        <v>25010.94</v>
      </c>
      <c r="E63" s="45">
        <v>26125.56</v>
      </c>
      <c r="F63" s="47" t="s">
        <v>2235</v>
      </c>
      <c r="G63" s="52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21.75" customHeight="1">
      <c r="A64" s="48" t="s">
        <v>2197</v>
      </c>
      <c r="B64" s="49"/>
      <c r="C64" s="50"/>
      <c r="D64" s="45"/>
      <c r="E64" s="443"/>
      <c r="F64" s="51" t="s">
        <v>2236</v>
      </c>
      <c r="G64" s="52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21.75" customHeight="1">
      <c r="A65" s="48" t="s">
        <v>1893</v>
      </c>
      <c r="B65" s="54"/>
      <c r="C65" s="55"/>
      <c r="D65" s="56"/>
      <c r="E65" s="444"/>
      <c r="F65" s="420" t="s">
        <v>2237</v>
      </c>
      <c r="G65" s="52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21.75" customHeight="1">
      <c r="A66" s="33" t="s">
        <v>2238</v>
      </c>
      <c r="B66" s="27"/>
      <c r="C66" s="34" t="s">
        <v>8</v>
      </c>
      <c r="D66" s="34" t="s">
        <v>9</v>
      </c>
      <c r="E66" s="440" t="s">
        <v>10</v>
      </c>
      <c r="F66" s="441" t="s">
        <v>11</v>
      </c>
      <c r="G66" s="52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21.75" customHeight="1">
      <c r="A67" s="36" t="s">
        <v>12</v>
      </c>
      <c r="B67" s="37"/>
      <c r="C67" s="38"/>
      <c r="D67" s="39"/>
      <c r="E67" s="442"/>
      <c r="F67" s="41" t="s">
        <v>13</v>
      </c>
      <c r="G67" s="52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21.75" customHeight="1">
      <c r="A68" s="42" t="s">
        <v>1508</v>
      </c>
      <c r="B68" s="43" t="s">
        <v>15</v>
      </c>
      <c r="C68" s="50">
        <v>901.0</v>
      </c>
      <c r="D68" s="45">
        <v>24993.78</v>
      </c>
      <c r="E68" s="45">
        <v>26249.7</v>
      </c>
      <c r="F68" s="47" t="s">
        <v>2239</v>
      </c>
      <c r="G68" s="52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21.75" customHeight="1">
      <c r="A69" s="48" t="s">
        <v>2240</v>
      </c>
      <c r="B69" s="49"/>
      <c r="C69" s="50"/>
      <c r="D69" s="45"/>
      <c r="E69" s="443"/>
      <c r="F69" s="51" t="s">
        <v>2241</v>
      </c>
      <c r="G69" s="52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21.75" customHeight="1">
      <c r="A70" s="48" t="s">
        <v>2242</v>
      </c>
      <c r="B70" s="54"/>
      <c r="C70" s="55"/>
      <c r="D70" s="56"/>
      <c r="E70" s="444"/>
      <c r="F70" s="420" t="s">
        <v>2243</v>
      </c>
      <c r="G70" s="52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21.75" customHeight="1">
      <c r="A71" s="33" t="s">
        <v>2244</v>
      </c>
      <c r="B71" s="27"/>
      <c r="C71" s="34" t="s">
        <v>8</v>
      </c>
      <c r="D71" s="34" t="s">
        <v>9</v>
      </c>
      <c r="E71" s="440" t="s">
        <v>10</v>
      </c>
      <c r="F71" s="441" t="s">
        <v>11</v>
      </c>
      <c r="G71" s="52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21.75" customHeight="1">
      <c r="A72" s="36" t="s">
        <v>12</v>
      </c>
      <c r="B72" s="37"/>
      <c r="C72" s="38"/>
      <c r="D72" s="39"/>
      <c r="E72" s="442"/>
      <c r="F72" s="41" t="s">
        <v>13</v>
      </c>
      <c r="G72" s="52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21.75" customHeight="1">
      <c r="A73" s="42" t="s">
        <v>1508</v>
      </c>
      <c r="B73" s="43" t="s">
        <v>15</v>
      </c>
      <c r="C73" s="50">
        <v>938.0</v>
      </c>
      <c r="D73" s="45">
        <v>24986.42</v>
      </c>
      <c r="E73" s="45">
        <v>26242.48</v>
      </c>
      <c r="F73" s="47" t="s">
        <v>2245</v>
      </c>
      <c r="G73" s="52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21.75" customHeight="1">
      <c r="A74" s="48" t="s">
        <v>2186</v>
      </c>
      <c r="B74" s="49"/>
      <c r="C74" s="50"/>
      <c r="D74" s="45"/>
      <c r="E74" s="443"/>
      <c r="F74" s="51" t="s">
        <v>2246</v>
      </c>
      <c r="G74" s="52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21.75" customHeight="1">
      <c r="A75" s="48" t="s">
        <v>1771</v>
      </c>
      <c r="B75" s="54"/>
      <c r="C75" s="55"/>
      <c r="D75" s="56"/>
      <c r="E75" s="444"/>
      <c r="F75" s="420" t="s">
        <v>2247</v>
      </c>
      <c r="G75" s="52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21.75" customHeight="1">
      <c r="A76" s="33" t="s">
        <v>2248</v>
      </c>
      <c r="B76" s="27"/>
      <c r="C76" s="34" t="s">
        <v>8</v>
      </c>
      <c r="D76" s="34" t="s">
        <v>9</v>
      </c>
      <c r="E76" s="440" t="s">
        <v>10</v>
      </c>
      <c r="F76" s="441" t="s">
        <v>11</v>
      </c>
      <c r="G76" s="52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21.75" customHeight="1">
      <c r="A77" s="36" t="s">
        <v>12</v>
      </c>
      <c r="B77" s="37"/>
      <c r="C77" s="38"/>
      <c r="D77" s="50"/>
      <c r="E77" s="442"/>
      <c r="F77" s="41" t="s">
        <v>13</v>
      </c>
      <c r="G77" s="52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21.75" customHeight="1">
      <c r="A78" s="42" t="s">
        <v>1508</v>
      </c>
      <c r="B78" s="43" t="s">
        <v>15</v>
      </c>
      <c r="C78" s="50">
        <v>923.0</v>
      </c>
      <c r="D78" s="45">
        <v>24981.63</v>
      </c>
      <c r="E78" s="45">
        <v>26214.64</v>
      </c>
      <c r="F78" s="47" t="s">
        <v>2249</v>
      </c>
      <c r="G78" s="52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21.75" customHeight="1">
      <c r="A79" s="48" t="s">
        <v>2186</v>
      </c>
      <c r="B79" s="49"/>
      <c r="C79" s="50"/>
      <c r="D79" s="45"/>
      <c r="E79" s="443"/>
      <c r="F79" s="51" t="s">
        <v>2250</v>
      </c>
      <c r="G79" s="52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21.75" customHeight="1">
      <c r="A80" s="48" t="s">
        <v>2251</v>
      </c>
      <c r="B80" s="54"/>
      <c r="C80" s="55"/>
      <c r="D80" s="56"/>
      <c r="E80" s="444"/>
      <c r="F80" s="420" t="s">
        <v>2252</v>
      </c>
      <c r="G80" s="52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21.75" customHeight="1">
      <c r="A81" s="33" t="s">
        <v>2253</v>
      </c>
      <c r="B81" s="27"/>
      <c r="C81" s="34" t="s">
        <v>8</v>
      </c>
      <c r="D81" s="34" t="s">
        <v>9</v>
      </c>
      <c r="E81" s="440" t="s">
        <v>10</v>
      </c>
      <c r="F81" s="441" t="s">
        <v>11</v>
      </c>
      <c r="G81" s="52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21.75" customHeight="1">
      <c r="A82" s="36" t="s">
        <v>12</v>
      </c>
      <c r="B82" s="37"/>
      <c r="C82" s="38"/>
      <c r="D82" s="39"/>
      <c r="E82" s="442"/>
      <c r="F82" s="41" t="s">
        <v>13</v>
      </c>
      <c r="G82" s="52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21.75" customHeight="1">
      <c r="A83" s="42" t="s">
        <v>1508</v>
      </c>
      <c r="B83" s="43" t="s">
        <v>15</v>
      </c>
      <c r="C83" s="50">
        <v>885.0</v>
      </c>
      <c r="D83" s="45">
        <v>24990.2</v>
      </c>
      <c r="E83" s="45">
        <v>26144.35</v>
      </c>
      <c r="F83" s="47" t="s">
        <v>2254</v>
      </c>
      <c r="G83" s="52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21.75" customHeight="1">
      <c r="A84" s="48" t="s">
        <v>2197</v>
      </c>
      <c r="B84" s="49"/>
      <c r="C84" s="50"/>
      <c r="D84" s="45"/>
      <c r="E84" s="443"/>
      <c r="F84" s="51" t="s">
        <v>2255</v>
      </c>
      <c r="G84" s="52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21.75" customHeight="1">
      <c r="A85" s="48" t="s">
        <v>2256</v>
      </c>
      <c r="B85" s="54"/>
      <c r="C85" s="55"/>
      <c r="D85" s="56"/>
      <c r="E85" s="444"/>
      <c r="F85" s="420" t="s">
        <v>2257</v>
      </c>
      <c r="G85" s="52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21.75" customHeight="1">
      <c r="A86" s="33" t="s">
        <v>2258</v>
      </c>
      <c r="B86" s="27"/>
      <c r="C86" s="34" t="s">
        <v>8</v>
      </c>
      <c r="D86" s="34" t="s">
        <v>9</v>
      </c>
      <c r="E86" s="440" t="s">
        <v>10</v>
      </c>
      <c r="F86" s="441" t="s">
        <v>11</v>
      </c>
      <c r="G86" s="52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21.75" customHeight="1">
      <c r="A87" s="36" t="s">
        <v>12</v>
      </c>
      <c r="B87" s="37"/>
      <c r="C87" s="38"/>
      <c r="D87" s="39"/>
      <c r="E87" s="442"/>
      <c r="F87" s="41" t="s">
        <v>13</v>
      </c>
      <c r="G87" s="52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21.75" customHeight="1">
      <c r="A88" s="42" t="s">
        <v>1508</v>
      </c>
      <c r="B88" s="43" t="s">
        <v>15</v>
      </c>
      <c r="C88" s="50">
        <v>862.0</v>
      </c>
      <c r="D88" s="45">
        <v>24998.26</v>
      </c>
      <c r="E88" s="45">
        <v>26280.96</v>
      </c>
      <c r="F88" s="47" t="s">
        <v>2259</v>
      </c>
      <c r="G88" s="52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21.75" customHeight="1">
      <c r="A89" s="48" t="s">
        <v>2240</v>
      </c>
      <c r="B89" s="49"/>
      <c r="C89" s="50"/>
      <c r="D89" s="45"/>
      <c r="E89" s="443"/>
      <c r="F89" s="51" t="s">
        <v>2260</v>
      </c>
      <c r="G89" s="52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21.75" customHeight="1">
      <c r="A90" s="48" t="s">
        <v>2261</v>
      </c>
      <c r="B90" s="54"/>
      <c r="C90" s="55"/>
      <c r="D90" s="56"/>
      <c r="E90" s="444"/>
      <c r="F90" s="420" t="s">
        <v>2262</v>
      </c>
      <c r="G90" s="52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21.75" customHeight="1">
      <c r="A91" s="33" t="s">
        <v>2263</v>
      </c>
      <c r="B91" s="27"/>
      <c r="C91" s="34" t="s">
        <v>8</v>
      </c>
      <c r="D91" s="34" t="s">
        <v>9</v>
      </c>
      <c r="E91" s="440" t="s">
        <v>10</v>
      </c>
      <c r="F91" s="441" t="s">
        <v>11</v>
      </c>
      <c r="G91" s="52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21.75" customHeight="1">
      <c r="A92" s="36" t="s">
        <v>12</v>
      </c>
      <c r="B92" s="37"/>
      <c r="C92" s="38"/>
      <c r="D92" s="39"/>
      <c r="E92" s="442"/>
      <c r="F92" s="41" t="s">
        <v>13</v>
      </c>
      <c r="G92" s="52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21.75" customHeight="1">
      <c r="A93" s="42" t="s">
        <v>1508</v>
      </c>
      <c r="B93" s="43" t="s">
        <v>15</v>
      </c>
      <c r="C93" s="50">
        <v>925.0</v>
      </c>
      <c r="D93" s="45">
        <v>24957.8</v>
      </c>
      <c r="E93" s="45">
        <v>26242.55</v>
      </c>
      <c r="F93" s="47" t="s">
        <v>2264</v>
      </c>
      <c r="G93" s="52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21.75" customHeight="1">
      <c r="A94" s="48" t="s">
        <v>2186</v>
      </c>
      <c r="B94" s="49"/>
      <c r="C94" s="50"/>
      <c r="D94" s="45"/>
      <c r="E94" s="443"/>
      <c r="F94" s="51" t="s">
        <v>2265</v>
      </c>
      <c r="G94" s="52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21.75" customHeight="1">
      <c r="A95" s="48" t="s">
        <v>2266</v>
      </c>
      <c r="B95" s="54"/>
      <c r="C95" s="55"/>
      <c r="D95" s="56"/>
      <c r="E95" s="444"/>
      <c r="F95" s="420" t="s">
        <v>2267</v>
      </c>
      <c r="G95" s="52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21.75" customHeight="1">
      <c r="A96" s="33" t="s">
        <v>2268</v>
      </c>
      <c r="B96" s="27"/>
      <c r="C96" s="34" t="s">
        <v>8</v>
      </c>
      <c r="D96" s="34" t="s">
        <v>9</v>
      </c>
      <c r="E96" s="440" t="s">
        <v>10</v>
      </c>
      <c r="F96" s="441" t="s">
        <v>11</v>
      </c>
      <c r="G96" s="52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21.75" customHeight="1">
      <c r="A97" s="36" t="s">
        <v>12</v>
      </c>
      <c r="B97" s="37"/>
      <c r="C97" s="38"/>
      <c r="D97" s="39"/>
      <c r="E97" s="442"/>
      <c r="F97" s="41" t="s">
        <v>13</v>
      </c>
      <c r="G97" s="52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21.75" customHeight="1">
      <c r="A98" s="42" t="s">
        <v>1508</v>
      </c>
      <c r="B98" s="43" t="s">
        <v>15</v>
      </c>
      <c r="C98" s="50">
        <v>930.0</v>
      </c>
      <c r="D98" s="45">
        <v>24980.49</v>
      </c>
      <c r="E98" s="45">
        <v>26099.59</v>
      </c>
      <c r="F98" s="47" t="s">
        <v>2269</v>
      </c>
      <c r="G98" s="52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21.75" customHeight="1">
      <c r="A99" s="48" t="s">
        <v>2186</v>
      </c>
      <c r="B99" s="49"/>
      <c r="C99" s="50"/>
      <c r="D99" s="45"/>
      <c r="E99" s="443"/>
      <c r="F99" s="51" t="s">
        <v>2270</v>
      </c>
      <c r="G99" s="52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21.75" customHeight="1">
      <c r="A100" s="48" t="s">
        <v>2271</v>
      </c>
      <c r="B100" s="54"/>
      <c r="C100" s="55"/>
      <c r="D100" s="56"/>
      <c r="E100" s="444"/>
      <c r="F100" s="420" t="s">
        <v>2272</v>
      </c>
      <c r="G100" s="52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21.75" customHeight="1">
      <c r="A101" s="33" t="s">
        <v>2273</v>
      </c>
      <c r="B101" s="27"/>
      <c r="C101" s="34" t="s">
        <v>8</v>
      </c>
      <c r="D101" s="34" t="s">
        <v>9</v>
      </c>
      <c r="E101" s="440" t="s">
        <v>10</v>
      </c>
      <c r="F101" s="441" t="s">
        <v>11</v>
      </c>
      <c r="G101" s="52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21.75" customHeight="1">
      <c r="A102" s="36" t="s">
        <v>12</v>
      </c>
      <c r="B102" s="37"/>
      <c r="C102" s="38"/>
      <c r="D102" s="39"/>
      <c r="E102" s="50"/>
      <c r="F102" s="41" t="s">
        <v>13</v>
      </c>
      <c r="G102" s="52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21.75" customHeight="1">
      <c r="A103" s="42" t="s">
        <v>1508</v>
      </c>
      <c r="B103" s="43" t="s">
        <v>15</v>
      </c>
      <c r="C103" s="50">
        <v>864.0</v>
      </c>
      <c r="D103" s="45">
        <v>24960.2</v>
      </c>
      <c r="E103" s="45">
        <v>26181.88</v>
      </c>
      <c r="F103" s="47" t="s">
        <v>2274</v>
      </c>
      <c r="G103" s="52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21.75" customHeight="1">
      <c r="A104" s="48" t="s">
        <v>2197</v>
      </c>
      <c r="B104" s="49"/>
      <c r="C104" s="50"/>
      <c r="D104" s="45"/>
      <c r="E104" s="443"/>
      <c r="F104" s="51" t="s">
        <v>2275</v>
      </c>
      <c r="G104" s="52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21.75" customHeight="1">
      <c r="A105" s="48" t="s">
        <v>2276</v>
      </c>
      <c r="B105" s="54"/>
      <c r="C105" s="55"/>
      <c r="D105" s="56"/>
      <c r="E105" s="444"/>
      <c r="F105" s="420" t="s">
        <v>2277</v>
      </c>
      <c r="G105" s="52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21.75" customHeight="1">
      <c r="A106" s="33" t="s">
        <v>2278</v>
      </c>
      <c r="B106" s="27"/>
      <c r="C106" s="34" t="s">
        <v>8</v>
      </c>
      <c r="D106" s="34" t="s">
        <v>9</v>
      </c>
      <c r="E106" s="440" t="s">
        <v>10</v>
      </c>
      <c r="F106" s="441" t="s">
        <v>11</v>
      </c>
      <c r="G106" s="52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21.75" customHeight="1">
      <c r="A107" s="36" t="s">
        <v>12</v>
      </c>
      <c r="B107" s="37"/>
      <c r="C107" s="38"/>
      <c r="D107" s="39"/>
      <c r="E107" s="442"/>
      <c r="F107" s="41" t="s">
        <v>13</v>
      </c>
      <c r="G107" s="52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21.75" customHeight="1">
      <c r="A108" s="42" t="s">
        <v>1508</v>
      </c>
      <c r="B108" s="43" t="s">
        <v>15</v>
      </c>
      <c r="C108" s="50">
        <v>874.0</v>
      </c>
      <c r="D108" s="45">
        <v>25000.29</v>
      </c>
      <c r="E108" s="45">
        <v>26283.19</v>
      </c>
      <c r="F108" s="47" t="s">
        <v>2279</v>
      </c>
      <c r="G108" s="52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21.75" customHeight="1">
      <c r="A109" s="48" t="s">
        <v>2240</v>
      </c>
      <c r="B109" s="49"/>
      <c r="C109" s="50"/>
      <c r="D109" s="45"/>
      <c r="E109" s="443"/>
      <c r="F109" s="51" t="s">
        <v>2280</v>
      </c>
      <c r="G109" s="52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21.75" customHeight="1">
      <c r="A110" s="48" t="s">
        <v>2281</v>
      </c>
      <c r="B110" s="54"/>
      <c r="C110" s="55"/>
      <c r="D110" s="56"/>
      <c r="E110" s="444"/>
      <c r="F110" s="420" t="s">
        <v>2282</v>
      </c>
      <c r="G110" s="52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21.75" customHeight="1">
      <c r="A111" s="33" t="s">
        <v>2283</v>
      </c>
      <c r="B111" s="27"/>
      <c r="C111" s="34" t="s">
        <v>8</v>
      </c>
      <c r="D111" s="34" t="s">
        <v>9</v>
      </c>
      <c r="E111" s="440" t="s">
        <v>10</v>
      </c>
      <c r="F111" s="441" t="s">
        <v>11</v>
      </c>
      <c r="G111" s="52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21.75" customHeight="1">
      <c r="A112" s="36" t="s">
        <v>12</v>
      </c>
      <c r="B112" s="37"/>
      <c r="C112" s="38"/>
      <c r="D112" s="39"/>
      <c r="E112" s="442"/>
      <c r="F112" s="41" t="s">
        <v>13</v>
      </c>
      <c r="G112" s="52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21.75" customHeight="1">
      <c r="A113" s="42" t="s">
        <v>1508</v>
      </c>
      <c r="B113" s="43" t="s">
        <v>15</v>
      </c>
      <c r="C113" s="50">
        <v>930.0</v>
      </c>
      <c r="D113" s="45">
        <v>24964.82</v>
      </c>
      <c r="E113" s="45">
        <v>26083.92</v>
      </c>
      <c r="F113" s="47" t="s">
        <v>2284</v>
      </c>
      <c r="G113" s="52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21.75" customHeight="1">
      <c r="A114" s="48" t="s">
        <v>2186</v>
      </c>
      <c r="B114" s="49"/>
      <c r="C114" s="50"/>
      <c r="D114" s="45"/>
      <c r="E114" s="443"/>
      <c r="F114" s="51" t="s">
        <v>2285</v>
      </c>
      <c r="G114" s="52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21.75" customHeight="1">
      <c r="A115" s="48" t="s">
        <v>2286</v>
      </c>
      <c r="B115" s="54"/>
      <c r="C115" s="55"/>
      <c r="D115" s="56"/>
      <c r="E115" s="444"/>
      <c r="F115" s="420" t="s">
        <v>2287</v>
      </c>
      <c r="G115" s="52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21.75" customHeight="1">
      <c r="A116" s="33" t="s">
        <v>2288</v>
      </c>
      <c r="B116" s="27"/>
      <c r="C116" s="34" t="s">
        <v>8</v>
      </c>
      <c r="D116" s="34" t="s">
        <v>9</v>
      </c>
      <c r="E116" s="440" t="s">
        <v>10</v>
      </c>
      <c r="F116" s="441" t="s">
        <v>11</v>
      </c>
      <c r="G116" s="52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21.75" customHeight="1">
      <c r="A117" s="36" t="s">
        <v>12</v>
      </c>
      <c r="B117" s="37"/>
      <c r="C117" s="38"/>
      <c r="D117" s="39"/>
      <c r="E117" s="442"/>
      <c r="F117" s="41" t="s">
        <v>13</v>
      </c>
      <c r="G117" s="52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21.75" customHeight="1">
      <c r="A118" s="42" t="s">
        <v>1508</v>
      </c>
      <c r="B118" s="43" t="s">
        <v>15</v>
      </c>
      <c r="C118" s="50">
        <v>938.0</v>
      </c>
      <c r="D118" s="45">
        <v>25009.44</v>
      </c>
      <c r="E118" s="45">
        <v>26235.5</v>
      </c>
      <c r="F118" s="47" t="s">
        <v>2289</v>
      </c>
      <c r="G118" s="52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21.75" customHeight="1">
      <c r="A119" s="48" t="s">
        <v>2186</v>
      </c>
      <c r="B119" s="49"/>
      <c r="C119" s="50"/>
      <c r="D119" s="45"/>
      <c r="E119" s="443"/>
      <c r="F119" s="51" t="s">
        <v>2290</v>
      </c>
      <c r="G119" s="52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21.75" customHeight="1">
      <c r="A120" s="48" t="s">
        <v>2291</v>
      </c>
      <c r="B120" s="54"/>
      <c r="C120" s="55"/>
      <c r="D120" s="56"/>
      <c r="E120" s="444"/>
      <c r="F120" s="420" t="s">
        <v>2292</v>
      </c>
      <c r="G120" s="52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21.75" customHeight="1">
      <c r="A121" s="33" t="s">
        <v>2293</v>
      </c>
      <c r="B121" s="27"/>
      <c r="C121" s="34" t="s">
        <v>8</v>
      </c>
      <c r="D121" s="34" t="s">
        <v>9</v>
      </c>
      <c r="E121" s="440" t="s">
        <v>10</v>
      </c>
      <c r="F121" s="441" t="s">
        <v>11</v>
      </c>
      <c r="G121" s="52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21.75" customHeight="1">
      <c r="A122" s="36" t="s">
        <v>12</v>
      </c>
      <c r="B122" s="37"/>
      <c r="C122" s="38"/>
      <c r="D122" s="39"/>
      <c r="E122" s="442"/>
      <c r="F122" s="41" t="s">
        <v>13</v>
      </c>
      <c r="G122" s="52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21.75" customHeight="1">
      <c r="A123" s="42" t="s">
        <v>1508</v>
      </c>
      <c r="B123" s="43" t="s">
        <v>15</v>
      </c>
      <c r="C123" s="50">
        <v>868.0</v>
      </c>
      <c r="D123" s="45">
        <v>25018.42</v>
      </c>
      <c r="E123" s="45">
        <v>26165.93</v>
      </c>
      <c r="F123" s="47" t="s">
        <v>2294</v>
      </c>
      <c r="G123" s="52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21.75" customHeight="1">
      <c r="A124" s="48" t="s">
        <v>2197</v>
      </c>
      <c r="B124" s="49"/>
      <c r="C124" s="50"/>
      <c r="D124" s="45"/>
      <c r="E124" s="443"/>
      <c r="F124" s="51" t="s">
        <v>2295</v>
      </c>
      <c r="G124" s="52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21.75" customHeight="1">
      <c r="A125" s="48" t="s">
        <v>1781</v>
      </c>
      <c r="B125" s="54"/>
      <c r="C125" s="55"/>
      <c r="D125" s="56"/>
      <c r="E125" s="444"/>
      <c r="F125" s="420" t="s">
        <v>2296</v>
      </c>
      <c r="G125" s="52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21.75" customHeight="1">
      <c r="A126" s="33" t="s">
        <v>2297</v>
      </c>
      <c r="B126" s="27"/>
      <c r="C126" s="34" t="s">
        <v>8</v>
      </c>
      <c r="D126" s="34" t="s">
        <v>9</v>
      </c>
      <c r="E126" s="440" t="s">
        <v>10</v>
      </c>
      <c r="F126" s="441" t="s">
        <v>11</v>
      </c>
      <c r="G126" s="52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21.75" customHeight="1">
      <c r="A127" s="36" t="s">
        <v>12</v>
      </c>
      <c r="B127" s="37"/>
      <c r="C127" s="38"/>
      <c r="D127" s="39"/>
      <c r="E127" s="442"/>
      <c r="F127" s="41" t="s">
        <v>13</v>
      </c>
      <c r="G127" s="52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21.75" customHeight="1">
      <c r="A128" s="42" t="s">
        <v>1508</v>
      </c>
      <c r="B128" s="43" t="s">
        <v>15</v>
      </c>
      <c r="C128" s="50">
        <v>851.0</v>
      </c>
      <c r="D128" s="45">
        <v>24964.55</v>
      </c>
      <c r="E128" s="45">
        <v>26187.9</v>
      </c>
      <c r="F128" s="47" t="s">
        <v>2298</v>
      </c>
      <c r="G128" s="52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21.75" customHeight="1">
      <c r="A129" s="48" t="s">
        <v>2240</v>
      </c>
      <c r="B129" s="49"/>
      <c r="C129" s="50"/>
      <c r="D129" s="45"/>
      <c r="E129" s="443"/>
      <c r="F129" s="51" t="s">
        <v>2299</v>
      </c>
      <c r="G129" s="52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21.75" customHeight="1">
      <c r="A130" s="48" t="s">
        <v>2300</v>
      </c>
      <c r="B130" s="54"/>
      <c r="C130" s="55"/>
      <c r="D130" s="56"/>
      <c r="E130" s="444"/>
      <c r="F130" s="420" t="s">
        <v>2301</v>
      </c>
      <c r="G130" s="52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21.75" customHeight="1">
      <c r="A131" s="33" t="s">
        <v>2302</v>
      </c>
      <c r="B131" s="27"/>
      <c r="C131" s="34" t="s">
        <v>8</v>
      </c>
      <c r="D131" s="34" t="s">
        <v>9</v>
      </c>
      <c r="E131" s="440" t="s">
        <v>10</v>
      </c>
      <c r="F131" s="441" t="s">
        <v>11</v>
      </c>
      <c r="G131" s="52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21.75" customHeight="1">
      <c r="A132" s="36" t="s">
        <v>12</v>
      </c>
      <c r="B132" s="37"/>
      <c r="C132" s="38"/>
      <c r="D132" s="39"/>
      <c r="E132" s="442"/>
      <c r="F132" s="41" t="s">
        <v>13</v>
      </c>
      <c r="G132" s="52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21.75" customHeight="1">
      <c r="A133" s="42" t="s">
        <v>1508</v>
      </c>
      <c r="B133" s="43" t="s">
        <v>15</v>
      </c>
      <c r="C133" s="50">
        <v>927.0</v>
      </c>
      <c r="D133" s="45">
        <v>24984.83</v>
      </c>
      <c r="E133" s="45">
        <v>26201.32</v>
      </c>
      <c r="F133" s="47" t="s">
        <v>2303</v>
      </c>
      <c r="G133" s="52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21.75" customHeight="1">
      <c r="A134" s="48" t="s">
        <v>2186</v>
      </c>
      <c r="B134" s="49"/>
      <c r="C134" s="50"/>
      <c r="D134" s="45"/>
      <c r="E134" s="443"/>
      <c r="F134" s="51" t="s">
        <v>2304</v>
      </c>
      <c r="G134" s="52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21.75" customHeight="1">
      <c r="A135" s="48" t="s">
        <v>2305</v>
      </c>
      <c r="B135" s="54"/>
      <c r="C135" s="55"/>
      <c r="D135" s="56"/>
      <c r="E135" s="444"/>
      <c r="F135" s="420" t="s">
        <v>2306</v>
      </c>
      <c r="G135" s="52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21.75" customHeight="1">
      <c r="A136" s="33" t="s">
        <v>2307</v>
      </c>
      <c r="B136" s="27"/>
      <c r="C136" s="34" t="s">
        <v>8</v>
      </c>
      <c r="D136" s="34" t="s">
        <v>9</v>
      </c>
      <c r="E136" s="440" t="s">
        <v>10</v>
      </c>
      <c r="F136" s="441" t="s">
        <v>11</v>
      </c>
      <c r="G136" s="52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21.75" customHeight="1">
      <c r="A137" s="36" t="s">
        <v>12</v>
      </c>
      <c r="B137" s="37"/>
      <c r="C137" s="38"/>
      <c r="D137" s="39"/>
      <c r="E137" s="442"/>
      <c r="F137" s="41" t="s">
        <v>13</v>
      </c>
      <c r="G137" s="52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21.75" customHeight="1">
      <c r="A138" s="42" t="s">
        <v>1508</v>
      </c>
      <c r="B138" s="43" t="s">
        <v>15</v>
      </c>
      <c r="C138" s="50">
        <v>925.0</v>
      </c>
      <c r="D138" s="45">
        <v>24997.86</v>
      </c>
      <c r="E138" s="45">
        <v>26172.61</v>
      </c>
      <c r="F138" s="47" t="s">
        <v>2308</v>
      </c>
      <c r="G138" s="52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21.75" customHeight="1">
      <c r="A139" s="48" t="s">
        <v>2186</v>
      </c>
      <c r="B139" s="49"/>
      <c r="C139" s="50"/>
      <c r="D139" s="45"/>
      <c r="E139" s="443"/>
      <c r="F139" s="51" t="s">
        <v>2309</v>
      </c>
      <c r="G139" s="52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21.75" customHeight="1">
      <c r="A140" s="48" t="s">
        <v>2310</v>
      </c>
      <c r="B140" s="54"/>
      <c r="C140" s="55"/>
      <c r="D140" s="56"/>
      <c r="E140" s="444"/>
      <c r="F140" s="420" t="s">
        <v>2311</v>
      </c>
      <c r="G140" s="52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21.75" customHeight="1">
      <c r="A141" s="33" t="s">
        <v>2312</v>
      </c>
      <c r="B141" s="27"/>
      <c r="C141" s="34" t="s">
        <v>8</v>
      </c>
      <c r="D141" s="34" t="s">
        <v>9</v>
      </c>
      <c r="E141" s="440" t="s">
        <v>10</v>
      </c>
      <c r="F141" s="441" t="s">
        <v>11</v>
      </c>
      <c r="G141" s="52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21.75" customHeight="1">
      <c r="A142" s="36" t="s">
        <v>12</v>
      </c>
      <c r="B142" s="37"/>
      <c r="C142" s="38"/>
      <c r="D142" s="39"/>
      <c r="E142" s="442"/>
      <c r="F142" s="41" t="s">
        <v>13</v>
      </c>
      <c r="G142" s="52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21.75" customHeight="1">
      <c r="A143" s="42" t="s">
        <v>1508</v>
      </c>
      <c r="B143" s="43" t="s">
        <v>15</v>
      </c>
      <c r="C143" s="50">
        <v>865.0</v>
      </c>
      <c r="D143" s="45">
        <v>25051.88</v>
      </c>
      <c r="E143" s="45">
        <v>26134.43</v>
      </c>
      <c r="F143" s="47" t="s">
        <v>2313</v>
      </c>
      <c r="G143" s="52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21.75" customHeight="1">
      <c r="A144" s="48" t="s">
        <v>2197</v>
      </c>
      <c r="B144" s="49"/>
      <c r="C144" s="50"/>
      <c r="D144" s="45"/>
      <c r="E144" s="443"/>
      <c r="F144" s="51" t="s">
        <v>2314</v>
      </c>
      <c r="G144" s="52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21.75" customHeight="1">
      <c r="A145" s="48" t="s">
        <v>2315</v>
      </c>
      <c r="B145" s="54"/>
      <c r="C145" s="55"/>
      <c r="D145" s="56"/>
      <c r="E145" s="444"/>
      <c r="F145" s="420" t="s">
        <v>2316</v>
      </c>
      <c r="G145" s="52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21.75" customHeight="1">
      <c r="A146" s="33" t="s">
        <v>2317</v>
      </c>
      <c r="B146" s="27"/>
      <c r="C146" s="34" t="s">
        <v>8</v>
      </c>
      <c r="D146" s="34" t="s">
        <v>9</v>
      </c>
      <c r="E146" s="440" t="s">
        <v>10</v>
      </c>
      <c r="F146" s="441" t="s">
        <v>11</v>
      </c>
      <c r="G146" s="52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21.75" customHeight="1">
      <c r="A147" s="36" t="s">
        <v>12</v>
      </c>
      <c r="B147" s="37"/>
      <c r="C147" s="38"/>
      <c r="D147" s="39"/>
      <c r="E147" s="442"/>
      <c r="F147" s="41" t="s">
        <v>13</v>
      </c>
      <c r="G147" s="52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21.75" customHeight="1">
      <c r="A148" s="42" t="s">
        <v>1508</v>
      </c>
      <c r="B148" s="43" t="s">
        <v>15</v>
      </c>
      <c r="C148" s="50">
        <v>930.0</v>
      </c>
      <c r="D148" s="45">
        <v>24982.85</v>
      </c>
      <c r="E148" s="45">
        <v>26341.95</v>
      </c>
      <c r="F148" s="47" t="s">
        <v>2318</v>
      </c>
      <c r="G148" s="52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21.75" customHeight="1">
      <c r="A149" s="48" t="s">
        <v>2186</v>
      </c>
      <c r="B149" s="49"/>
      <c r="C149" s="50"/>
      <c r="D149" s="45"/>
      <c r="E149" s="443"/>
      <c r="F149" s="51" t="s">
        <v>2319</v>
      </c>
      <c r="G149" s="52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21.75" customHeight="1">
      <c r="A150" s="48" t="s">
        <v>2320</v>
      </c>
      <c r="B150" s="54"/>
      <c r="C150" s="55"/>
      <c r="D150" s="56"/>
      <c r="E150" s="444"/>
      <c r="F150" s="420" t="s">
        <v>2321</v>
      </c>
      <c r="G150" s="52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21.75" customHeight="1">
      <c r="A151" s="33" t="s">
        <v>2322</v>
      </c>
      <c r="B151" s="27"/>
      <c r="C151" s="34" t="s">
        <v>8</v>
      </c>
      <c r="D151" s="34" t="s">
        <v>9</v>
      </c>
      <c r="E151" s="440" t="s">
        <v>10</v>
      </c>
      <c r="F151" s="441" t="s">
        <v>11</v>
      </c>
      <c r="G151" s="52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21.75" customHeight="1">
      <c r="A152" s="36" t="s">
        <v>12</v>
      </c>
      <c r="B152" s="37"/>
      <c r="C152" s="38"/>
      <c r="D152" s="39"/>
      <c r="E152" s="442"/>
      <c r="F152" s="41" t="s">
        <v>13</v>
      </c>
      <c r="G152" s="52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21.75" customHeight="1">
      <c r="A153" s="42" t="s">
        <v>1573</v>
      </c>
      <c r="B153" s="43" t="s">
        <v>1333</v>
      </c>
      <c r="C153" s="50">
        <v>940.0</v>
      </c>
      <c r="D153" s="45">
        <v>25003.37</v>
      </c>
      <c r="E153" s="45">
        <v>26131.17</v>
      </c>
      <c r="F153" s="47" t="s">
        <v>2323</v>
      </c>
      <c r="G153" s="52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21.75" customHeight="1">
      <c r="A154" s="48" t="s">
        <v>2186</v>
      </c>
      <c r="B154" s="49"/>
      <c r="C154" s="50"/>
      <c r="D154" s="45"/>
      <c r="E154" s="443"/>
      <c r="F154" s="51" t="s">
        <v>2324</v>
      </c>
      <c r="G154" s="52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7.25" customHeight="1">
      <c r="A155" s="48" t="s">
        <v>1796</v>
      </c>
      <c r="B155" s="54"/>
      <c r="C155" s="55"/>
      <c r="D155" s="56"/>
      <c r="E155" s="444"/>
      <c r="F155" s="420" t="s">
        <v>2325</v>
      </c>
      <c r="G155" s="52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21.75" customHeight="1">
      <c r="A156" s="33" t="s">
        <v>2326</v>
      </c>
      <c r="B156" s="27"/>
      <c r="C156" s="34" t="s">
        <v>8</v>
      </c>
      <c r="D156" s="34" t="s">
        <v>9</v>
      </c>
      <c r="E156" s="440" t="s">
        <v>10</v>
      </c>
      <c r="F156" s="441" t="s">
        <v>11</v>
      </c>
      <c r="G156" s="52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21.75" customHeight="1">
      <c r="A157" s="36" t="s">
        <v>12</v>
      </c>
      <c r="B157" s="37"/>
      <c r="C157" s="38"/>
      <c r="D157" s="39"/>
      <c r="E157" s="442"/>
      <c r="F157" s="41" t="s">
        <v>13</v>
      </c>
      <c r="G157" s="52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21.75" customHeight="1">
      <c r="A158" s="42" t="s">
        <v>1573</v>
      </c>
      <c r="B158" s="43" t="s">
        <v>1333</v>
      </c>
      <c r="C158" s="50">
        <v>936.0</v>
      </c>
      <c r="D158" s="45">
        <v>25004.02</v>
      </c>
      <c r="E158" s="45">
        <v>26319.62</v>
      </c>
      <c r="F158" s="47" t="s">
        <v>2327</v>
      </c>
      <c r="G158" s="52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21.75" customHeight="1">
      <c r="A159" s="48" t="s">
        <v>2240</v>
      </c>
      <c r="B159" s="49"/>
      <c r="C159" s="50"/>
      <c r="D159" s="45"/>
      <c r="E159" s="443"/>
      <c r="F159" s="51" t="s">
        <v>2328</v>
      </c>
      <c r="G159" s="52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7.25" customHeight="1">
      <c r="A160" s="48" t="s">
        <v>2329</v>
      </c>
      <c r="B160" s="54"/>
      <c r="C160" s="55"/>
      <c r="D160" s="56"/>
      <c r="E160" s="444"/>
      <c r="F160" s="420" t="s">
        <v>2330</v>
      </c>
      <c r="G160" s="52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21.75" customHeight="1">
      <c r="A161" s="33" t="s">
        <v>2331</v>
      </c>
      <c r="B161" s="27"/>
      <c r="C161" s="34" t="s">
        <v>8</v>
      </c>
      <c r="D161" s="34" t="s">
        <v>9</v>
      </c>
      <c r="E161" s="440" t="s">
        <v>10</v>
      </c>
      <c r="F161" s="441" t="s">
        <v>11</v>
      </c>
      <c r="G161" s="52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21.75" customHeight="1">
      <c r="A162" s="36" t="s">
        <v>12</v>
      </c>
      <c r="B162" s="37"/>
      <c r="C162" s="38"/>
      <c r="D162" s="39"/>
      <c r="E162" s="442"/>
      <c r="F162" s="41" t="s">
        <v>13</v>
      </c>
      <c r="G162" s="52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21.75" customHeight="1">
      <c r="A163" s="42" t="s">
        <v>1573</v>
      </c>
      <c r="B163" s="43" t="s">
        <v>1333</v>
      </c>
      <c r="C163" s="50">
        <v>979.0</v>
      </c>
      <c r="D163" s="45">
        <v>24936.27</v>
      </c>
      <c r="E163" s="45">
        <v>26158.0</v>
      </c>
      <c r="F163" s="47" t="s">
        <v>2332</v>
      </c>
      <c r="G163" s="52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21.75" customHeight="1">
      <c r="A164" s="48" t="s">
        <v>2186</v>
      </c>
      <c r="B164" s="49"/>
      <c r="C164" s="50"/>
      <c r="D164" s="45"/>
      <c r="E164" s="443"/>
      <c r="F164" s="51" t="s">
        <v>2333</v>
      </c>
      <c r="G164" s="52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21.75" customHeight="1">
      <c r="A165" s="48" t="s">
        <v>2334</v>
      </c>
      <c r="B165" s="54"/>
      <c r="C165" s="55"/>
      <c r="D165" s="56"/>
      <c r="E165" s="444"/>
      <c r="F165" s="420" t="s">
        <v>2335</v>
      </c>
      <c r="G165" s="52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21.75" customHeight="1">
      <c r="A166" s="33" t="s">
        <v>2336</v>
      </c>
      <c r="B166" s="27"/>
      <c r="C166" s="34" t="s">
        <v>8</v>
      </c>
      <c r="D166" s="34" t="s">
        <v>9</v>
      </c>
      <c r="E166" s="440" t="s">
        <v>10</v>
      </c>
      <c r="F166" s="441" t="s">
        <v>11</v>
      </c>
      <c r="G166" s="52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21.75" customHeight="1">
      <c r="A167" s="36" t="s">
        <v>12</v>
      </c>
      <c r="B167" s="37"/>
      <c r="C167" s="38"/>
      <c r="D167" s="39"/>
      <c r="E167" s="442"/>
      <c r="F167" s="41" t="s">
        <v>13</v>
      </c>
      <c r="G167" s="52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21.75" customHeight="1">
      <c r="A168" s="42" t="s">
        <v>1573</v>
      </c>
      <c r="B168" s="43" t="s">
        <v>1333</v>
      </c>
      <c r="C168" s="50">
        <v>958.0</v>
      </c>
      <c r="D168" s="45">
        <v>24978.43</v>
      </c>
      <c r="E168" s="45">
        <v>26281.89</v>
      </c>
      <c r="F168" s="47" t="s">
        <v>2337</v>
      </c>
      <c r="G168" s="52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21.75" customHeight="1">
      <c r="A169" s="48" t="s">
        <v>2186</v>
      </c>
      <c r="B169" s="49"/>
      <c r="C169" s="50"/>
      <c r="D169" s="45"/>
      <c r="E169" s="443"/>
      <c r="F169" s="51" t="s">
        <v>2338</v>
      </c>
      <c r="G169" s="52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21.75" customHeight="1">
      <c r="A170" s="48" t="s">
        <v>2339</v>
      </c>
      <c r="B170" s="54"/>
      <c r="C170" s="55"/>
      <c r="D170" s="56"/>
      <c r="E170" s="444"/>
      <c r="F170" s="420" t="s">
        <v>2340</v>
      </c>
      <c r="G170" s="52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21.75" customHeight="1">
      <c r="A171" s="33" t="s">
        <v>2341</v>
      </c>
      <c r="B171" s="27"/>
      <c r="C171" s="34" t="s">
        <v>8</v>
      </c>
      <c r="D171" s="34" t="s">
        <v>9</v>
      </c>
      <c r="E171" s="440" t="s">
        <v>10</v>
      </c>
      <c r="F171" s="441" t="s">
        <v>11</v>
      </c>
      <c r="G171" s="52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21.75" customHeight="1">
      <c r="A172" s="36" t="s">
        <v>12</v>
      </c>
      <c r="B172" s="37"/>
      <c r="C172" s="38"/>
      <c r="D172" s="39"/>
      <c r="E172" s="442"/>
      <c r="F172" s="41" t="s">
        <v>13</v>
      </c>
      <c r="G172" s="52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21.75" customHeight="1">
      <c r="A173" s="42" t="s">
        <v>1573</v>
      </c>
      <c r="B173" s="43" t="s">
        <v>1333</v>
      </c>
      <c r="C173" s="50">
        <v>1037.0</v>
      </c>
      <c r="D173" s="45">
        <v>24987.76</v>
      </c>
      <c r="E173" s="45">
        <v>26229.21</v>
      </c>
      <c r="F173" s="47" t="s">
        <v>2342</v>
      </c>
      <c r="G173" s="52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21.75" customHeight="1">
      <c r="A174" s="48" t="s">
        <v>2240</v>
      </c>
      <c r="B174" s="49"/>
      <c r="C174" s="50"/>
      <c r="D174" s="45"/>
      <c r="E174" s="443"/>
      <c r="F174" s="51" t="s">
        <v>2343</v>
      </c>
      <c r="G174" s="52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21.75" customHeight="1">
      <c r="A175" s="48" t="s">
        <v>2344</v>
      </c>
      <c r="B175" s="54"/>
      <c r="C175" s="55"/>
      <c r="D175" s="56"/>
      <c r="E175" s="444"/>
      <c r="F175" s="420" t="s">
        <v>2345</v>
      </c>
      <c r="G175" s="52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21.75" customHeight="1">
      <c r="A176" s="33" t="s">
        <v>2346</v>
      </c>
      <c r="B176" s="27"/>
      <c r="C176" s="34" t="s">
        <v>8</v>
      </c>
      <c r="D176" s="34" t="s">
        <v>9</v>
      </c>
      <c r="E176" s="440" t="s">
        <v>10</v>
      </c>
      <c r="F176" s="441" t="s">
        <v>11</v>
      </c>
      <c r="G176" s="52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21.75" customHeight="1">
      <c r="A177" s="36" t="s">
        <v>12</v>
      </c>
      <c r="B177" s="37"/>
      <c r="C177" s="38"/>
      <c r="D177" s="39"/>
      <c r="E177" s="442"/>
      <c r="F177" s="41" t="s">
        <v>13</v>
      </c>
      <c r="G177" s="52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21.75" customHeight="1">
      <c r="A178" s="42" t="s">
        <v>1573</v>
      </c>
      <c r="B178" s="43" t="s">
        <v>1333</v>
      </c>
      <c r="C178" s="50">
        <v>989.0</v>
      </c>
      <c r="D178" s="45">
        <v>25003.77</v>
      </c>
      <c r="E178" s="45">
        <v>26334.42</v>
      </c>
      <c r="F178" s="47" t="s">
        <v>2347</v>
      </c>
      <c r="G178" s="52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21.75" customHeight="1">
      <c r="A179" s="48" t="s">
        <v>2240</v>
      </c>
      <c r="B179" s="49"/>
      <c r="C179" s="50"/>
      <c r="D179" s="45"/>
      <c r="E179" s="443"/>
      <c r="F179" s="51" t="s">
        <v>2348</v>
      </c>
      <c r="G179" s="52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21.75" customHeight="1">
      <c r="A180" s="48" t="s">
        <v>2349</v>
      </c>
      <c r="B180" s="54"/>
      <c r="C180" s="55"/>
      <c r="D180" s="56"/>
      <c r="E180" s="444"/>
      <c r="F180" s="420" t="s">
        <v>2350</v>
      </c>
      <c r="G180" s="52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21.75" customHeight="1">
      <c r="A181" s="33" t="s">
        <v>2351</v>
      </c>
      <c r="B181" s="27"/>
      <c r="C181" s="34" t="s">
        <v>8</v>
      </c>
      <c r="D181" s="34" t="s">
        <v>9</v>
      </c>
      <c r="E181" s="440" t="s">
        <v>10</v>
      </c>
      <c r="F181" s="441" t="s">
        <v>11</v>
      </c>
      <c r="G181" s="52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21.75" customHeight="1">
      <c r="A182" s="36" t="s">
        <v>12</v>
      </c>
      <c r="B182" s="37"/>
      <c r="C182" s="38"/>
      <c r="D182" s="39"/>
      <c r="E182" s="442"/>
      <c r="F182" s="41" t="s">
        <v>13</v>
      </c>
      <c r="G182" s="52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21.75" customHeight="1">
      <c r="A183" s="42" t="s">
        <v>1573</v>
      </c>
      <c r="B183" s="43" t="s">
        <v>1333</v>
      </c>
      <c r="C183" s="44">
        <v>970.0</v>
      </c>
      <c r="D183" s="45">
        <v>25003.29</v>
      </c>
      <c r="E183" s="45">
        <v>26327.19</v>
      </c>
      <c r="F183" s="47" t="s">
        <v>2352</v>
      </c>
      <c r="G183" s="52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21.75" customHeight="1">
      <c r="A184" s="48" t="s">
        <v>2186</v>
      </c>
      <c r="B184" s="49"/>
      <c r="C184" s="50"/>
      <c r="D184" s="45"/>
      <c r="E184" s="443"/>
      <c r="F184" s="51" t="s">
        <v>2353</v>
      </c>
      <c r="G184" s="52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21.75" customHeight="1">
      <c r="A185" s="48" t="s">
        <v>2354</v>
      </c>
      <c r="B185" s="54"/>
      <c r="C185" s="55"/>
      <c r="D185" s="56"/>
      <c r="E185" s="444"/>
      <c r="F185" s="420" t="s">
        <v>2355</v>
      </c>
      <c r="G185" s="52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21.75" customHeight="1">
      <c r="A186" s="33" t="s">
        <v>2356</v>
      </c>
      <c r="B186" s="27"/>
      <c r="C186" s="34" t="s">
        <v>8</v>
      </c>
      <c r="D186" s="34" t="s">
        <v>9</v>
      </c>
      <c r="E186" s="440" t="s">
        <v>10</v>
      </c>
      <c r="F186" s="441" t="s">
        <v>11</v>
      </c>
      <c r="G186" s="52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21.75" customHeight="1">
      <c r="A187" s="36" t="s">
        <v>12</v>
      </c>
      <c r="B187" s="37"/>
      <c r="C187" s="38"/>
      <c r="D187" s="39"/>
      <c r="E187" s="442"/>
      <c r="F187" s="41" t="s">
        <v>13</v>
      </c>
      <c r="G187" s="52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21.75" customHeight="1">
      <c r="A188" s="42" t="s">
        <v>1573</v>
      </c>
      <c r="B188" s="43" t="s">
        <v>1333</v>
      </c>
      <c r="C188" s="50">
        <v>984.0</v>
      </c>
      <c r="D188" s="45">
        <v>25014.14</v>
      </c>
      <c r="E188" s="45">
        <v>26270.54</v>
      </c>
      <c r="F188" s="47" t="s">
        <v>2357</v>
      </c>
      <c r="G188" s="52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21.75" customHeight="1">
      <c r="A189" s="48" t="s">
        <v>2240</v>
      </c>
      <c r="B189" s="49"/>
      <c r="C189" s="50"/>
      <c r="D189" s="45"/>
      <c r="E189" s="443"/>
      <c r="F189" s="51" t="s">
        <v>2358</v>
      </c>
      <c r="G189" s="52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21.75" customHeight="1">
      <c r="A190" s="48" t="s">
        <v>2359</v>
      </c>
      <c r="B190" s="54"/>
      <c r="C190" s="55"/>
      <c r="D190" s="56"/>
      <c r="E190" s="444"/>
      <c r="F190" s="420" t="s">
        <v>2360</v>
      </c>
      <c r="G190" s="52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21.75" customHeight="1">
      <c r="A191" s="33" t="s">
        <v>2361</v>
      </c>
      <c r="B191" s="27"/>
      <c r="C191" s="34" t="s">
        <v>8</v>
      </c>
      <c r="D191" s="34" t="s">
        <v>9</v>
      </c>
      <c r="E191" s="440" t="s">
        <v>10</v>
      </c>
      <c r="F191" s="441" t="s">
        <v>11</v>
      </c>
      <c r="G191" s="52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21.75" customHeight="1">
      <c r="A192" s="36" t="s">
        <v>12</v>
      </c>
      <c r="B192" s="37"/>
      <c r="C192" s="38"/>
      <c r="D192" s="39"/>
      <c r="E192" s="442"/>
      <c r="F192" s="41" t="s">
        <v>13</v>
      </c>
      <c r="G192" s="52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21.75" customHeight="1">
      <c r="A193" s="42" t="s">
        <v>1573</v>
      </c>
      <c r="B193" s="43" t="s">
        <v>1333</v>
      </c>
      <c r="C193" s="50">
        <v>1001.0</v>
      </c>
      <c r="D193" s="45">
        <v>25003.47</v>
      </c>
      <c r="E193" s="45">
        <v>26304.32</v>
      </c>
      <c r="F193" s="47" t="s">
        <v>2362</v>
      </c>
      <c r="G193" s="52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21.75" customHeight="1">
      <c r="A194" s="48" t="s">
        <v>2240</v>
      </c>
      <c r="B194" s="49"/>
      <c r="C194" s="50"/>
      <c r="D194" s="45"/>
      <c r="E194" s="443"/>
      <c r="F194" s="51" t="s">
        <v>2363</v>
      </c>
      <c r="G194" s="52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21.75" customHeight="1">
      <c r="A195" s="48" t="s">
        <v>2364</v>
      </c>
      <c r="B195" s="54"/>
      <c r="C195" s="55"/>
      <c r="D195" s="56"/>
      <c r="E195" s="444"/>
      <c r="F195" s="420" t="s">
        <v>2365</v>
      </c>
      <c r="G195" s="52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25.5" customHeight="1">
      <c r="A196" s="33" t="s">
        <v>2366</v>
      </c>
      <c r="B196" s="27"/>
      <c r="C196" s="34" t="s">
        <v>8</v>
      </c>
      <c r="D196" s="34" t="s">
        <v>9</v>
      </c>
      <c r="E196" s="440" t="s">
        <v>10</v>
      </c>
      <c r="F196" s="441" t="s">
        <v>11</v>
      </c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8.75" customHeight="1">
      <c r="A197" s="36" t="s">
        <v>12</v>
      </c>
      <c r="B197" s="37"/>
      <c r="C197" s="38"/>
      <c r="D197" s="39"/>
      <c r="E197" s="442"/>
      <c r="F197" s="41" t="s">
        <v>13</v>
      </c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24.0" customHeight="1">
      <c r="A198" s="42" t="s">
        <v>1573</v>
      </c>
      <c r="B198" s="43" t="s">
        <v>1333</v>
      </c>
      <c r="C198" s="50">
        <v>1031.0</v>
      </c>
      <c r="D198" s="45">
        <v>25010.04</v>
      </c>
      <c r="E198" s="45">
        <v>26206.39</v>
      </c>
      <c r="F198" s="47" t="s">
        <v>2367</v>
      </c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9.5" customHeight="1">
      <c r="A199" s="48" t="s">
        <v>2240</v>
      </c>
      <c r="B199" s="49"/>
      <c r="C199" s="50"/>
      <c r="D199" s="45"/>
      <c r="E199" s="443"/>
      <c r="F199" s="51" t="s">
        <v>2368</v>
      </c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9.5" customHeight="1">
      <c r="A200" s="48" t="s">
        <v>1816</v>
      </c>
      <c r="B200" s="54"/>
      <c r="C200" s="55"/>
      <c r="D200" s="56"/>
      <c r="E200" s="444"/>
      <c r="F200" s="420" t="s">
        <v>2369</v>
      </c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22.5" customHeight="1">
      <c r="A201" s="33" t="s">
        <v>2370</v>
      </c>
      <c r="B201" s="27"/>
      <c r="C201" s="34" t="s">
        <v>8</v>
      </c>
      <c r="D201" s="34" t="s">
        <v>9</v>
      </c>
      <c r="E201" s="440" t="s">
        <v>10</v>
      </c>
      <c r="F201" s="441" t="s">
        <v>11</v>
      </c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9.5" customHeight="1">
      <c r="A202" s="36" t="s">
        <v>12</v>
      </c>
      <c r="B202" s="37"/>
      <c r="C202" s="38"/>
      <c r="D202" s="39"/>
      <c r="E202" s="442"/>
      <c r="F202" s="41" t="s">
        <v>13</v>
      </c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9.5" customHeight="1">
      <c r="A203" s="42" t="s">
        <v>1573</v>
      </c>
      <c r="B203" s="43" t="s">
        <v>1333</v>
      </c>
      <c r="C203" s="50">
        <v>975.0</v>
      </c>
      <c r="D203" s="45">
        <v>25006.8</v>
      </c>
      <c r="E203" s="45">
        <v>26355.55</v>
      </c>
      <c r="F203" s="47" t="s">
        <v>2371</v>
      </c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9.5" customHeight="1">
      <c r="A204" s="48" t="s">
        <v>2240</v>
      </c>
      <c r="B204" s="49"/>
      <c r="C204" s="50"/>
      <c r="D204" s="45"/>
      <c r="E204" s="443"/>
      <c r="F204" s="51" t="s">
        <v>2372</v>
      </c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9.5" customHeight="1">
      <c r="A205" s="48" t="s">
        <v>2373</v>
      </c>
      <c r="B205" s="54"/>
      <c r="C205" s="55"/>
      <c r="D205" s="56"/>
      <c r="E205" s="444"/>
      <c r="F205" s="420" t="s">
        <v>2374</v>
      </c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7.25" customHeight="1">
      <c r="A206" s="89"/>
      <c r="B206" s="90"/>
      <c r="C206" s="91" t="s">
        <v>292</v>
      </c>
      <c r="D206" s="92" t="s">
        <v>292</v>
      </c>
      <c r="E206" s="92" t="s">
        <v>292</v>
      </c>
      <c r="F206" s="94"/>
      <c r="G206" s="414"/>
      <c r="H206" s="414"/>
      <c r="I206" s="414"/>
      <c r="J206" s="414"/>
      <c r="K206" s="414"/>
      <c r="L206" s="414"/>
      <c r="M206" s="414"/>
      <c r="N206" s="414"/>
      <c r="O206" s="414"/>
      <c r="P206" s="414"/>
      <c r="Q206" s="414"/>
      <c r="R206" s="414"/>
      <c r="S206" s="414"/>
      <c r="T206" s="414"/>
      <c r="U206" s="414"/>
      <c r="V206" s="414"/>
      <c r="W206" s="414"/>
      <c r="X206" s="414"/>
      <c r="Y206" s="414"/>
      <c r="Z206" s="414"/>
    </row>
    <row r="207" ht="15.75" customHeight="1">
      <c r="A207" s="436"/>
      <c r="B207" s="437"/>
      <c r="C207" s="97">
        <f t="shared" ref="C207:E207" si="1">SUM(C11:C205)</f>
        <v>36063</v>
      </c>
      <c r="D207" s="98">
        <f t="shared" si="1"/>
        <v>974618.62</v>
      </c>
      <c r="E207" s="98">
        <f t="shared" si="1"/>
        <v>1022571.36</v>
      </c>
      <c r="F207" s="438"/>
      <c r="G207" s="414"/>
      <c r="H207" s="414"/>
      <c r="I207" s="414"/>
      <c r="J207" s="414"/>
      <c r="K207" s="414"/>
      <c r="L207" s="414"/>
      <c r="M207" s="414"/>
      <c r="N207" s="414"/>
      <c r="O207" s="414"/>
      <c r="P207" s="414"/>
      <c r="Q207" s="414"/>
      <c r="R207" s="414"/>
      <c r="S207" s="414"/>
      <c r="T207" s="414"/>
      <c r="U207" s="414"/>
      <c r="V207" s="414"/>
      <c r="W207" s="414"/>
      <c r="X207" s="414"/>
      <c r="Y207" s="414"/>
      <c r="Z207" s="414"/>
    </row>
    <row r="208" ht="12.75" customHeight="1">
      <c r="A208" s="4"/>
      <c r="B208" s="101"/>
      <c r="C208" s="4"/>
      <c r="D208" s="102"/>
      <c r="E208" s="103"/>
      <c r="F208" s="10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75" customHeight="1">
      <c r="A209" s="4"/>
      <c r="B209" s="101"/>
      <c r="C209" s="4"/>
      <c r="D209" s="102"/>
      <c r="E209" s="103"/>
      <c r="F209" s="10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75" customHeight="1">
      <c r="A210" s="4"/>
      <c r="B210" s="101"/>
      <c r="C210" s="4"/>
      <c r="D210" s="102"/>
      <c r="E210" s="103"/>
      <c r="F210" s="10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.75" customHeight="1">
      <c r="A211" s="4"/>
      <c r="B211" s="101"/>
      <c r="C211" s="4"/>
      <c r="D211" s="102"/>
      <c r="E211" s="103"/>
      <c r="F211" s="10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75" customHeight="1">
      <c r="A212" s="4"/>
      <c r="B212" s="101"/>
      <c r="C212" s="4"/>
      <c r="D212" s="102"/>
      <c r="E212" s="103"/>
      <c r="F212" s="10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75" customHeight="1">
      <c r="A213" s="4"/>
      <c r="B213" s="101"/>
      <c r="C213" s="4"/>
      <c r="D213" s="102"/>
      <c r="E213" s="103"/>
      <c r="F213" s="10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75" customHeight="1">
      <c r="A214" s="4"/>
      <c r="B214" s="101"/>
      <c r="C214" s="4"/>
      <c r="D214" s="102"/>
      <c r="E214" s="103"/>
      <c r="F214" s="10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75" customHeight="1">
      <c r="A215" s="4"/>
      <c r="B215" s="101"/>
      <c r="C215" s="4"/>
      <c r="D215" s="102"/>
      <c r="E215" s="103"/>
      <c r="F215" s="10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75" customHeight="1">
      <c r="A216" s="4"/>
      <c r="B216" s="101"/>
      <c r="C216" s="4"/>
      <c r="D216" s="102"/>
      <c r="E216" s="103"/>
      <c r="F216" s="10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75" customHeight="1">
      <c r="A217" s="4"/>
      <c r="B217" s="101"/>
      <c r="C217" s="4"/>
      <c r="D217" s="102"/>
      <c r="E217" s="103"/>
      <c r="F217" s="10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75" customHeight="1">
      <c r="A218" s="4"/>
      <c r="B218" s="101"/>
      <c r="C218" s="4"/>
      <c r="D218" s="102"/>
      <c r="E218" s="103"/>
      <c r="F218" s="10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75" customHeight="1">
      <c r="A219" s="4"/>
      <c r="B219" s="101"/>
      <c r="C219" s="4"/>
      <c r="D219" s="102"/>
      <c r="E219" s="103"/>
      <c r="F219" s="10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75" customHeight="1">
      <c r="A220" s="4"/>
      <c r="B220" s="101"/>
      <c r="C220" s="4"/>
      <c r="D220" s="102"/>
      <c r="E220" s="103"/>
      <c r="F220" s="10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2.75" customHeight="1">
      <c r="A221" s="4"/>
      <c r="B221" s="101"/>
      <c r="C221" s="4"/>
      <c r="D221" s="102"/>
      <c r="E221" s="103"/>
      <c r="F221" s="10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2.75" customHeight="1">
      <c r="A222" s="4"/>
      <c r="B222" s="101"/>
      <c r="C222" s="4"/>
      <c r="D222" s="102"/>
      <c r="E222" s="103"/>
      <c r="F222" s="10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2.75" customHeight="1">
      <c r="A223" s="4"/>
      <c r="B223" s="101"/>
      <c r="C223" s="4"/>
      <c r="D223" s="102"/>
      <c r="E223" s="103"/>
      <c r="F223" s="10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2.75" customHeight="1">
      <c r="A224" s="4"/>
      <c r="B224" s="101"/>
      <c r="C224" s="4"/>
      <c r="D224" s="102"/>
      <c r="E224" s="103"/>
      <c r="F224" s="10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2.75" customHeight="1">
      <c r="A225" s="4"/>
      <c r="B225" s="101"/>
      <c r="C225" s="4"/>
      <c r="D225" s="102"/>
      <c r="E225" s="103"/>
      <c r="F225" s="10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2.75" customHeight="1">
      <c r="A226" s="4"/>
      <c r="B226" s="101"/>
      <c r="C226" s="4"/>
      <c r="D226" s="102"/>
      <c r="E226" s="103"/>
      <c r="F226" s="10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2.75" customHeight="1">
      <c r="A227" s="4"/>
      <c r="B227" s="101"/>
      <c r="C227" s="4"/>
      <c r="D227" s="102"/>
      <c r="E227" s="103"/>
      <c r="F227" s="10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2.75" customHeight="1">
      <c r="A228" s="4"/>
      <c r="B228" s="101"/>
      <c r="C228" s="4"/>
      <c r="D228" s="102"/>
      <c r="E228" s="103"/>
      <c r="F228" s="10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2.75" customHeight="1">
      <c r="A229" s="4"/>
      <c r="B229" s="101"/>
      <c r="C229" s="4"/>
      <c r="D229" s="102"/>
      <c r="E229" s="103"/>
      <c r="F229" s="10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2.75" customHeight="1">
      <c r="A230" s="4"/>
      <c r="B230" s="101"/>
      <c r="C230" s="4"/>
      <c r="D230" s="102"/>
      <c r="E230" s="103"/>
      <c r="F230" s="10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2.75" customHeight="1">
      <c r="A231" s="4"/>
      <c r="B231" s="101"/>
      <c r="C231" s="4"/>
      <c r="D231" s="102"/>
      <c r="E231" s="103"/>
      <c r="F231" s="10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2.75" customHeight="1">
      <c r="A232" s="4"/>
      <c r="B232" s="101"/>
      <c r="C232" s="4"/>
      <c r="D232" s="102"/>
      <c r="E232" s="103"/>
      <c r="F232" s="10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2.75" customHeight="1">
      <c r="A233" s="4"/>
      <c r="B233" s="101"/>
      <c r="C233" s="4"/>
      <c r="D233" s="102"/>
      <c r="E233" s="103"/>
      <c r="F233" s="10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2.75" customHeight="1">
      <c r="A234" s="4"/>
      <c r="B234" s="101"/>
      <c r="C234" s="4"/>
      <c r="D234" s="102"/>
      <c r="E234" s="103"/>
      <c r="F234" s="10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2.75" customHeight="1">
      <c r="A235" s="4"/>
      <c r="B235" s="101"/>
      <c r="C235" s="4"/>
      <c r="D235" s="102"/>
      <c r="E235" s="103"/>
      <c r="F235" s="10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2.75" customHeight="1">
      <c r="A236" s="4"/>
      <c r="B236" s="101"/>
      <c r="C236" s="4"/>
      <c r="D236" s="102"/>
      <c r="E236" s="103"/>
      <c r="F236" s="10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2.75" customHeight="1">
      <c r="A237" s="4"/>
      <c r="B237" s="101"/>
      <c r="C237" s="4"/>
      <c r="D237" s="102"/>
      <c r="E237" s="103"/>
      <c r="F237" s="10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2.75" customHeight="1">
      <c r="A238" s="4"/>
      <c r="B238" s="101"/>
      <c r="C238" s="4"/>
      <c r="D238" s="102"/>
      <c r="E238" s="103"/>
      <c r="F238" s="10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2.75" customHeight="1">
      <c r="A239" s="4"/>
      <c r="B239" s="101"/>
      <c r="C239" s="4"/>
      <c r="D239" s="102"/>
      <c r="E239" s="103"/>
      <c r="F239" s="10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2.75" customHeight="1">
      <c r="A240" s="4"/>
      <c r="B240" s="101"/>
      <c r="C240" s="4"/>
      <c r="D240" s="102"/>
      <c r="E240" s="103"/>
      <c r="F240" s="10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2.75" customHeight="1">
      <c r="A241" s="4"/>
      <c r="B241" s="101"/>
      <c r="C241" s="4"/>
      <c r="D241" s="102"/>
      <c r="E241" s="103"/>
      <c r="F241" s="10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2.75" customHeight="1">
      <c r="A242" s="4"/>
      <c r="B242" s="101"/>
      <c r="C242" s="4"/>
      <c r="D242" s="102"/>
      <c r="E242" s="103"/>
      <c r="F242" s="10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2.75" customHeight="1">
      <c r="A243" s="4"/>
      <c r="B243" s="101"/>
      <c r="C243" s="4"/>
      <c r="D243" s="102"/>
      <c r="E243" s="103"/>
      <c r="F243" s="10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2.75" customHeight="1">
      <c r="A244" s="4"/>
      <c r="B244" s="101"/>
      <c r="C244" s="4"/>
      <c r="D244" s="102"/>
      <c r="E244" s="103"/>
      <c r="F244" s="10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2.75" customHeight="1">
      <c r="A245" s="4"/>
      <c r="B245" s="101"/>
      <c r="C245" s="4"/>
      <c r="D245" s="102"/>
      <c r="E245" s="103"/>
      <c r="F245" s="10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2.75" customHeight="1">
      <c r="A246" s="4"/>
      <c r="B246" s="101"/>
      <c r="C246" s="4"/>
      <c r="D246" s="102"/>
      <c r="E246" s="103"/>
      <c r="F246" s="10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2.75" customHeight="1">
      <c r="A247" s="4"/>
      <c r="B247" s="101"/>
      <c r="C247" s="4"/>
      <c r="D247" s="102"/>
      <c r="E247" s="103"/>
      <c r="F247" s="10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2.75" customHeight="1">
      <c r="A248" s="4"/>
      <c r="B248" s="101"/>
      <c r="C248" s="4"/>
      <c r="D248" s="102"/>
      <c r="E248" s="103"/>
      <c r="F248" s="10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2.75" customHeight="1">
      <c r="A249" s="4"/>
      <c r="B249" s="101"/>
      <c r="C249" s="4"/>
      <c r="D249" s="102"/>
      <c r="E249" s="103"/>
      <c r="F249" s="10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2.75" customHeight="1">
      <c r="A250" s="4"/>
      <c r="B250" s="101"/>
      <c r="C250" s="4"/>
      <c r="D250" s="102"/>
      <c r="E250" s="103"/>
      <c r="F250" s="10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2.75" customHeight="1">
      <c r="A251" s="4"/>
      <c r="B251" s="101"/>
      <c r="C251" s="4"/>
      <c r="D251" s="102"/>
      <c r="E251" s="103"/>
      <c r="F251" s="10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2.75" customHeight="1">
      <c r="A252" s="4"/>
      <c r="B252" s="101"/>
      <c r="C252" s="4"/>
      <c r="D252" s="102"/>
      <c r="E252" s="103"/>
      <c r="F252" s="10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2.75" customHeight="1">
      <c r="A253" s="4"/>
      <c r="B253" s="101"/>
      <c r="C253" s="4"/>
      <c r="D253" s="102"/>
      <c r="E253" s="103"/>
      <c r="F253" s="10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2.75" customHeight="1">
      <c r="A254" s="4"/>
      <c r="B254" s="101"/>
      <c r="C254" s="4"/>
      <c r="D254" s="102"/>
      <c r="E254" s="103"/>
      <c r="F254" s="10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2.75" customHeight="1">
      <c r="A255" s="4"/>
      <c r="B255" s="101"/>
      <c r="C255" s="4"/>
      <c r="D255" s="102"/>
      <c r="E255" s="103"/>
      <c r="F255" s="10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2.75" customHeight="1">
      <c r="A256" s="4"/>
      <c r="B256" s="101"/>
      <c r="C256" s="4"/>
      <c r="D256" s="102"/>
      <c r="E256" s="103"/>
      <c r="F256" s="10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2.75" customHeight="1">
      <c r="A257" s="4"/>
      <c r="B257" s="101"/>
      <c r="C257" s="4"/>
      <c r="D257" s="102"/>
      <c r="E257" s="103"/>
      <c r="F257" s="10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2.75" customHeight="1">
      <c r="A258" s="4"/>
      <c r="B258" s="101"/>
      <c r="C258" s="4"/>
      <c r="D258" s="102"/>
      <c r="E258" s="103"/>
      <c r="F258" s="10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2.75" customHeight="1">
      <c r="A259" s="4"/>
      <c r="B259" s="101"/>
      <c r="C259" s="4"/>
      <c r="D259" s="102"/>
      <c r="E259" s="103"/>
      <c r="F259" s="10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2.75" customHeight="1">
      <c r="A260" s="4"/>
      <c r="B260" s="101"/>
      <c r="C260" s="4"/>
      <c r="D260" s="102"/>
      <c r="E260" s="103"/>
      <c r="F260" s="10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2.75" customHeight="1">
      <c r="A261" s="4"/>
      <c r="B261" s="101"/>
      <c r="C261" s="4"/>
      <c r="D261" s="102"/>
      <c r="E261" s="103"/>
      <c r="F261" s="10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2.75" customHeight="1">
      <c r="A262" s="4"/>
      <c r="B262" s="101"/>
      <c r="C262" s="4"/>
      <c r="D262" s="102"/>
      <c r="E262" s="103"/>
      <c r="F262" s="10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2.75" customHeight="1">
      <c r="A263" s="4"/>
      <c r="B263" s="101"/>
      <c r="C263" s="4"/>
      <c r="D263" s="102"/>
      <c r="E263" s="103"/>
      <c r="F263" s="10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2.75" customHeight="1">
      <c r="A264" s="4"/>
      <c r="B264" s="101"/>
      <c r="C264" s="4"/>
      <c r="D264" s="102"/>
      <c r="E264" s="103"/>
      <c r="F264" s="10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2.75" customHeight="1">
      <c r="A265" s="4"/>
      <c r="B265" s="101"/>
      <c r="C265" s="4"/>
      <c r="D265" s="102"/>
      <c r="E265" s="103"/>
      <c r="F265" s="10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2.75" customHeight="1">
      <c r="A266" s="4"/>
      <c r="B266" s="101"/>
      <c r="C266" s="4"/>
      <c r="D266" s="102"/>
      <c r="E266" s="103"/>
      <c r="F266" s="10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2.75" customHeight="1">
      <c r="A267" s="4"/>
      <c r="B267" s="101"/>
      <c r="C267" s="4"/>
      <c r="D267" s="102"/>
      <c r="E267" s="103"/>
      <c r="F267" s="10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2.75" customHeight="1">
      <c r="A268" s="4"/>
      <c r="B268" s="101"/>
      <c r="C268" s="4"/>
      <c r="D268" s="102"/>
      <c r="E268" s="103"/>
      <c r="F268" s="10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2.75" customHeight="1">
      <c r="A269" s="4"/>
      <c r="B269" s="101"/>
      <c r="C269" s="4"/>
      <c r="D269" s="102"/>
      <c r="E269" s="103"/>
      <c r="F269" s="10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2.75" customHeight="1">
      <c r="A270" s="4"/>
      <c r="B270" s="101"/>
      <c r="C270" s="4"/>
      <c r="D270" s="102"/>
      <c r="E270" s="103"/>
      <c r="F270" s="10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2.75" customHeight="1">
      <c r="A271" s="4"/>
      <c r="B271" s="101"/>
      <c r="C271" s="4"/>
      <c r="D271" s="102"/>
      <c r="E271" s="103"/>
      <c r="F271" s="10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2.75" customHeight="1">
      <c r="A272" s="4"/>
      <c r="B272" s="101"/>
      <c r="C272" s="4"/>
      <c r="D272" s="102"/>
      <c r="E272" s="103"/>
      <c r="F272" s="10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2.75" customHeight="1">
      <c r="A273" s="4"/>
      <c r="B273" s="101"/>
      <c r="C273" s="4"/>
      <c r="D273" s="102"/>
      <c r="E273" s="103"/>
      <c r="F273" s="10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2.75" customHeight="1">
      <c r="A274" s="4"/>
      <c r="B274" s="101"/>
      <c r="C274" s="4"/>
      <c r="D274" s="102"/>
      <c r="E274" s="103"/>
      <c r="F274" s="10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2.75" customHeight="1">
      <c r="A275" s="4"/>
      <c r="B275" s="101"/>
      <c r="C275" s="4"/>
      <c r="D275" s="102"/>
      <c r="E275" s="103"/>
      <c r="F275" s="10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2.75" customHeight="1">
      <c r="A276" s="4"/>
      <c r="B276" s="101"/>
      <c r="C276" s="4"/>
      <c r="D276" s="102"/>
      <c r="E276" s="103"/>
      <c r="F276" s="10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2.75" customHeight="1">
      <c r="A277" s="4"/>
      <c r="B277" s="101"/>
      <c r="C277" s="4"/>
      <c r="D277" s="102"/>
      <c r="E277" s="103"/>
      <c r="F277" s="10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2.75" customHeight="1">
      <c r="A278" s="4"/>
      <c r="B278" s="101"/>
      <c r="C278" s="4"/>
      <c r="D278" s="102"/>
      <c r="E278" s="103"/>
      <c r="F278" s="10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2.75" customHeight="1">
      <c r="A279" s="4"/>
      <c r="B279" s="101"/>
      <c r="C279" s="4"/>
      <c r="D279" s="102"/>
      <c r="E279" s="103"/>
      <c r="F279" s="10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2.75" customHeight="1">
      <c r="A280" s="4"/>
      <c r="B280" s="101"/>
      <c r="C280" s="4"/>
      <c r="D280" s="102"/>
      <c r="E280" s="103"/>
      <c r="F280" s="10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2.75" customHeight="1">
      <c r="A281" s="4"/>
      <c r="B281" s="101"/>
      <c r="C281" s="4"/>
      <c r="D281" s="102"/>
      <c r="E281" s="103"/>
      <c r="F281" s="10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2.75" customHeight="1">
      <c r="A282" s="4"/>
      <c r="B282" s="101"/>
      <c r="C282" s="4"/>
      <c r="D282" s="102"/>
      <c r="E282" s="103"/>
      <c r="F282" s="10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2.75" customHeight="1">
      <c r="A283" s="4"/>
      <c r="B283" s="101"/>
      <c r="C283" s="4"/>
      <c r="D283" s="102"/>
      <c r="E283" s="103"/>
      <c r="F283" s="10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2.75" customHeight="1">
      <c r="A284" s="4"/>
      <c r="B284" s="101"/>
      <c r="C284" s="4"/>
      <c r="D284" s="102"/>
      <c r="E284" s="103"/>
      <c r="F284" s="10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2.75" customHeight="1">
      <c r="A285" s="4"/>
      <c r="B285" s="101"/>
      <c r="C285" s="4"/>
      <c r="D285" s="102"/>
      <c r="E285" s="103"/>
      <c r="F285" s="10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2.75" customHeight="1">
      <c r="A286" s="4"/>
      <c r="B286" s="101"/>
      <c r="C286" s="4"/>
      <c r="D286" s="102"/>
      <c r="E286" s="103"/>
      <c r="F286" s="10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2.75" customHeight="1">
      <c r="A287" s="4"/>
      <c r="B287" s="101"/>
      <c r="C287" s="4"/>
      <c r="D287" s="102"/>
      <c r="E287" s="103"/>
      <c r="F287" s="10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2.75" customHeight="1">
      <c r="A288" s="4"/>
      <c r="B288" s="101"/>
      <c r="C288" s="4"/>
      <c r="D288" s="102"/>
      <c r="E288" s="103"/>
      <c r="F288" s="10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2.75" customHeight="1">
      <c r="A289" s="4"/>
      <c r="B289" s="101"/>
      <c r="C289" s="4"/>
      <c r="D289" s="102"/>
      <c r="E289" s="103"/>
      <c r="F289" s="10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2.75" customHeight="1">
      <c r="A290" s="4"/>
      <c r="B290" s="101"/>
      <c r="C290" s="4"/>
      <c r="D290" s="102"/>
      <c r="E290" s="103"/>
      <c r="F290" s="10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2.75" customHeight="1">
      <c r="A291" s="4"/>
      <c r="B291" s="101"/>
      <c r="C291" s="4"/>
      <c r="D291" s="102"/>
      <c r="E291" s="103"/>
      <c r="F291" s="10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2.75" customHeight="1">
      <c r="A292" s="4"/>
      <c r="B292" s="101"/>
      <c r="C292" s="4"/>
      <c r="D292" s="102"/>
      <c r="E292" s="103"/>
      <c r="F292" s="10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2.75" customHeight="1">
      <c r="A293" s="4"/>
      <c r="B293" s="101"/>
      <c r="C293" s="4"/>
      <c r="D293" s="102"/>
      <c r="E293" s="103"/>
      <c r="F293" s="10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2.75" customHeight="1">
      <c r="A294" s="4"/>
      <c r="B294" s="101"/>
      <c r="C294" s="4"/>
      <c r="D294" s="102"/>
      <c r="E294" s="103"/>
      <c r="F294" s="10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2.75" customHeight="1">
      <c r="A295" s="4"/>
      <c r="B295" s="101"/>
      <c r="C295" s="4"/>
      <c r="D295" s="102"/>
      <c r="E295" s="103"/>
      <c r="F295" s="10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2.75" customHeight="1">
      <c r="A296" s="4"/>
      <c r="B296" s="101"/>
      <c r="C296" s="4"/>
      <c r="D296" s="102"/>
      <c r="E296" s="103"/>
      <c r="F296" s="10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2.75" customHeight="1">
      <c r="A297" s="4"/>
      <c r="B297" s="101"/>
      <c r="C297" s="4"/>
      <c r="D297" s="102"/>
      <c r="E297" s="103"/>
      <c r="F297" s="10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2.75" customHeight="1">
      <c r="A298" s="4"/>
      <c r="B298" s="101"/>
      <c r="C298" s="4"/>
      <c r="D298" s="102"/>
      <c r="E298" s="103"/>
      <c r="F298" s="10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2.75" customHeight="1">
      <c r="A299" s="4"/>
      <c r="B299" s="101"/>
      <c r="C299" s="4"/>
      <c r="D299" s="102"/>
      <c r="E299" s="103"/>
      <c r="F299" s="10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2.75" customHeight="1">
      <c r="A300" s="4"/>
      <c r="B300" s="101"/>
      <c r="C300" s="4"/>
      <c r="D300" s="102"/>
      <c r="E300" s="103"/>
      <c r="F300" s="10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2.75" customHeight="1">
      <c r="A301" s="4"/>
      <c r="B301" s="101"/>
      <c r="C301" s="4"/>
      <c r="D301" s="102"/>
      <c r="E301" s="103"/>
      <c r="F301" s="10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2.75" customHeight="1">
      <c r="A302" s="4"/>
      <c r="B302" s="101"/>
      <c r="C302" s="4"/>
      <c r="D302" s="102"/>
      <c r="E302" s="103"/>
      <c r="F302" s="10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2.75" customHeight="1">
      <c r="A303" s="4"/>
      <c r="B303" s="101"/>
      <c r="C303" s="4"/>
      <c r="D303" s="102"/>
      <c r="E303" s="103"/>
      <c r="F303" s="10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2.75" customHeight="1">
      <c r="A304" s="4"/>
      <c r="B304" s="101"/>
      <c r="C304" s="4"/>
      <c r="D304" s="102"/>
      <c r="E304" s="103"/>
      <c r="F304" s="10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2.75" customHeight="1">
      <c r="A305" s="4"/>
      <c r="B305" s="101"/>
      <c r="C305" s="4"/>
      <c r="D305" s="102"/>
      <c r="E305" s="103"/>
      <c r="F305" s="10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2.75" customHeight="1">
      <c r="A306" s="4"/>
      <c r="B306" s="101"/>
      <c r="C306" s="4"/>
      <c r="D306" s="102"/>
      <c r="E306" s="103"/>
      <c r="F306" s="10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2.75" customHeight="1">
      <c r="A307" s="4"/>
      <c r="B307" s="101"/>
      <c r="C307" s="4"/>
      <c r="D307" s="102"/>
      <c r="E307" s="103"/>
      <c r="F307" s="10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2.75" customHeight="1">
      <c r="A308" s="4"/>
      <c r="B308" s="101"/>
      <c r="C308" s="4"/>
      <c r="D308" s="102"/>
      <c r="E308" s="103"/>
      <c r="F308" s="10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2.75" customHeight="1">
      <c r="A309" s="4"/>
      <c r="B309" s="101"/>
      <c r="C309" s="4"/>
      <c r="D309" s="102"/>
      <c r="E309" s="103"/>
      <c r="F309" s="10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2.75" customHeight="1">
      <c r="A310" s="4"/>
      <c r="B310" s="101"/>
      <c r="C310" s="4"/>
      <c r="D310" s="102"/>
      <c r="E310" s="103"/>
      <c r="F310" s="10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2.75" customHeight="1">
      <c r="A311" s="4"/>
      <c r="B311" s="101"/>
      <c r="C311" s="4"/>
      <c r="D311" s="102"/>
      <c r="E311" s="103"/>
      <c r="F311" s="10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2.75" customHeight="1">
      <c r="A312" s="4"/>
      <c r="B312" s="101"/>
      <c r="C312" s="4"/>
      <c r="D312" s="102"/>
      <c r="E312" s="103"/>
      <c r="F312" s="10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2.75" customHeight="1">
      <c r="A313" s="4"/>
      <c r="B313" s="101"/>
      <c r="C313" s="4"/>
      <c r="D313" s="102"/>
      <c r="E313" s="103"/>
      <c r="F313" s="10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2.75" customHeight="1">
      <c r="A314" s="4"/>
      <c r="B314" s="101"/>
      <c r="C314" s="4"/>
      <c r="D314" s="102"/>
      <c r="E314" s="103"/>
      <c r="F314" s="10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2.75" customHeight="1">
      <c r="A315" s="4"/>
      <c r="B315" s="101"/>
      <c r="C315" s="4"/>
      <c r="D315" s="102"/>
      <c r="E315" s="103"/>
      <c r="F315" s="10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2.75" customHeight="1">
      <c r="A316" s="4"/>
      <c r="B316" s="101"/>
      <c r="C316" s="4"/>
      <c r="D316" s="102"/>
      <c r="E316" s="103"/>
      <c r="F316" s="10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2.75" customHeight="1">
      <c r="A317" s="4"/>
      <c r="B317" s="101"/>
      <c r="C317" s="4"/>
      <c r="D317" s="102"/>
      <c r="E317" s="103"/>
      <c r="F317" s="10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2.75" customHeight="1">
      <c r="A318" s="4"/>
      <c r="B318" s="101"/>
      <c r="C318" s="4"/>
      <c r="D318" s="102"/>
      <c r="E318" s="103"/>
      <c r="F318" s="10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2.75" customHeight="1">
      <c r="A319" s="4"/>
      <c r="B319" s="101"/>
      <c r="C319" s="4"/>
      <c r="D319" s="102"/>
      <c r="E319" s="103"/>
      <c r="F319" s="10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2.75" customHeight="1">
      <c r="A320" s="4"/>
      <c r="B320" s="101"/>
      <c r="C320" s="4"/>
      <c r="D320" s="102"/>
      <c r="E320" s="103"/>
      <c r="F320" s="10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2.75" customHeight="1">
      <c r="A321" s="4"/>
      <c r="B321" s="101"/>
      <c r="C321" s="4"/>
      <c r="D321" s="102"/>
      <c r="E321" s="103"/>
      <c r="F321" s="10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2.75" customHeight="1">
      <c r="A322" s="4"/>
      <c r="B322" s="101"/>
      <c r="C322" s="4"/>
      <c r="D322" s="102"/>
      <c r="E322" s="103"/>
      <c r="F322" s="10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2.75" customHeight="1">
      <c r="A323" s="4"/>
      <c r="B323" s="101"/>
      <c r="C323" s="4"/>
      <c r="D323" s="102"/>
      <c r="E323" s="103"/>
      <c r="F323" s="10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2.75" customHeight="1">
      <c r="A324" s="4"/>
      <c r="B324" s="101"/>
      <c r="C324" s="4"/>
      <c r="D324" s="102"/>
      <c r="E324" s="103"/>
      <c r="F324" s="10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2.75" customHeight="1">
      <c r="A325" s="4"/>
      <c r="B325" s="101"/>
      <c r="C325" s="4"/>
      <c r="D325" s="102"/>
      <c r="E325" s="103"/>
      <c r="F325" s="10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2.75" customHeight="1">
      <c r="A326" s="4"/>
      <c r="B326" s="101"/>
      <c r="C326" s="4"/>
      <c r="D326" s="102"/>
      <c r="E326" s="103"/>
      <c r="F326" s="10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2.75" customHeight="1">
      <c r="A327" s="4"/>
      <c r="B327" s="101"/>
      <c r="C327" s="4"/>
      <c r="D327" s="102"/>
      <c r="E327" s="103"/>
      <c r="F327" s="10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2.75" customHeight="1">
      <c r="A328" s="4"/>
      <c r="B328" s="101"/>
      <c r="C328" s="4"/>
      <c r="D328" s="102"/>
      <c r="E328" s="103"/>
      <c r="F328" s="10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2.75" customHeight="1">
      <c r="A329" s="4"/>
      <c r="B329" s="101"/>
      <c r="C329" s="4"/>
      <c r="D329" s="102"/>
      <c r="E329" s="103"/>
      <c r="F329" s="10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2.75" customHeight="1">
      <c r="A330" s="4"/>
      <c r="B330" s="101"/>
      <c r="C330" s="4"/>
      <c r="D330" s="102"/>
      <c r="E330" s="103"/>
      <c r="F330" s="10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2.75" customHeight="1">
      <c r="A331" s="4"/>
      <c r="B331" s="101"/>
      <c r="C331" s="4"/>
      <c r="D331" s="102"/>
      <c r="E331" s="103"/>
      <c r="F331" s="10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2.75" customHeight="1">
      <c r="A332" s="4"/>
      <c r="B332" s="101"/>
      <c r="C332" s="4"/>
      <c r="D332" s="102"/>
      <c r="E332" s="103"/>
      <c r="F332" s="10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2.75" customHeight="1">
      <c r="A333" s="4"/>
      <c r="B333" s="101"/>
      <c r="C333" s="4"/>
      <c r="D333" s="102"/>
      <c r="E333" s="103"/>
      <c r="F333" s="10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2.75" customHeight="1">
      <c r="A334" s="4"/>
      <c r="B334" s="101"/>
      <c r="C334" s="4"/>
      <c r="D334" s="102"/>
      <c r="E334" s="103"/>
      <c r="F334" s="10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2.75" customHeight="1">
      <c r="A335" s="4"/>
      <c r="B335" s="101"/>
      <c r="C335" s="4"/>
      <c r="D335" s="102"/>
      <c r="E335" s="103"/>
      <c r="F335" s="10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2.75" customHeight="1">
      <c r="A336" s="4"/>
      <c r="B336" s="101"/>
      <c r="C336" s="4"/>
      <c r="D336" s="102"/>
      <c r="E336" s="103"/>
      <c r="F336" s="10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2.75" customHeight="1">
      <c r="A337" s="4"/>
      <c r="B337" s="101"/>
      <c r="C337" s="4"/>
      <c r="D337" s="102"/>
      <c r="E337" s="103"/>
      <c r="F337" s="10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2.75" customHeight="1">
      <c r="A338" s="4"/>
      <c r="B338" s="101"/>
      <c r="C338" s="4"/>
      <c r="D338" s="102"/>
      <c r="E338" s="103"/>
      <c r="F338" s="10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2.75" customHeight="1">
      <c r="A339" s="4"/>
      <c r="B339" s="101"/>
      <c r="C339" s="4"/>
      <c r="D339" s="102"/>
      <c r="E339" s="103"/>
      <c r="F339" s="10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2.75" customHeight="1">
      <c r="A340" s="4"/>
      <c r="B340" s="101"/>
      <c r="C340" s="4"/>
      <c r="D340" s="102"/>
      <c r="E340" s="103"/>
      <c r="F340" s="10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2.75" customHeight="1">
      <c r="A341" s="4"/>
      <c r="B341" s="101"/>
      <c r="C341" s="4"/>
      <c r="D341" s="102"/>
      <c r="E341" s="103"/>
      <c r="F341" s="10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2.75" customHeight="1">
      <c r="A342" s="4"/>
      <c r="B342" s="101"/>
      <c r="C342" s="4"/>
      <c r="D342" s="102"/>
      <c r="E342" s="103"/>
      <c r="F342" s="10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2.75" customHeight="1">
      <c r="A343" s="4"/>
      <c r="B343" s="101"/>
      <c r="C343" s="4"/>
      <c r="D343" s="102"/>
      <c r="E343" s="103"/>
      <c r="F343" s="10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2.75" customHeight="1">
      <c r="A344" s="4"/>
      <c r="B344" s="101"/>
      <c r="C344" s="4"/>
      <c r="D344" s="102"/>
      <c r="E344" s="103"/>
      <c r="F344" s="10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2.75" customHeight="1">
      <c r="A345" s="4"/>
      <c r="B345" s="101"/>
      <c r="C345" s="4"/>
      <c r="D345" s="102"/>
      <c r="E345" s="103"/>
      <c r="F345" s="10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2.75" customHeight="1">
      <c r="A346" s="4"/>
      <c r="B346" s="101"/>
      <c r="C346" s="4"/>
      <c r="D346" s="102"/>
      <c r="E346" s="103"/>
      <c r="F346" s="10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2.75" customHeight="1">
      <c r="A347" s="4"/>
      <c r="B347" s="101"/>
      <c r="C347" s="4"/>
      <c r="D347" s="102"/>
      <c r="E347" s="103"/>
      <c r="F347" s="10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2.75" customHeight="1">
      <c r="A348" s="4"/>
      <c r="B348" s="101"/>
      <c r="C348" s="4"/>
      <c r="D348" s="102"/>
      <c r="E348" s="103"/>
      <c r="F348" s="10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2.75" customHeight="1">
      <c r="A349" s="4"/>
      <c r="B349" s="101"/>
      <c r="C349" s="4"/>
      <c r="D349" s="102"/>
      <c r="E349" s="103"/>
      <c r="F349" s="10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2.75" customHeight="1">
      <c r="A350" s="4"/>
      <c r="B350" s="101"/>
      <c r="C350" s="4"/>
      <c r="D350" s="102"/>
      <c r="E350" s="103"/>
      <c r="F350" s="10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2.75" customHeight="1">
      <c r="A351" s="4"/>
      <c r="B351" s="101"/>
      <c r="C351" s="4"/>
      <c r="D351" s="102"/>
      <c r="E351" s="103"/>
      <c r="F351" s="10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2.75" customHeight="1">
      <c r="A352" s="4"/>
      <c r="B352" s="101"/>
      <c r="C352" s="4"/>
      <c r="D352" s="102"/>
      <c r="E352" s="103"/>
      <c r="F352" s="10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2.75" customHeight="1">
      <c r="A353" s="4"/>
      <c r="B353" s="101"/>
      <c r="C353" s="4"/>
      <c r="D353" s="102"/>
      <c r="E353" s="103"/>
      <c r="F353" s="10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2.75" customHeight="1">
      <c r="A354" s="4"/>
      <c r="B354" s="101"/>
      <c r="C354" s="4"/>
      <c r="D354" s="102"/>
      <c r="E354" s="103"/>
      <c r="F354" s="10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2.75" customHeight="1">
      <c r="A355" s="4"/>
      <c r="B355" s="101"/>
      <c r="C355" s="4"/>
      <c r="D355" s="102"/>
      <c r="E355" s="103"/>
      <c r="F355" s="10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2.75" customHeight="1">
      <c r="A356" s="4"/>
      <c r="B356" s="101"/>
      <c r="C356" s="4"/>
      <c r="D356" s="102"/>
      <c r="E356" s="103"/>
      <c r="F356" s="10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2.75" customHeight="1">
      <c r="A357" s="4"/>
      <c r="B357" s="101"/>
      <c r="C357" s="4"/>
      <c r="D357" s="102"/>
      <c r="E357" s="103"/>
      <c r="F357" s="10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2.75" customHeight="1">
      <c r="A358" s="4"/>
      <c r="B358" s="101"/>
      <c r="C358" s="4"/>
      <c r="D358" s="102"/>
      <c r="E358" s="103"/>
      <c r="F358" s="10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2.75" customHeight="1">
      <c r="A359" s="4"/>
      <c r="B359" s="101"/>
      <c r="C359" s="4"/>
      <c r="D359" s="102"/>
      <c r="E359" s="103"/>
      <c r="F359" s="10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2.75" customHeight="1">
      <c r="A360" s="4"/>
      <c r="B360" s="101"/>
      <c r="C360" s="4"/>
      <c r="D360" s="102"/>
      <c r="E360" s="103"/>
      <c r="F360" s="10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2.75" customHeight="1">
      <c r="A361" s="4"/>
      <c r="B361" s="101"/>
      <c r="C361" s="4"/>
      <c r="D361" s="102"/>
      <c r="E361" s="103"/>
      <c r="F361" s="10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2.75" customHeight="1">
      <c r="A362" s="4"/>
      <c r="B362" s="101"/>
      <c r="C362" s="4"/>
      <c r="D362" s="102"/>
      <c r="E362" s="103"/>
      <c r="F362" s="10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2.75" customHeight="1">
      <c r="A363" s="4"/>
      <c r="B363" s="101"/>
      <c r="C363" s="4"/>
      <c r="D363" s="102"/>
      <c r="E363" s="103"/>
      <c r="F363" s="10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2.75" customHeight="1">
      <c r="A364" s="4"/>
      <c r="B364" s="101"/>
      <c r="C364" s="4"/>
      <c r="D364" s="102"/>
      <c r="E364" s="103"/>
      <c r="F364" s="10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2.75" customHeight="1">
      <c r="A365" s="4"/>
      <c r="B365" s="101"/>
      <c r="C365" s="4"/>
      <c r="D365" s="102"/>
      <c r="E365" s="103"/>
      <c r="F365" s="10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2.75" customHeight="1">
      <c r="A366" s="4"/>
      <c r="B366" s="101"/>
      <c r="C366" s="4"/>
      <c r="D366" s="102"/>
      <c r="E366" s="103"/>
      <c r="F366" s="10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2.75" customHeight="1">
      <c r="A367" s="4"/>
      <c r="B367" s="101"/>
      <c r="C367" s="4"/>
      <c r="D367" s="102"/>
      <c r="E367" s="103"/>
      <c r="F367" s="10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2.75" customHeight="1">
      <c r="A368" s="4"/>
      <c r="B368" s="101"/>
      <c r="C368" s="4"/>
      <c r="D368" s="102"/>
      <c r="E368" s="103"/>
      <c r="F368" s="10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2.75" customHeight="1">
      <c r="A369" s="4"/>
      <c r="B369" s="101"/>
      <c r="C369" s="4"/>
      <c r="D369" s="102"/>
      <c r="E369" s="103"/>
      <c r="F369" s="10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2.75" customHeight="1">
      <c r="A370" s="4"/>
      <c r="B370" s="101"/>
      <c r="C370" s="4"/>
      <c r="D370" s="102"/>
      <c r="E370" s="103"/>
      <c r="F370" s="10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2.75" customHeight="1">
      <c r="A371" s="4"/>
      <c r="B371" s="101"/>
      <c r="C371" s="4"/>
      <c r="D371" s="102"/>
      <c r="E371" s="103"/>
      <c r="F371" s="10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2.75" customHeight="1">
      <c r="A372" s="4"/>
      <c r="B372" s="101"/>
      <c r="C372" s="4"/>
      <c r="D372" s="102"/>
      <c r="E372" s="103"/>
      <c r="F372" s="10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2.75" customHeight="1">
      <c r="A373" s="4"/>
      <c r="B373" s="101"/>
      <c r="C373" s="4"/>
      <c r="D373" s="102"/>
      <c r="E373" s="103"/>
      <c r="F373" s="10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2.75" customHeight="1">
      <c r="A374" s="4"/>
      <c r="B374" s="101"/>
      <c r="C374" s="4"/>
      <c r="D374" s="102"/>
      <c r="E374" s="103"/>
      <c r="F374" s="10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2.75" customHeight="1">
      <c r="A375" s="4"/>
      <c r="B375" s="101"/>
      <c r="C375" s="4"/>
      <c r="D375" s="102"/>
      <c r="E375" s="103"/>
      <c r="F375" s="10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2.75" customHeight="1">
      <c r="A376" s="4"/>
      <c r="B376" s="101"/>
      <c r="C376" s="4"/>
      <c r="D376" s="102"/>
      <c r="E376" s="103"/>
      <c r="F376" s="10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2.75" customHeight="1">
      <c r="A377" s="4"/>
      <c r="B377" s="101"/>
      <c r="C377" s="4"/>
      <c r="D377" s="102"/>
      <c r="E377" s="103"/>
      <c r="F377" s="10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2.75" customHeight="1">
      <c r="A378" s="4"/>
      <c r="B378" s="101"/>
      <c r="C378" s="4"/>
      <c r="D378" s="102"/>
      <c r="E378" s="103"/>
      <c r="F378" s="10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2.75" customHeight="1">
      <c r="A379" s="4"/>
      <c r="B379" s="101"/>
      <c r="C379" s="4"/>
      <c r="D379" s="102"/>
      <c r="E379" s="103"/>
      <c r="F379" s="10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2.75" customHeight="1">
      <c r="A380" s="4"/>
      <c r="B380" s="101"/>
      <c r="C380" s="4"/>
      <c r="D380" s="102"/>
      <c r="E380" s="103"/>
      <c r="F380" s="10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2.75" customHeight="1">
      <c r="A381" s="4"/>
      <c r="B381" s="101"/>
      <c r="C381" s="4"/>
      <c r="D381" s="102"/>
      <c r="E381" s="103"/>
      <c r="F381" s="10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2.75" customHeight="1">
      <c r="A382" s="4"/>
      <c r="B382" s="101"/>
      <c r="C382" s="4"/>
      <c r="D382" s="102"/>
      <c r="E382" s="102"/>
      <c r="F382" s="10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2.75" customHeight="1">
      <c r="A383" s="4"/>
      <c r="B383" s="101"/>
      <c r="C383" s="4"/>
      <c r="D383" s="102"/>
      <c r="E383" s="102"/>
      <c r="F383" s="10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2.75" customHeight="1">
      <c r="A384" s="4"/>
      <c r="B384" s="101"/>
      <c r="C384" s="4"/>
      <c r="D384" s="102"/>
      <c r="E384" s="102"/>
      <c r="F384" s="10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2.75" customHeight="1">
      <c r="A385" s="4"/>
      <c r="B385" s="101"/>
      <c r="C385" s="4"/>
      <c r="D385" s="102"/>
      <c r="E385" s="102"/>
      <c r="F385" s="10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2.75" customHeight="1">
      <c r="A386" s="4"/>
      <c r="B386" s="101"/>
      <c r="C386" s="4"/>
      <c r="D386" s="102"/>
      <c r="E386" s="102"/>
      <c r="F386" s="10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2.75" customHeight="1">
      <c r="A387" s="4"/>
      <c r="B387" s="101"/>
      <c r="C387" s="4"/>
      <c r="D387" s="102"/>
      <c r="E387" s="102"/>
      <c r="F387" s="10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2.75" customHeight="1">
      <c r="A388" s="4"/>
      <c r="B388" s="101"/>
      <c r="C388" s="4"/>
      <c r="D388" s="102"/>
      <c r="E388" s="102"/>
      <c r="F388" s="10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2.75" customHeight="1">
      <c r="A389" s="4"/>
      <c r="B389" s="101"/>
      <c r="C389" s="4"/>
      <c r="D389" s="102"/>
      <c r="E389" s="102"/>
      <c r="F389" s="10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2.75" customHeight="1">
      <c r="A390" s="4"/>
      <c r="B390" s="101"/>
      <c r="C390" s="4"/>
      <c r="D390" s="102"/>
      <c r="E390" s="102"/>
      <c r="F390" s="10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2.75" customHeight="1">
      <c r="A391" s="4"/>
      <c r="B391" s="101"/>
      <c r="C391" s="4"/>
      <c r="D391" s="102"/>
      <c r="E391" s="102"/>
      <c r="F391" s="10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2.75" customHeight="1">
      <c r="A392" s="4"/>
      <c r="B392" s="101"/>
      <c r="C392" s="4"/>
      <c r="D392" s="102"/>
      <c r="E392" s="102"/>
      <c r="F392" s="10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2.75" customHeight="1">
      <c r="A393" s="4"/>
      <c r="B393" s="101"/>
      <c r="C393" s="4"/>
      <c r="D393" s="102"/>
      <c r="E393" s="102"/>
      <c r="F393" s="10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2.75" customHeight="1">
      <c r="A394" s="4"/>
      <c r="B394" s="101"/>
      <c r="C394" s="4"/>
      <c r="D394" s="102"/>
      <c r="E394" s="102"/>
      <c r="F394" s="10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2.75" customHeight="1">
      <c r="A395" s="4"/>
      <c r="B395" s="101"/>
      <c r="C395" s="4"/>
      <c r="D395" s="102"/>
      <c r="E395" s="102"/>
      <c r="F395" s="10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2.75" customHeight="1">
      <c r="A396" s="4"/>
      <c r="B396" s="101"/>
      <c r="C396" s="4"/>
      <c r="D396" s="102"/>
      <c r="E396" s="102"/>
      <c r="F396" s="10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2.75" customHeight="1">
      <c r="A397" s="4"/>
      <c r="B397" s="101"/>
      <c r="C397" s="4"/>
      <c r="D397" s="102"/>
      <c r="E397" s="102"/>
      <c r="F397" s="10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2.75" customHeight="1">
      <c r="A398" s="4"/>
      <c r="B398" s="101"/>
      <c r="C398" s="4"/>
      <c r="D398" s="102"/>
      <c r="E398" s="102"/>
      <c r="F398" s="10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2.75" customHeight="1">
      <c r="A399" s="4"/>
      <c r="B399" s="101"/>
      <c r="C399" s="4"/>
      <c r="D399" s="102"/>
      <c r="E399" s="102"/>
      <c r="F399" s="10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2.75" customHeight="1">
      <c r="A400" s="4"/>
      <c r="B400" s="101"/>
      <c r="C400" s="4"/>
      <c r="D400" s="102"/>
      <c r="E400" s="102"/>
      <c r="F400" s="10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2.75" customHeight="1">
      <c r="A401" s="4"/>
      <c r="B401" s="101"/>
      <c r="C401" s="4"/>
      <c r="D401" s="102"/>
      <c r="E401" s="102"/>
      <c r="F401" s="10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2.75" customHeight="1">
      <c r="A402" s="4"/>
      <c r="B402" s="101"/>
      <c r="C402" s="4"/>
      <c r="D402" s="102"/>
      <c r="E402" s="102"/>
      <c r="F402" s="10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2.75" customHeight="1">
      <c r="A403" s="4"/>
      <c r="B403" s="101"/>
      <c r="C403" s="4"/>
      <c r="D403" s="102"/>
      <c r="E403" s="102"/>
      <c r="F403" s="10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2.75" customHeight="1">
      <c r="A404" s="4"/>
      <c r="B404" s="101"/>
      <c r="C404" s="4"/>
      <c r="D404" s="102"/>
      <c r="E404" s="102"/>
      <c r="F404" s="10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2.75" customHeight="1">
      <c r="A405" s="4"/>
      <c r="B405" s="101"/>
      <c r="C405" s="4"/>
      <c r="D405" s="102"/>
      <c r="E405" s="102"/>
      <c r="F405" s="10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2.75" customHeight="1">
      <c r="A406" s="4"/>
      <c r="B406" s="101"/>
      <c r="C406" s="4"/>
      <c r="D406" s="102"/>
      <c r="E406" s="102"/>
      <c r="F406" s="10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2.75" customHeight="1">
      <c r="A407" s="4"/>
      <c r="B407" s="101"/>
      <c r="C407" s="4"/>
      <c r="D407" s="102"/>
      <c r="E407" s="102"/>
      <c r="F407" s="10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4">
    <mergeCell ref="A101:B101"/>
    <mergeCell ref="A102:B102"/>
    <mergeCell ref="A106:B106"/>
    <mergeCell ref="A107:B107"/>
    <mergeCell ref="A111:B111"/>
    <mergeCell ref="A112:B112"/>
    <mergeCell ref="A116:B116"/>
    <mergeCell ref="A117:B117"/>
    <mergeCell ref="A121:B121"/>
    <mergeCell ref="A122:B122"/>
    <mergeCell ref="A126:B126"/>
    <mergeCell ref="A127:B127"/>
    <mergeCell ref="A131:B131"/>
    <mergeCell ref="A132:B132"/>
    <mergeCell ref="A141:B141"/>
    <mergeCell ref="A142:B142"/>
    <mergeCell ref="A146:B146"/>
    <mergeCell ref="A147:B147"/>
    <mergeCell ref="A151:B151"/>
    <mergeCell ref="A152:B152"/>
    <mergeCell ref="A156:B156"/>
    <mergeCell ref="A157:B157"/>
    <mergeCell ref="A161:B161"/>
    <mergeCell ref="A162:B162"/>
    <mergeCell ref="A166:B166"/>
    <mergeCell ref="A167:B167"/>
    <mergeCell ref="A171:B171"/>
    <mergeCell ref="A172:B172"/>
    <mergeCell ref="A192:B192"/>
    <mergeCell ref="A196:B196"/>
    <mergeCell ref="A197:B197"/>
    <mergeCell ref="A201:B201"/>
    <mergeCell ref="A202:B202"/>
    <mergeCell ref="A176:B176"/>
    <mergeCell ref="A177:B177"/>
    <mergeCell ref="A181:B181"/>
    <mergeCell ref="A182:B182"/>
    <mergeCell ref="A186:B186"/>
    <mergeCell ref="A187:B187"/>
    <mergeCell ref="A191:B191"/>
    <mergeCell ref="A1:F1"/>
    <mergeCell ref="A2:F2"/>
    <mergeCell ref="A3:F3"/>
    <mergeCell ref="A4:F4"/>
    <mergeCell ref="D7:E7"/>
    <mergeCell ref="A9:F9"/>
    <mergeCell ref="A11:B11"/>
    <mergeCell ref="A12:B12"/>
    <mergeCell ref="A16:B16"/>
    <mergeCell ref="A17:B17"/>
    <mergeCell ref="A21:B21"/>
    <mergeCell ref="A22:B22"/>
    <mergeCell ref="A26:B26"/>
    <mergeCell ref="A27:B27"/>
    <mergeCell ref="A31:B31"/>
    <mergeCell ref="A32:B32"/>
    <mergeCell ref="A36:B36"/>
    <mergeCell ref="A37:B37"/>
    <mergeCell ref="A41:B41"/>
    <mergeCell ref="A42:B42"/>
    <mergeCell ref="A46:B46"/>
    <mergeCell ref="A47:B47"/>
    <mergeCell ref="A51:B51"/>
    <mergeCell ref="A52:B52"/>
    <mergeCell ref="A56:B56"/>
    <mergeCell ref="A57:B57"/>
    <mergeCell ref="A61:B61"/>
    <mergeCell ref="A62:B62"/>
    <mergeCell ref="A66:B66"/>
    <mergeCell ref="A67:B67"/>
    <mergeCell ref="A71:B71"/>
    <mergeCell ref="A72:B72"/>
    <mergeCell ref="A76:B76"/>
    <mergeCell ref="A77:B77"/>
    <mergeCell ref="A81:B81"/>
    <mergeCell ref="A82:B82"/>
    <mergeCell ref="A86:B86"/>
    <mergeCell ref="A87:B87"/>
    <mergeCell ref="A91:B91"/>
    <mergeCell ref="A92:B92"/>
    <mergeCell ref="A96:B96"/>
    <mergeCell ref="A97:B97"/>
    <mergeCell ref="A136:B136"/>
    <mergeCell ref="A137:B137"/>
  </mergeCell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2.63" defaultRowHeight="15.0"/>
  <cols>
    <col customWidth="1" min="1" max="1" width="66.5"/>
    <col customWidth="1" min="2" max="2" width="67.13"/>
    <col customWidth="1" min="3" max="3" width="21.88"/>
    <col customWidth="1" min="4" max="4" width="20.5"/>
    <col customWidth="1" min="5" max="5" width="22.88"/>
    <col customWidth="1" min="6" max="6" width="53.13"/>
    <col customWidth="1" min="7" max="7" width="50.13"/>
    <col customWidth="1" min="8" max="26" width="8.0"/>
  </cols>
  <sheetData>
    <row r="1" ht="12.75" customHeight="1">
      <c r="A1" s="1" t="s">
        <v>293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2.75" customHeight="1">
      <c r="A2" s="5" t="s">
        <v>294</v>
      </c>
      <c r="B2" s="6"/>
      <c r="C2" s="6"/>
      <c r="D2" s="6"/>
      <c r="E2" s="6"/>
      <c r="F2" s="7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2.75" customHeight="1">
      <c r="A3" s="5" t="s">
        <v>2</v>
      </c>
      <c r="B3" s="6"/>
      <c r="C3" s="6"/>
      <c r="D3" s="6"/>
      <c r="E3" s="6"/>
      <c r="F3" s="7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2.75" customHeight="1">
      <c r="A4" s="5" t="s">
        <v>3</v>
      </c>
      <c r="B4" s="6"/>
      <c r="C4" s="6"/>
      <c r="D4" s="6"/>
      <c r="E4" s="6"/>
      <c r="F4" s="7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2.75" customHeight="1">
      <c r="A5" s="8"/>
      <c r="B5" s="9"/>
      <c r="C5" s="10"/>
      <c r="D5" s="11"/>
      <c r="E5" s="11"/>
      <c r="F5" s="12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2.75" customHeight="1">
      <c r="A6" s="13"/>
      <c r="B6" s="9"/>
      <c r="C6" s="10"/>
      <c r="D6" s="14"/>
      <c r="E6" s="14"/>
      <c r="F6" s="15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30.0" customHeight="1">
      <c r="A7" s="16"/>
      <c r="B7" s="9"/>
      <c r="C7" s="17"/>
      <c r="D7" s="18"/>
      <c r="E7" s="19"/>
      <c r="F7" s="15" t="s">
        <v>2375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0.0" customHeight="1">
      <c r="A8" s="20" t="s">
        <v>296</v>
      </c>
      <c r="B8" s="21"/>
      <c r="C8" s="22"/>
      <c r="D8" s="23"/>
      <c r="E8" s="23"/>
      <c r="F8" s="2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7.75" customHeight="1">
      <c r="A9" s="25" t="s">
        <v>2376</v>
      </c>
      <c r="B9" s="26"/>
      <c r="C9" s="26"/>
      <c r="D9" s="26"/>
      <c r="E9" s="26"/>
      <c r="F9" s="27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8.5" customHeight="1">
      <c r="A10" s="128"/>
      <c r="B10" s="106"/>
      <c r="C10" s="107"/>
      <c r="D10" s="108"/>
      <c r="E10" s="108"/>
      <c r="F10" s="109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</row>
    <row r="11" ht="32.25" customHeight="1">
      <c r="A11" s="461" t="s">
        <v>2377</v>
      </c>
      <c r="B11" s="111"/>
      <c r="C11" s="112" t="s">
        <v>299</v>
      </c>
      <c r="D11" s="113" t="s">
        <v>300</v>
      </c>
      <c r="E11" s="114" t="s">
        <v>301</v>
      </c>
      <c r="F11" s="115" t="s">
        <v>11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75" customHeight="1">
      <c r="A12" s="116" t="s">
        <v>302</v>
      </c>
      <c r="B12" s="117"/>
      <c r="C12" s="118"/>
      <c r="D12" s="119"/>
      <c r="E12" s="120"/>
      <c r="F12" s="121" t="s">
        <v>13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75" customHeight="1">
      <c r="A13" s="122" t="s">
        <v>303</v>
      </c>
      <c r="B13" s="123" t="s">
        <v>304</v>
      </c>
      <c r="C13" s="124"/>
      <c r="D13" s="125"/>
      <c r="E13" s="126"/>
      <c r="F13" s="127" t="s">
        <v>2378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2.75" customHeight="1">
      <c r="A14" s="128" t="s">
        <v>308</v>
      </c>
      <c r="B14" s="129" t="s">
        <v>309</v>
      </c>
      <c r="C14" s="130">
        <v>3761.0</v>
      </c>
      <c r="D14" s="131">
        <v>98201.601</v>
      </c>
      <c r="E14" s="132">
        <v>102643.12</v>
      </c>
      <c r="F14" s="133" t="s">
        <v>2379</v>
      </c>
      <c r="G14" s="52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2.75" customHeight="1">
      <c r="A15" s="169" t="s">
        <v>1086</v>
      </c>
      <c r="B15" s="129" t="s">
        <v>15</v>
      </c>
      <c r="C15" s="130">
        <v>5009.0</v>
      </c>
      <c r="D15" s="131">
        <v>127553.009</v>
      </c>
      <c r="E15" s="132">
        <v>132212.37</v>
      </c>
      <c r="F15" s="133" t="s">
        <v>2380</v>
      </c>
      <c r="G15" s="52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2.75" customHeight="1">
      <c r="A16" s="42" t="s">
        <v>2381</v>
      </c>
      <c r="B16" s="129" t="s">
        <v>1226</v>
      </c>
      <c r="C16" s="130">
        <v>1067.0</v>
      </c>
      <c r="D16" s="131">
        <v>27801.45</v>
      </c>
      <c r="E16" s="132">
        <v>28913.69</v>
      </c>
      <c r="F16" s="51" t="s">
        <v>2382</v>
      </c>
      <c r="G16" s="52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2.75" customHeight="1">
      <c r="A17" s="42" t="s">
        <v>639</v>
      </c>
      <c r="B17" s="129" t="s">
        <v>1226</v>
      </c>
      <c r="C17" s="130">
        <v>1055.0</v>
      </c>
      <c r="D17" s="131">
        <v>28108.64</v>
      </c>
      <c r="E17" s="132">
        <v>29217.32</v>
      </c>
      <c r="F17" s="127" t="s">
        <v>2383</v>
      </c>
      <c r="G17" s="52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2.75" customHeight="1">
      <c r="C18" s="130"/>
      <c r="D18" s="131"/>
      <c r="E18" s="132"/>
      <c r="F18" s="127" t="s">
        <v>2384</v>
      </c>
      <c r="G18" s="52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2.75" customHeight="1">
      <c r="A19" s="136" t="s">
        <v>2385</v>
      </c>
      <c r="B19" s="136" t="s">
        <v>2386</v>
      </c>
      <c r="C19" s="130"/>
      <c r="D19" s="131"/>
      <c r="E19" s="132"/>
      <c r="F19" s="462" t="s">
        <v>2387</v>
      </c>
      <c r="G19" s="52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2.75" customHeight="1">
      <c r="A20" s="136" t="s">
        <v>2388</v>
      </c>
      <c r="B20" s="136" t="s">
        <v>2389</v>
      </c>
      <c r="C20" s="130"/>
      <c r="D20" s="131"/>
      <c r="E20" s="132"/>
      <c r="F20" s="462"/>
      <c r="G20" s="52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2.75" customHeight="1">
      <c r="A21" s="136" t="s">
        <v>2390</v>
      </c>
      <c r="B21" s="136" t="s">
        <v>2391</v>
      </c>
      <c r="C21" s="130"/>
      <c r="D21" s="131"/>
      <c r="E21" s="132"/>
      <c r="F21" s="51"/>
      <c r="G21" s="52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2.75" customHeight="1">
      <c r="A22" s="136" t="s">
        <v>2392</v>
      </c>
      <c r="B22" s="135" t="s">
        <v>2393</v>
      </c>
      <c r="C22" s="130"/>
      <c r="D22" s="131"/>
      <c r="E22" s="132"/>
      <c r="F22" s="127"/>
      <c r="G22" s="52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2.75" customHeight="1">
      <c r="A23" s="136" t="s">
        <v>2394</v>
      </c>
      <c r="B23" s="136" t="s">
        <v>2395</v>
      </c>
      <c r="C23" s="130"/>
      <c r="D23" s="131"/>
      <c r="E23" s="132"/>
      <c r="F23" s="127"/>
      <c r="G23" s="52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2.0" customHeight="1">
      <c r="A24" s="136"/>
      <c r="B24" s="135"/>
      <c r="C24" s="138"/>
      <c r="D24" s="139"/>
      <c r="E24" s="140"/>
      <c r="F24" s="141"/>
      <c r="G24" s="52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8.75" customHeight="1">
      <c r="A25" s="137" t="s">
        <v>382</v>
      </c>
      <c r="B25" s="134"/>
      <c r="C25" s="138"/>
      <c r="D25" s="139"/>
      <c r="E25" s="140"/>
      <c r="F25" s="141"/>
      <c r="G25" s="52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8.75" customHeight="1">
      <c r="A26" s="142"/>
      <c r="B26" s="143"/>
      <c r="C26" s="144">
        <f t="shared" ref="C26:E26" si="1">SUM(C12:C23)</f>
        <v>10892</v>
      </c>
      <c r="D26" s="145">
        <f t="shared" si="1"/>
        <v>281664.7</v>
      </c>
      <c r="E26" s="146">
        <f t="shared" si="1"/>
        <v>292986.5</v>
      </c>
      <c r="F26" s="147"/>
      <c r="G26" s="52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30.75" customHeight="1">
      <c r="A27" s="463" t="s">
        <v>2396</v>
      </c>
      <c r="B27" s="464"/>
      <c r="C27" s="112" t="s">
        <v>299</v>
      </c>
      <c r="D27" s="113" t="s">
        <v>300</v>
      </c>
      <c r="E27" s="114" t="s">
        <v>301</v>
      </c>
      <c r="F27" s="150" t="s">
        <v>11</v>
      </c>
      <c r="G27" s="52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8.0" customHeight="1">
      <c r="A28" s="504" t="s">
        <v>319</v>
      </c>
      <c r="B28" s="505"/>
      <c r="C28" s="152"/>
      <c r="D28" s="119"/>
      <c r="E28" s="120"/>
      <c r="F28" s="121" t="s">
        <v>13</v>
      </c>
      <c r="G28" s="52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1.0" customHeight="1">
      <c r="A29" s="506" t="s">
        <v>303</v>
      </c>
      <c r="B29" s="507" t="s">
        <v>304</v>
      </c>
      <c r="C29" s="154"/>
      <c r="D29" s="125"/>
      <c r="E29" s="126"/>
      <c r="F29" s="127" t="s">
        <v>2378</v>
      </c>
      <c r="G29" s="52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508" t="s">
        <v>308</v>
      </c>
      <c r="B30" s="509" t="s">
        <v>309</v>
      </c>
      <c r="C30" s="156">
        <v>14431.0</v>
      </c>
      <c r="D30" s="131">
        <v>368992.43</v>
      </c>
      <c r="E30" s="132">
        <v>384146.14</v>
      </c>
      <c r="F30" s="133" t="s">
        <v>2397</v>
      </c>
      <c r="G30" s="52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510" t="s">
        <v>1086</v>
      </c>
      <c r="B31" s="509" t="s">
        <v>15</v>
      </c>
      <c r="C31" s="156">
        <v>9712.0</v>
      </c>
      <c r="D31" s="131">
        <v>246540.58</v>
      </c>
      <c r="E31" s="132">
        <v>256474.68</v>
      </c>
      <c r="F31" s="133" t="s">
        <v>2398</v>
      </c>
      <c r="G31" s="52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2.75" customHeight="1">
      <c r="A32" s="508" t="s">
        <v>2381</v>
      </c>
      <c r="B32" s="509" t="s">
        <v>1226</v>
      </c>
      <c r="C32" s="156">
        <v>1019.0</v>
      </c>
      <c r="D32" s="131">
        <v>27010.31</v>
      </c>
      <c r="E32" s="132">
        <v>28084.02</v>
      </c>
      <c r="F32" s="51" t="s">
        <v>2399</v>
      </c>
      <c r="G32" s="52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2.75" customHeight="1">
      <c r="A33" s="508" t="s">
        <v>639</v>
      </c>
      <c r="B33" s="509" t="s">
        <v>1226</v>
      </c>
      <c r="C33" s="156">
        <v>2126.0</v>
      </c>
      <c r="D33" s="131">
        <v>55880.74</v>
      </c>
      <c r="E33" s="132">
        <v>58201.22</v>
      </c>
      <c r="F33" s="127" t="s">
        <v>2400</v>
      </c>
      <c r="G33" s="52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2.75" customHeight="1">
      <c r="A34" s="508" t="s">
        <v>1332</v>
      </c>
      <c r="B34" s="509" t="s">
        <v>1333</v>
      </c>
      <c r="C34" s="156">
        <v>1141.0</v>
      </c>
      <c r="D34" s="131">
        <v>27997.53</v>
      </c>
      <c r="E34" s="132">
        <v>29167.18</v>
      </c>
      <c r="F34" s="127" t="s">
        <v>2401</v>
      </c>
      <c r="G34" s="52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2.75" customHeight="1">
      <c r="A35" s="508"/>
      <c r="B35" s="511"/>
      <c r="C35" s="156"/>
      <c r="D35" s="131"/>
      <c r="E35" s="132"/>
      <c r="F35" s="512" t="s">
        <v>2402</v>
      </c>
      <c r="G35" s="52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2.75" customHeight="1">
      <c r="A36" s="513" t="s">
        <v>2403</v>
      </c>
      <c r="B36" s="514" t="s">
        <v>2404</v>
      </c>
      <c r="C36" s="515"/>
      <c r="D36" s="131"/>
      <c r="E36" s="132"/>
      <c r="F36" s="512"/>
      <c r="G36" s="52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2.75" customHeight="1">
      <c r="A37" s="513" t="s">
        <v>2405</v>
      </c>
      <c r="B37" s="514" t="s">
        <v>2406</v>
      </c>
      <c r="C37" s="515"/>
      <c r="D37" s="131"/>
      <c r="E37" s="132"/>
      <c r="F37" s="127"/>
      <c r="G37" s="52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2.75" customHeight="1">
      <c r="A38" s="513" t="s">
        <v>2407</v>
      </c>
      <c r="B38" s="514" t="s">
        <v>2408</v>
      </c>
      <c r="C38" s="515"/>
      <c r="D38" s="131"/>
      <c r="E38" s="132"/>
      <c r="F38" s="127"/>
      <c r="G38" s="52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2.75" customHeight="1">
      <c r="A39" s="513" t="s">
        <v>2409</v>
      </c>
      <c r="B39" s="514" t="s">
        <v>2410</v>
      </c>
      <c r="C39" s="515"/>
      <c r="D39" s="131"/>
      <c r="E39" s="132"/>
      <c r="F39" s="127"/>
      <c r="G39" s="52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2.75" customHeight="1">
      <c r="A40" s="513" t="s">
        <v>2411</v>
      </c>
      <c r="B40" s="514" t="s">
        <v>2412</v>
      </c>
      <c r="C40" s="515"/>
      <c r="D40" s="131"/>
      <c r="E40" s="132"/>
      <c r="F40" s="127"/>
      <c r="G40" s="52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2.75" customHeight="1">
      <c r="A41" s="513" t="s">
        <v>2413</v>
      </c>
      <c r="B41" s="516" t="s">
        <v>2414</v>
      </c>
      <c r="C41" s="515"/>
      <c r="D41" s="131"/>
      <c r="E41" s="132"/>
      <c r="F41" s="141"/>
      <c r="G41" s="52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2.75" customHeight="1">
      <c r="A42" s="513" t="s">
        <v>2415</v>
      </c>
      <c r="B42" s="514" t="s">
        <v>2416</v>
      </c>
      <c r="C42" s="515"/>
      <c r="D42" s="131"/>
      <c r="E42" s="132"/>
      <c r="F42" s="127"/>
      <c r="G42" s="52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6.5" customHeight="1">
      <c r="A43" s="517" t="s">
        <v>2417</v>
      </c>
      <c r="B43" s="518" t="s">
        <v>2418</v>
      </c>
      <c r="C43" s="163"/>
      <c r="D43" s="139"/>
      <c r="E43" s="140"/>
      <c r="F43" s="141"/>
      <c r="G43" s="52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6.5" customHeight="1">
      <c r="A44" s="517" t="s">
        <v>2419</v>
      </c>
      <c r="B44" s="518" t="s">
        <v>2420</v>
      </c>
      <c r="C44" s="163"/>
      <c r="D44" s="139"/>
      <c r="E44" s="140"/>
      <c r="F44" s="141"/>
      <c r="G44" s="52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20.25" customHeight="1">
      <c r="A45" s="517" t="s">
        <v>2421</v>
      </c>
      <c r="B45" s="518" t="s">
        <v>2422</v>
      </c>
      <c r="C45" s="163"/>
      <c r="D45" s="139"/>
      <c r="E45" s="140"/>
      <c r="F45" s="141"/>
      <c r="G45" s="52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7.25" customHeight="1">
      <c r="A46" s="517" t="s">
        <v>2423</v>
      </c>
      <c r="B46" s="518" t="s">
        <v>2424</v>
      </c>
      <c r="C46" s="163"/>
      <c r="D46" s="139"/>
      <c r="E46" s="140"/>
      <c r="F46" s="141"/>
      <c r="G46" s="52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6.5" customHeight="1">
      <c r="A47" s="517" t="s">
        <v>2425</v>
      </c>
      <c r="B47" s="518" t="s">
        <v>2426</v>
      </c>
      <c r="C47" s="163"/>
      <c r="D47" s="139"/>
      <c r="E47" s="140"/>
      <c r="F47" s="141"/>
      <c r="G47" s="52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513" t="s">
        <v>2427</v>
      </c>
      <c r="B48" s="518" t="s">
        <v>2428</v>
      </c>
      <c r="C48" s="163"/>
      <c r="D48" s="139"/>
      <c r="E48" s="140"/>
      <c r="F48" s="141"/>
      <c r="G48" s="52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8.0" customHeight="1">
      <c r="A49" s="508"/>
      <c r="B49" s="519"/>
      <c r="C49" s="163"/>
      <c r="D49" s="139"/>
      <c r="E49" s="140"/>
      <c r="F49" s="141"/>
      <c r="G49" s="52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22.5" customHeight="1">
      <c r="A50" s="508" t="s">
        <v>382</v>
      </c>
      <c r="B50" s="519"/>
      <c r="C50" s="163"/>
      <c r="D50" s="139"/>
      <c r="E50" s="140"/>
      <c r="F50" s="141"/>
      <c r="G50" s="52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33.0" customHeight="1">
      <c r="A51" s="520"/>
      <c r="B51" s="521"/>
      <c r="C51" s="166">
        <f t="shared" ref="C51:D51" si="2">SUM(C28:C40)</f>
        <v>28429</v>
      </c>
      <c r="D51" s="145">
        <f t="shared" si="2"/>
        <v>726421.59</v>
      </c>
      <c r="E51" s="146">
        <f>SUM(E28:E50)</f>
        <v>756073.24</v>
      </c>
      <c r="F51" s="147"/>
      <c r="G51" s="52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30.75" customHeight="1">
      <c r="A52" s="465" t="s">
        <v>2429</v>
      </c>
      <c r="B52" s="464"/>
      <c r="C52" s="112" t="s">
        <v>299</v>
      </c>
      <c r="D52" s="113" t="s">
        <v>300</v>
      </c>
      <c r="E52" s="114" t="s">
        <v>301</v>
      </c>
      <c r="F52" s="238" t="s">
        <v>11</v>
      </c>
      <c r="G52" s="52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8.75" customHeight="1">
      <c r="A53" s="36" t="s">
        <v>319</v>
      </c>
      <c r="B53" s="151"/>
      <c r="C53" s="152"/>
      <c r="D53" s="119"/>
      <c r="E53" s="346"/>
      <c r="F53" s="121" t="s">
        <v>13</v>
      </c>
      <c r="G53" s="52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8.75" customHeight="1">
      <c r="A54" s="153" t="s">
        <v>303</v>
      </c>
      <c r="B54" s="49" t="s">
        <v>304</v>
      </c>
      <c r="C54" s="154"/>
      <c r="D54" s="125"/>
      <c r="E54" s="243"/>
      <c r="F54" s="127" t="s">
        <v>2378</v>
      </c>
      <c r="G54" s="52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8.0" customHeight="1">
      <c r="A55" s="42" t="s">
        <v>639</v>
      </c>
      <c r="B55" s="129" t="s">
        <v>1226</v>
      </c>
      <c r="C55" s="156">
        <v>1022.0</v>
      </c>
      <c r="D55" s="131">
        <v>27035.91</v>
      </c>
      <c r="E55" s="246">
        <v>28120.21</v>
      </c>
      <c r="F55" s="133" t="s">
        <v>2430</v>
      </c>
      <c r="G55" s="52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2.75" customHeight="1">
      <c r="A56" s="162"/>
      <c r="B56" s="157"/>
      <c r="C56" s="156"/>
      <c r="D56" s="131"/>
      <c r="E56" s="246"/>
      <c r="F56" s="133" t="s">
        <v>2431</v>
      </c>
      <c r="G56" s="52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2.75" customHeight="1">
      <c r="A57" s="162" t="s">
        <v>2432</v>
      </c>
      <c r="B57" s="176"/>
      <c r="C57" s="156"/>
      <c r="D57" s="131"/>
      <c r="E57" s="246"/>
      <c r="F57" s="51" t="s">
        <v>2433</v>
      </c>
      <c r="G57" s="52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2.75" customHeight="1">
      <c r="A58" s="162"/>
      <c r="B58" s="158"/>
      <c r="C58" s="156"/>
      <c r="D58" s="131"/>
      <c r="E58" s="246"/>
      <c r="F58" s="127" t="s">
        <v>2114</v>
      </c>
      <c r="G58" s="52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2.75" customHeight="1">
      <c r="A59" s="128"/>
      <c r="B59" s="158"/>
      <c r="C59" s="156"/>
      <c r="D59" s="131"/>
      <c r="E59" s="246"/>
      <c r="F59" s="127" t="s">
        <v>2434</v>
      </c>
      <c r="G59" s="52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2.75" customHeight="1">
      <c r="A60" s="128" t="s">
        <v>316</v>
      </c>
      <c r="B60" s="158"/>
      <c r="C60" s="193"/>
      <c r="D60" s="139"/>
      <c r="E60" s="253"/>
      <c r="F60" s="512" t="s">
        <v>2435</v>
      </c>
      <c r="G60" s="52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26.25" customHeight="1">
      <c r="A61" s="203"/>
      <c r="B61" s="143"/>
      <c r="C61" s="144">
        <f t="shared" ref="C61:E61" si="3">SUM(C53:C60)</f>
        <v>1022</v>
      </c>
      <c r="D61" s="145">
        <f t="shared" si="3"/>
        <v>27035.91</v>
      </c>
      <c r="E61" s="146">
        <f t="shared" si="3"/>
        <v>28120.21</v>
      </c>
      <c r="F61" s="147"/>
      <c r="G61" s="52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29.25" customHeight="1">
      <c r="A62" s="466" t="s">
        <v>2436</v>
      </c>
      <c r="B62" s="149"/>
      <c r="C62" s="112" t="s">
        <v>299</v>
      </c>
      <c r="D62" s="113" t="s">
        <v>300</v>
      </c>
      <c r="E62" s="114" t="s">
        <v>301</v>
      </c>
      <c r="F62" s="150" t="s">
        <v>11</v>
      </c>
      <c r="G62" s="52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9.5" customHeight="1">
      <c r="A63" s="36" t="s">
        <v>523</v>
      </c>
      <c r="B63" s="151"/>
      <c r="C63" s="181"/>
      <c r="D63" s="182"/>
      <c r="E63" s="183"/>
      <c r="F63" s="121" t="s">
        <v>13</v>
      </c>
      <c r="G63" s="52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2.75" customHeight="1">
      <c r="A64" s="153" t="s">
        <v>303</v>
      </c>
      <c r="B64" s="49" t="s">
        <v>304</v>
      </c>
      <c r="C64" s="184"/>
      <c r="D64" s="185"/>
      <c r="E64" s="186"/>
      <c r="F64" s="127" t="s">
        <v>2378</v>
      </c>
      <c r="G64" s="52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2.75" customHeight="1">
      <c r="A65" s="128" t="s">
        <v>308</v>
      </c>
      <c r="B65" s="129" t="s">
        <v>309</v>
      </c>
      <c r="C65" s="130">
        <v>7224.0</v>
      </c>
      <c r="D65" s="131">
        <v>184021.13</v>
      </c>
      <c r="E65" s="132">
        <v>191910.22</v>
      </c>
      <c r="F65" s="133" t="s">
        <v>2437</v>
      </c>
      <c r="G65" s="52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2.75" customHeight="1">
      <c r="A66" s="169" t="s">
        <v>1086</v>
      </c>
      <c r="B66" s="129" t="s">
        <v>15</v>
      </c>
      <c r="C66" s="130">
        <v>4412.0</v>
      </c>
      <c r="D66" s="131">
        <v>121605.36</v>
      </c>
      <c r="E66" s="132">
        <v>126562.1</v>
      </c>
      <c r="F66" s="133" t="s">
        <v>2438</v>
      </c>
      <c r="G66" s="52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2.75" customHeight="1">
      <c r="A67" s="42" t="s">
        <v>639</v>
      </c>
      <c r="B67" s="129" t="s">
        <v>1226</v>
      </c>
      <c r="C67" s="130">
        <v>3125.0</v>
      </c>
      <c r="D67" s="131">
        <v>83328.42</v>
      </c>
      <c r="E67" s="132">
        <v>86796.92</v>
      </c>
      <c r="F67" s="51" t="s">
        <v>2439</v>
      </c>
      <c r="G67" s="52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2.75" customHeight="1">
      <c r="A68" s="128" t="s">
        <v>1332</v>
      </c>
      <c r="B68" s="129" t="s">
        <v>1333</v>
      </c>
      <c r="C68" s="130">
        <v>1137.0</v>
      </c>
      <c r="D68" s="131">
        <v>27448.52</v>
      </c>
      <c r="E68" s="132">
        <v>28667.19</v>
      </c>
      <c r="F68" s="127" t="s">
        <v>2440</v>
      </c>
      <c r="G68" s="52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2.75" customHeight="1">
      <c r="A69" s="128"/>
      <c r="B69" s="157"/>
      <c r="C69" s="130"/>
      <c r="D69" s="131"/>
      <c r="E69" s="132"/>
      <c r="F69" s="127" t="s">
        <v>2441</v>
      </c>
      <c r="G69" s="52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2.75" customHeight="1">
      <c r="A70" s="162" t="s">
        <v>2442</v>
      </c>
      <c r="B70" s="158" t="s">
        <v>2443</v>
      </c>
      <c r="C70" s="156"/>
      <c r="D70" s="131"/>
      <c r="E70" s="132"/>
      <c r="F70" s="512" t="s">
        <v>2444</v>
      </c>
      <c r="G70" s="52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2.75" customHeight="1">
      <c r="A71" s="416" t="s">
        <v>2445</v>
      </c>
      <c r="B71" s="158" t="s">
        <v>2446</v>
      </c>
      <c r="C71" s="156"/>
      <c r="D71" s="131"/>
      <c r="E71" s="132"/>
      <c r="F71" s="141"/>
      <c r="G71" s="52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75" customHeight="1">
      <c r="A72" s="162" t="s">
        <v>2447</v>
      </c>
      <c r="B72" s="467" t="s">
        <v>2448</v>
      </c>
      <c r="C72" s="156"/>
      <c r="D72" s="131"/>
      <c r="E72" s="132"/>
      <c r="F72" s="141"/>
      <c r="G72" s="52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.75" customHeight="1">
      <c r="A73" s="162" t="s">
        <v>2449</v>
      </c>
      <c r="B73" s="158" t="s">
        <v>2450</v>
      </c>
      <c r="C73" s="156"/>
      <c r="D73" s="131"/>
      <c r="E73" s="132"/>
      <c r="F73" s="141"/>
      <c r="G73" s="52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2.75" customHeight="1">
      <c r="A74" s="162" t="s">
        <v>2451</v>
      </c>
      <c r="B74" s="158" t="s">
        <v>2452</v>
      </c>
      <c r="C74" s="156"/>
      <c r="D74" s="131"/>
      <c r="E74" s="132"/>
      <c r="F74" s="141"/>
      <c r="G74" s="52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75" customHeight="1">
      <c r="A75" s="162" t="s">
        <v>2453</v>
      </c>
      <c r="B75" s="158" t="s">
        <v>2454</v>
      </c>
      <c r="C75" s="156"/>
      <c r="D75" s="131"/>
      <c r="E75" s="132"/>
      <c r="F75" s="141"/>
      <c r="G75" s="52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2.75" customHeight="1">
      <c r="A76" s="162" t="s">
        <v>2455</v>
      </c>
      <c r="B76" s="158" t="s">
        <v>2456</v>
      </c>
      <c r="C76" s="156"/>
      <c r="D76" s="131"/>
      <c r="E76" s="132"/>
      <c r="F76" s="141"/>
      <c r="G76" s="52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75" customHeight="1">
      <c r="A77" s="162" t="s">
        <v>2457</v>
      </c>
      <c r="B77" s="49"/>
      <c r="C77" s="156"/>
      <c r="D77" s="131"/>
      <c r="E77" s="132"/>
      <c r="F77" s="141"/>
      <c r="G77" s="52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2.75" customHeight="1">
      <c r="A78" s="162"/>
      <c r="B78" s="49"/>
      <c r="C78" s="156"/>
      <c r="D78" s="131"/>
      <c r="E78" s="132"/>
      <c r="F78" s="141"/>
      <c r="G78" s="52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2.75" customHeight="1">
      <c r="A79" s="42" t="s">
        <v>382</v>
      </c>
      <c r="B79" s="49"/>
      <c r="C79" s="156"/>
      <c r="D79" s="131"/>
      <c r="E79" s="132"/>
      <c r="F79" s="141"/>
      <c r="G79" s="52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8.75" customHeight="1">
      <c r="A80" s="177"/>
      <c r="B80" s="178"/>
      <c r="C80" s="172">
        <f t="shared" ref="C80:E80" si="4">SUM(C63:C79)</f>
        <v>15898</v>
      </c>
      <c r="D80" s="145">
        <f t="shared" si="4"/>
        <v>416403.43</v>
      </c>
      <c r="E80" s="146">
        <f t="shared" si="4"/>
        <v>433936.43</v>
      </c>
      <c r="F80" s="147"/>
      <c r="G80" s="52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30.0" customHeight="1">
      <c r="A81" s="466" t="s">
        <v>2458</v>
      </c>
      <c r="B81" s="149"/>
      <c r="C81" s="112" t="s">
        <v>299</v>
      </c>
      <c r="D81" s="113" t="s">
        <v>300</v>
      </c>
      <c r="E81" s="114" t="s">
        <v>301</v>
      </c>
      <c r="F81" s="150" t="s">
        <v>11</v>
      </c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0" customHeight="1">
      <c r="A82" s="36" t="s">
        <v>523</v>
      </c>
      <c r="B82" s="151"/>
      <c r="C82" s="181"/>
      <c r="D82" s="182"/>
      <c r="E82" s="183"/>
      <c r="F82" s="121" t="s">
        <v>13</v>
      </c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0" customHeight="1">
      <c r="A83" s="153" t="s">
        <v>303</v>
      </c>
      <c r="B83" s="49" t="s">
        <v>304</v>
      </c>
      <c r="C83" s="184"/>
      <c r="D83" s="185"/>
      <c r="E83" s="186"/>
      <c r="F83" s="127" t="s">
        <v>2378</v>
      </c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8.75" customHeight="1">
      <c r="A84" s="42" t="s">
        <v>639</v>
      </c>
      <c r="B84" s="129" t="s">
        <v>1226</v>
      </c>
      <c r="C84" s="156">
        <v>1051.0</v>
      </c>
      <c r="D84" s="131">
        <v>27818.03</v>
      </c>
      <c r="E84" s="132">
        <v>28973.73</v>
      </c>
      <c r="F84" s="133" t="s">
        <v>2459</v>
      </c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3.5" customHeight="1">
      <c r="A85" s="42"/>
      <c r="B85" s="49"/>
      <c r="C85" s="156"/>
      <c r="D85" s="131"/>
      <c r="E85" s="132"/>
      <c r="F85" s="133" t="s">
        <v>2460</v>
      </c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2.75" customHeight="1">
      <c r="A86" s="162" t="s">
        <v>2461</v>
      </c>
      <c r="B86" s="158"/>
      <c r="C86" s="156"/>
      <c r="D86" s="131"/>
      <c r="E86" s="132"/>
      <c r="F86" s="51" t="s">
        <v>2462</v>
      </c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2.75" customHeight="1">
      <c r="A87" s="162"/>
      <c r="B87" s="158"/>
      <c r="C87" s="156"/>
      <c r="D87" s="131"/>
      <c r="E87" s="132"/>
      <c r="F87" s="127" t="s">
        <v>2114</v>
      </c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2.75" customHeight="1">
      <c r="A88" s="160"/>
      <c r="B88" s="157"/>
      <c r="C88" s="156"/>
      <c r="D88" s="131"/>
      <c r="E88" s="132"/>
      <c r="F88" s="127" t="s">
        <v>2463</v>
      </c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2.75" customHeight="1">
      <c r="A89" s="160" t="s">
        <v>2464</v>
      </c>
      <c r="B89" s="158"/>
      <c r="C89" s="156"/>
      <c r="D89" s="131"/>
      <c r="E89" s="132"/>
      <c r="F89" s="512" t="s">
        <v>2465</v>
      </c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8.0" customHeight="1">
      <c r="A90" s="177"/>
      <c r="B90" s="178"/>
      <c r="C90" s="172">
        <f t="shared" ref="C90:E90" si="5">SUM(C82:C89)</f>
        <v>1051</v>
      </c>
      <c r="D90" s="145">
        <f t="shared" si="5"/>
        <v>27818.03</v>
      </c>
      <c r="E90" s="146">
        <f t="shared" si="5"/>
        <v>28973.73</v>
      </c>
      <c r="F90" s="216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32.25" customHeight="1">
      <c r="A91" s="465" t="s">
        <v>2466</v>
      </c>
      <c r="B91" s="149"/>
      <c r="C91" s="112" t="s">
        <v>299</v>
      </c>
      <c r="D91" s="113" t="s">
        <v>300</v>
      </c>
      <c r="E91" s="114" t="s">
        <v>301</v>
      </c>
      <c r="F91" s="238" t="s">
        <v>11</v>
      </c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8.0" customHeight="1">
      <c r="A92" s="36" t="s">
        <v>572</v>
      </c>
      <c r="B92" s="151"/>
      <c r="C92" s="181"/>
      <c r="D92" s="239"/>
      <c r="E92" s="240"/>
      <c r="F92" s="121" t="s">
        <v>13</v>
      </c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2.75" customHeight="1">
      <c r="A93" s="153" t="s">
        <v>303</v>
      </c>
      <c r="B93" s="49" t="s">
        <v>304</v>
      </c>
      <c r="C93" s="130"/>
      <c r="D93" s="131"/>
      <c r="E93" s="132"/>
      <c r="F93" s="127" t="s">
        <v>2378</v>
      </c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128" t="s">
        <v>308</v>
      </c>
      <c r="B94" s="129" t="s">
        <v>309</v>
      </c>
      <c r="C94" s="130">
        <v>10736.0</v>
      </c>
      <c r="D94" s="131">
        <v>267733.49</v>
      </c>
      <c r="E94" s="132">
        <v>278908.53</v>
      </c>
      <c r="F94" s="133" t="s">
        <v>2467</v>
      </c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2.75" customHeight="1">
      <c r="A95" s="169" t="s">
        <v>1086</v>
      </c>
      <c r="B95" s="129" t="s">
        <v>15</v>
      </c>
      <c r="C95" s="130">
        <v>4933.0</v>
      </c>
      <c r="D95" s="131">
        <v>124104.09</v>
      </c>
      <c r="E95" s="132">
        <v>129257.1</v>
      </c>
      <c r="F95" s="133" t="s">
        <v>2468</v>
      </c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2.75" customHeight="1">
      <c r="A96" s="42" t="s">
        <v>2381</v>
      </c>
      <c r="B96" s="522" t="s">
        <v>1226</v>
      </c>
      <c r="C96" s="130">
        <v>1084.0</v>
      </c>
      <c r="D96" s="131">
        <v>27621.21</v>
      </c>
      <c r="E96" s="132">
        <v>28758.95</v>
      </c>
      <c r="F96" s="51" t="s">
        <v>2469</v>
      </c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2.75" customHeight="1">
      <c r="A97" s="42" t="s">
        <v>639</v>
      </c>
      <c r="B97" s="129" t="s">
        <v>1226</v>
      </c>
      <c r="C97" s="130">
        <v>4271.0</v>
      </c>
      <c r="D97" s="131">
        <v>111664.46</v>
      </c>
      <c r="E97" s="132">
        <v>116235.58</v>
      </c>
      <c r="F97" s="127" t="s">
        <v>2470</v>
      </c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2.75" customHeight="1">
      <c r="A98" s="128" t="s">
        <v>1332</v>
      </c>
      <c r="B98" s="129" t="s">
        <v>1333</v>
      </c>
      <c r="C98" s="130">
        <v>1155.0</v>
      </c>
      <c r="D98" s="131">
        <v>24679.414</v>
      </c>
      <c r="E98" s="132">
        <v>25806.704</v>
      </c>
      <c r="F98" s="127" t="s">
        <v>2471</v>
      </c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0" customHeight="1">
      <c r="A99" s="42"/>
      <c r="B99" s="157"/>
      <c r="C99" s="156"/>
      <c r="D99" s="131"/>
      <c r="E99" s="132"/>
      <c r="F99" s="512" t="s">
        <v>2472</v>
      </c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8.75" customHeight="1">
      <c r="A100" s="162" t="s">
        <v>2473</v>
      </c>
      <c r="B100" s="158" t="s">
        <v>2474</v>
      </c>
      <c r="C100" s="156"/>
      <c r="D100" s="131"/>
      <c r="E100" s="132"/>
      <c r="F100" s="512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8.75" customHeight="1">
      <c r="A101" s="162" t="s">
        <v>2475</v>
      </c>
      <c r="B101" s="158" t="s">
        <v>2476</v>
      </c>
      <c r="C101" s="156"/>
      <c r="D101" s="131"/>
      <c r="E101" s="132"/>
      <c r="F101" s="141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8.75" customHeight="1">
      <c r="A102" s="162" t="s">
        <v>2477</v>
      </c>
      <c r="B102" s="158" t="s">
        <v>2478</v>
      </c>
      <c r="C102" s="156"/>
      <c r="D102" s="131"/>
      <c r="E102" s="132"/>
      <c r="F102" s="141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8.75" customHeight="1">
      <c r="A103" s="162" t="s">
        <v>2479</v>
      </c>
      <c r="B103" s="158" t="s">
        <v>2480</v>
      </c>
      <c r="C103" s="156"/>
      <c r="D103" s="131"/>
      <c r="E103" s="132"/>
      <c r="F103" s="141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8.75" customHeight="1">
      <c r="A104" s="162" t="s">
        <v>2481</v>
      </c>
      <c r="B104" s="158" t="s">
        <v>2482</v>
      </c>
      <c r="C104" s="156"/>
      <c r="D104" s="131"/>
      <c r="E104" s="132"/>
      <c r="F104" s="141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8.75" customHeight="1">
      <c r="A105" s="162" t="s">
        <v>2483</v>
      </c>
      <c r="B105" s="158" t="s">
        <v>2484</v>
      </c>
      <c r="C105" s="156"/>
      <c r="D105" s="131"/>
      <c r="E105" s="132"/>
      <c r="F105" s="141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8.75" customHeight="1">
      <c r="A106" s="162" t="s">
        <v>2485</v>
      </c>
      <c r="B106" s="158" t="s">
        <v>2486</v>
      </c>
      <c r="C106" s="156"/>
      <c r="D106" s="131"/>
      <c r="E106" s="132"/>
      <c r="F106" s="141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8.75" customHeight="1">
      <c r="A107" s="162" t="s">
        <v>2487</v>
      </c>
      <c r="B107" s="158" t="s">
        <v>2488</v>
      </c>
      <c r="C107" s="156"/>
      <c r="D107" s="131"/>
      <c r="E107" s="132"/>
      <c r="F107" s="141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8.75" customHeight="1">
      <c r="A108" s="162" t="s">
        <v>2489</v>
      </c>
      <c r="B108" s="158" t="s">
        <v>2490</v>
      </c>
      <c r="C108" s="156"/>
      <c r="D108" s="131"/>
      <c r="E108" s="132"/>
      <c r="F108" s="141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8.75" customHeight="1">
      <c r="A109" s="162" t="s">
        <v>2491</v>
      </c>
      <c r="B109" s="158" t="s">
        <v>2492</v>
      </c>
      <c r="C109" s="156"/>
      <c r="D109" s="131"/>
      <c r="E109" s="132"/>
      <c r="F109" s="141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8.75" customHeight="1">
      <c r="A110" s="160"/>
      <c r="B110" s="157"/>
      <c r="C110" s="156"/>
      <c r="D110" s="131"/>
      <c r="E110" s="132"/>
      <c r="F110" s="141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8.75" customHeight="1">
      <c r="A111" s="160" t="s">
        <v>382</v>
      </c>
      <c r="B111" s="157"/>
      <c r="C111" s="156"/>
      <c r="D111" s="131"/>
      <c r="E111" s="132"/>
      <c r="F111" s="141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22.5" customHeight="1">
      <c r="A112" s="177"/>
      <c r="B112" s="178"/>
      <c r="C112" s="172">
        <f t="shared" ref="C112:E112" si="6">SUM(C92:C111)</f>
        <v>22179</v>
      </c>
      <c r="D112" s="145">
        <f t="shared" si="6"/>
        <v>555802.664</v>
      </c>
      <c r="E112" s="265">
        <f t="shared" si="6"/>
        <v>578966.864</v>
      </c>
      <c r="F112" s="147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27.75" customHeight="1">
      <c r="A113" s="465" t="s">
        <v>2493</v>
      </c>
      <c r="B113" s="149"/>
      <c r="C113" s="112" t="s">
        <v>299</v>
      </c>
      <c r="D113" s="113" t="s">
        <v>300</v>
      </c>
      <c r="E113" s="114" t="s">
        <v>301</v>
      </c>
      <c r="F113" s="238" t="s">
        <v>11</v>
      </c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0" customHeight="1">
      <c r="A114" s="36" t="s">
        <v>572</v>
      </c>
      <c r="B114" s="151"/>
      <c r="C114" s="181"/>
      <c r="D114" s="239"/>
      <c r="E114" s="240"/>
      <c r="F114" s="121" t="s">
        <v>13</v>
      </c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0" customHeight="1">
      <c r="A115" s="153" t="s">
        <v>303</v>
      </c>
      <c r="B115" s="49" t="s">
        <v>304</v>
      </c>
      <c r="C115" s="154"/>
      <c r="D115" s="242"/>
      <c r="E115" s="243"/>
      <c r="F115" s="127" t="s">
        <v>2378</v>
      </c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0" customHeight="1">
      <c r="A116" s="42" t="s">
        <v>2381</v>
      </c>
      <c r="B116" s="129" t="s">
        <v>1226</v>
      </c>
      <c r="C116" s="156">
        <v>1077.0</v>
      </c>
      <c r="D116" s="245">
        <v>28008.25</v>
      </c>
      <c r="E116" s="246">
        <v>29128.3</v>
      </c>
      <c r="F116" s="133" t="s">
        <v>2494</v>
      </c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0" customHeight="1">
      <c r="A117" s="42"/>
      <c r="B117" s="157"/>
      <c r="C117" s="156"/>
      <c r="D117" s="245"/>
      <c r="E117" s="246"/>
      <c r="F117" s="133" t="s">
        <v>2495</v>
      </c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2.0" customHeight="1">
      <c r="A118" s="162" t="s">
        <v>2496</v>
      </c>
      <c r="B118" s="157"/>
      <c r="C118" s="156"/>
      <c r="D118" s="245"/>
      <c r="E118" s="246"/>
      <c r="F118" s="51" t="s">
        <v>2497</v>
      </c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0" customHeight="1">
      <c r="A119" s="42"/>
      <c r="B119" s="157"/>
      <c r="C119" s="156"/>
      <c r="D119" s="245"/>
      <c r="E119" s="246"/>
      <c r="F119" s="127" t="s">
        <v>2114</v>
      </c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2.0" customHeight="1">
      <c r="A120" s="160"/>
      <c r="B120" s="157"/>
      <c r="C120" s="156"/>
      <c r="D120" s="245"/>
      <c r="E120" s="246"/>
      <c r="F120" s="127" t="s">
        <v>2498</v>
      </c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0" customHeight="1">
      <c r="A121" s="160" t="s">
        <v>382</v>
      </c>
      <c r="B121" s="158"/>
      <c r="C121" s="156"/>
      <c r="D121" s="245"/>
      <c r="E121" s="246"/>
      <c r="F121" s="244" t="s">
        <v>2499</v>
      </c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21.0" customHeight="1">
      <c r="A122" s="177"/>
      <c r="B122" s="178"/>
      <c r="C122" s="172">
        <f t="shared" ref="C122:E122" si="7">SUM(C114:C121)</f>
        <v>1077</v>
      </c>
      <c r="D122" s="249">
        <f t="shared" si="7"/>
        <v>28008.25</v>
      </c>
      <c r="E122" s="250">
        <f t="shared" si="7"/>
        <v>29128.3</v>
      </c>
      <c r="F122" s="251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30.0" customHeight="1">
      <c r="A123" s="468" t="s">
        <v>2500</v>
      </c>
      <c r="B123" s="469"/>
      <c r="C123" s="370" t="s">
        <v>299</v>
      </c>
      <c r="D123" s="470" t="s">
        <v>300</v>
      </c>
      <c r="E123" s="471" t="s">
        <v>301</v>
      </c>
      <c r="F123" s="472" t="s">
        <v>11</v>
      </c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8.75" customHeight="1">
      <c r="A124" s="36" t="s">
        <v>637</v>
      </c>
      <c r="B124" s="151"/>
      <c r="C124" s="152"/>
      <c r="D124" s="119"/>
      <c r="E124" s="120"/>
      <c r="F124" s="121" t="s">
        <v>13</v>
      </c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8.0" customHeight="1">
      <c r="A125" s="153" t="s">
        <v>303</v>
      </c>
      <c r="B125" s="49" t="s">
        <v>304</v>
      </c>
      <c r="C125" s="156"/>
      <c r="D125" s="131"/>
      <c r="E125" s="132"/>
      <c r="F125" s="127" t="s">
        <v>2378</v>
      </c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8.75" customHeight="1">
      <c r="A126" s="128" t="s">
        <v>308</v>
      </c>
      <c r="B126" s="129" t="s">
        <v>309</v>
      </c>
      <c r="C126" s="156">
        <v>5075.0</v>
      </c>
      <c r="D126" s="131">
        <v>118994.86</v>
      </c>
      <c r="E126" s="132">
        <v>124173.09</v>
      </c>
      <c r="F126" s="133" t="s">
        <v>2501</v>
      </c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2.75" customHeight="1">
      <c r="A127" s="169" t="s">
        <v>1086</v>
      </c>
      <c r="B127" s="129" t="s">
        <v>15</v>
      </c>
      <c r="C127" s="156">
        <v>5633.0</v>
      </c>
      <c r="D127" s="131">
        <v>132199.023</v>
      </c>
      <c r="E127" s="132">
        <v>137919.993</v>
      </c>
      <c r="F127" s="133" t="s">
        <v>2502</v>
      </c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2.75" customHeight="1">
      <c r="A128" s="160"/>
      <c r="B128" s="157"/>
      <c r="C128" s="156"/>
      <c r="D128" s="131"/>
      <c r="E128" s="132"/>
      <c r="F128" s="51" t="s">
        <v>2503</v>
      </c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2.75" customHeight="1">
      <c r="A129" s="416" t="s">
        <v>2504</v>
      </c>
      <c r="B129" s="158" t="s">
        <v>2505</v>
      </c>
      <c r="C129" s="156"/>
      <c r="D129" s="131"/>
      <c r="E129" s="132"/>
      <c r="F129" s="127" t="s">
        <v>2506</v>
      </c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2.75" customHeight="1">
      <c r="A130" s="162" t="s">
        <v>2507</v>
      </c>
      <c r="B130" s="158" t="s">
        <v>2508</v>
      </c>
      <c r="C130" s="156"/>
      <c r="D130" s="131"/>
      <c r="E130" s="132"/>
      <c r="F130" s="127" t="s">
        <v>2509</v>
      </c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2.75" customHeight="1">
      <c r="A131" s="162" t="s">
        <v>2510</v>
      </c>
      <c r="B131" s="467" t="s">
        <v>2511</v>
      </c>
      <c r="C131" s="156"/>
      <c r="D131" s="131"/>
      <c r="E131" s="132"/>
      <c r="F131" s="51" t="s">
        <v>2512</v>
      </c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2.75" customHeight="1">
      <c r="A132" s="162" t="s">
        <v>2513</v>
      </c>
      <c r="B132" s="467" t="s">
        <v>2514</v>
      </c>
      <c r="C132" s="156"/>
      <c r="D132" s="131"/>
      <c r="E132" s="132"/>
      <c r="F132" s="51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2.75" customHeight="1">
      <c r="A133" s="162" t="s">
        <v>2515</v>
      </c>
      <c r="B133" s="157"/>
      <c r="C133" s="156"/>
      <c r="D133" s="131"/>
      <c r="E133" s="132"/>
      <c r="F133" s="476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75" customHeight="1">
      <c r="A134" s="160"/>
      <c r="B134" s="157"/>
      <c r="C134" s="156"/>
      <c r="D134" s="131"/>
      <c r="E134" s="132"/>
      <c r="F134" s="476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75" customHeight="1">
      <c r="A135" s="160" t="s">
        <v>382</v>
      </c>
      <c r="B135" s="157"/>
      <c r="C135" s="156"/>
      <c r="D135" s="131"/>
      <c r="E135" s="132"/>
      <c r="F135" s="141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.75" customHeight="1">
      <c r="A136" s="177"/>
      <c r="B136" s="178"/>
      <c r="C136" s="172">
        <f>SUM(C126:C135)</f>
        <v>10708</v>
      </c>
      <c r="D136" s="145">
        <f t="shared" ref="D136:E136" si="8">SUM(D124:D135)</f>
        <v>251193.883</v>
      </c>
      <c r="E136" s="146">
        <f t="shared" si="8"/>
        <v>262093.083</v>
      </c>
      <c r="F136" s="147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30.75" customHeight="1">
      <c r="A137" s="477" t="s">
        <v>2516</v>
      </c>
      <c r="B137" s="478"/>
      <c r="C137" s="370" t="s">
        <v>299</v>
      </c>
      <c r="D137" s="470" t="s">
        <v>300</v>
      </c>
      <c r="E137" s="471" t="s">
        <v>301</v>
      </c>
      <c r="F137" s="472" t="s">
        <v>11</v>
      </c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8.75" customHeight="1">
      <c r="A138" s="36" t="s">
        <v>2074</v>
      </c>
      <c r="B138" s="151"/>
      <c r="C138" s="152"/>
      <c r="D138" s="119"/>
      <c r="E138" s="120"/>
      <c r="F138" s="121" t="s">
        <v>13</v>
      </c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8.0" customHeight="1">
      <c r="A139" s="153" t="s">
        <v>303</v>
      </c>
      <c r="B139" s="49" t="s">
        <v>304</v>
      </c>
      <c r="C139" s="154"/>
      <c r="D139" s="125"/>
      <c r="E139" s="126"/>
      <c r="F139" s="127" t="s">
        <v>2378</v>
      </c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8.75" customHeight="1">
      <c r="A140" s="128" t="s">
        <v>308</v>
      </c>
      <c r="B140" s="129" t="s">
        <v>309</v>
      </c>
      <c r="C140" s="156">
        <v>5751.0</v>
      </c>
      <c r="D140" s="131">
        <v>143227.48</v>
      </c>
      <c r="E140" s="132">
        <v>149216.72</v>
      </c>
      <c r="F140" s="133" t="s">
        <v>2517</v>
      </c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2.75" customHeight="1">
      <c r="A141" s="169" t="s">
        <v>1086</v>
      </c>
      <c r="B141" s="129" t="s">
        <v>15</v>
      </c>
      <c r="C141" s="156">
        <v>5663.0</v>
      </c>
      <c r="D141" s="131">
        <v>136901.37</v>
      </c>
      <c r="E141" s="132">
        <v>142735.79</v>
      </c>
      <c r="F141" s="133" t="s">
        <v>2518</v>
      </c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.75" customHeight="1">
      <c r="A142" s="128" t="s">
        <v>1332</v>
      </c>
      <c r="B142" s="129" t="s">
        <v>1333</v>
      </c>
      <c r="C142" s="156">
        <v>1155.0</v>
      </c>
      <c r="D142" s="131">
        <v>25647.35</v>
      </c>
      <c r="E142" s="132">
        <v>26802.54</v>
      </c>
      <c r="F142" s="51" t="s">
        <v>2519</v>
      </c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.75" customHeight="1">
      <c r="A143" s="160"/>
      <c r="B143" s="157"/>
      <c r="C143" s="156"/>
      <c r="D143" s="131"/>
      <c r="E143" s="132"/>
      <c r="F143" s="127" t="s">
        <v>2520</v>
      </c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.75" customHeight="1">
      <c r="A144" s="162" t="s">
        <v>2521</v>
      </c>
      <c r="B144" s="158" t="s">
        <v>2522</v>
      </c>
      <c r="C144" s="156"/>
      <c r="D144" s="131"/>
      <c r="E144" s="132"/>
      <c r="F144" s="127" t="s">
        <v>2523</v>
      </c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.75" customHeight="1">
      <c r="A145" s="416" t="s">
        <v>2524</v>
      </c>
      <c r="B145" s="467" t="s">
        <v>2525</v>
      </c>
      <c r="C145" s="156"/>
      <c r="D145" s="131"/>
      <c r="E145" s="132"/>
      <c r="F145" s="475" t="s">
        <v>2526</v>
      </c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2.75" customHeight="1">
      <c r="A146" s="162" t="s">
        <v>2527</v>
      </c>
      <c r="B146" s="158" t="s">
        <v>2528</v>
      </c>
      <c r="C146" s="156"/>
      <c r="D146" s="131"/>
      <c r="E146" s="132"/>
      <c r="F146" s="475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75" customHeight="1">
      <c r="A147" s="162" t="s">
        <v>2529</v>
      </c>
      <c r="B147" s="158" t="s">
        <v>2530</v>
      </c>
      <c r="C147" s="156"/>
      <c r="D147" s="131"/>
      <c r="E147" s="132"/>
      <c r="F147" s="47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75" customHeight="1">
      <c r="A148" s="162" t="s">
        <v>2531</v>
      </c>
      <c r="B148" s="158" t="s">
        <v>2532</v>
      </c>
      <c r="C148" s="156"/>
      <c r="D148" s="131"/>
      <c r="E148" s="132"/>
      <c r="F148" s="476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2.75" customHeight="1">
      <c r="A149" s="162" t="s">
        <v>2533</v>
      </c>
      <c r="B149" s="157"/>
      <c r="C149" s="156"/>
      <c r="D149" s="131"/>
      <c r="E149" s="132"/>
      <c r="F149" s="476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2.75" customHeight="1">
      <c r="A150" s="160"/>
      <c r="B150" s="157"/>
      <c r="C150" s="156"/>
      <c r="D150" s="131"/>
      <c r="E150" s="132"/>
      <c r="F150" s="476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.75" customHeight="1">
      <c r="A151" s="160" t="s">
        <v>316</v>
      </c>
      <c r="B151" s="157"/>
      <c r="C151" s="156"/>
      <c r="D151" s="131"/>
      <c r="E151" s="132"/>
      <c r="F151" s="476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.75" customHeight="1">
      <c r="A152" s="177"/>
      <c r="B152" s="178"/>
      <c r="C152" s="172">
        <f>SUM(C140:C151)</f>
        <v>12569</v>
      </c>
      <c r="D152" s="145">
        <f t="shared" ref="D152:E152" si="9">SUM(D138:D151)</f>
        <v>305776.2</v>
      </c>
      <c r="E152" s="146">
        <f t="shared" si="9"/>
        <v>318755.05</v>
      </c>
      <c r="F152" s="147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31.5" customHeight="1">
      <c r="A153" s="479" t="s">
        <v>2534</v>
      </c>
      <c r="B153" s="469"/>
      <c r="C153" s="370" t="s">
        <v>299</v>
      </c>
      <c r="D153" s="470" t="s">
        <v>300</v>
      </c>
      <c r="E153" s="471" t="s">
        <v>301</v>
      </c>
      <c r="F153" s="472" t="s">
        <v>11</v>
      </c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8.75" customHeight="1">
      <c r="A154" s="36" t="s">
        <v>2091</v>
      </c>
      <c r="B154" s="151"/>
      <c r="C154" s="152"/>
      <c r="D154" s="119"/>
      <c r="E154" s="120"/>
      <c r="F154" s="121" t="s">
        <v>13</v>
      </c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8.0" customHeight="1">
      <c r="A155" s="153" t="s">
        <v>303</v>
      </c>
      <c r="B155" s="49" t="s">
        <v>304</v>
      </c>
      <c r="C155" s="154"/>
      <c r="D155" s="125"/>
      <c r="E155" s="126"/>
      <c r="F155" s="127" t="s">
        <v>2378</v>
      </c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8.75" customHeight="1">
      <c r="A156" s="128" t="s">
        <v>308</v>
      </c>
      <c r="B156" s="129" t="s">
        <v>309</v>
      </c>
      <c r="C156" s="130">
        <v>8409.0</v>
      </c>
      <c r="D156" s="131">
        <v>210961.74</v>
      </c>
      <c r="E156" s="132">
        <v>219718.14</v>
      </c>
      <c r="F156" s="133" t="s">
        <v>2535</v>
      </c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.75" customHeight="1">
      <c r="A157" s="169" t="s">
        <v>1086</v>
      </c>
      <c r="B157" s="129" t="s">
        <v>15</v>
      </c>
      <c r="C157" s="130">
        <v>8732.0</v>
      </c>
      <c r="D157" s="131">
        <v>210462.317</v>
      </c>
      <c r="E157" s="132">
        <v>219449.107</v>
      </c>
      <c r="F157" s="133" t="s">
        <v>2536</v>
      </c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.75" customHeight="1">
      <c r="A158" s="42" t="s">
        <v>2381</v>
      </c>
      <c r="B158" s="129" t="s">
        <v>1226</v>
      </c>
      <c r="C158" s="130">
        <v>3425.0</v>
      </c>
      <c r="D158" s="131">
        <v>85159.0</v>
      </c>
      <c r="E158" s="132">
        <v>88723.87</v>
      </c>
      <c r="F158" s="51" t="s">
        <v>2537</v>
      </c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2.75" customHeight="1">
      <c r="A159" s="128" t="s">
        <v>1332</v>
      </c>
      <c r="B159" s="129" t="s">
        <v>1333</v>
      </c>
      <c r="C159" s="130">
        <v>7415.0</v>
      </c>
      <c r="D159" s="131">
        <v>157841.24</v>
      </c>
      <c r="E159" s="132">
        <v>165153.13</v>
      </c>
      <c r="F159" s="127" t="s">
        <v>2538</v>
      </c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.75" customHeight="1">
      <c r="A160" s="162"/>
      <c r="B160" s="158"/>
      <c r="C160" s="156"/>
      <c r="D160" s="131"/>
      <c r="E160" s="132"/>
      <c r="F160" s="127" t="s">
        <v>2539</v>
      </c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.75" customHeight="1">
      <c r="A161" s="162" t="s">
        <v>2540</v>
      </c>
      <c r="B161" s="158" t="s">
        <v>2541</v>
      </c>
      <c r="C161" s="156"/>
      <c r="D161" s="131"/>
      <c r="E161" s="132"/>
      <c r="F161" s="512" t="s">
        <v>2542</v>
      </c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75" customHeight="1">
      <c r="A162" s="162" t="s">
        <v>2543</v>
      </c>
      <c r="B162" s="158" t="s">
        <v>2544</v>
      </c>
      <c r="C162" s="156"/>
      <c r="D162" s="131"/>
      <c r="E162" s="132"/>
      <c r="F162" s="523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.75" customHeight="1">
      <c r="A163" s="162" t="s">
        <v>2545</v>
      </c>
      <c r="B163" s="158" t="s">
        <v>2546</v>
      </c>
      <c r="C163" s="156"/>
      <c r="D163" s="131"/>
      <c r="E163" s="132"/>
      <c r="F163" s="523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75" customHeight="1">
      <c r="A164" s="162" t="s">
        <v>2547</v>
      </c>
      <c r="B164" s="158" t="s">
        <v>2548</v>
      </c>
      <c r="C164" s="156"/>
      <c r="D164" s="131"/>
      <c r="E164" s="132"/>
      <c r="F164" s="523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75" customHeight="1">
      <c r="A165" s="162" t="s">
        <v>2549</v>
      </c>
      <c r="B165" s="158" t="s">
        <v>2550</v>
      </c>
      <c r="C165" s="156"/>
      <c r="D165" s="131"/>
      <c r="E165" s="132"/>
      <c r="F165" s="475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75" customHeight="1">
      <c r="A166" s="162" t="s">
        <v>2551</v>
      </c>
      <c r="B166" s="158" t="s">
        <v>2552</v>
      </c>
      <c r="C166" s="156"/>
      <c r="D166" s="131"/>
      <c r="E166" s="132"/>
      <c r="F166" s="47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.75" customHeight="1">
      <c r="A167" s="162" t="s">
        <v>2553</v>
      </c>
      <c r="B167" s="467" t="s">
        <v>2554</v>
      </c>
      <c r="C167" s="156"/>
      <c r="D167" s="131"/>
      <c r="E167" s="132"/>
      <c r="F167" s="47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75" customHeight="1">
      <c r="A168" s="162" t="s">
        <v>2555</v>
      </c>
      <c r="B168" s="158" t="s">
        <v>2556</v>
      </c>
      <c r="C168" s="156"/>
      <c r="D168" s="131"/>
      <c r="E168" s="132"/>
      <c r="F168" s="47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75" customHeight="1">
      <c r="A169" s="162" t="s">
        <v>2557</v>
      </c>
      <c r="B169" s="158" t="s">
        <v>2558</v>
      </c>
      <c r="C169" s="156"/>
      <c r="D169" s="131"/>
      <c r="E169" s="132"/>
      <c r="F169" s="47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75" customHeight="1">
      <c r="A170" s="162" t="s">
        <v>2559</v>
      </c>
      <c r="B170" s="158" t="s">
        <v>2560</v>
      </c>
      <c r="C170" s="156"/>
      <c r="D170" s="131"/>
      <c r="E170" s="132"/>
      <c r="F170" s="47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75" customHeight="1">
      <c r="A171" s="162" t="s">
        <v>2561</v>
      </c>
      <c r="B171" s="158" t="s">
        <v>2562</v>
      </c>
      <c r="C171" s="156"/>
      <c r="D171" s="131"/>
      <c r="E171" s="132"/>
      <c r="F171" s="47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75" customHeight="1">
      <c r="A172" s="162" t="s">
        <v>2563</v>
      </c>
      <c r="B172" s="158" t="s">
        <v>2564</v>
      </c>
      <c r="C172" s="156"/>
      <c r="D172" s="131"/>
      <c r="E172" s="132"/>
      <c r="F172" s="47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75" customHeight="1">
      <c r="A173" s="162"/>
      <c r="B173" s="158"/>
      <c r="C173" s="156"/>
      <c r="D173" s="131"/>
      <c r="E173" s="132"/>
      <c r="F173" s="47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75" customHeight="1">
      <c r="A174" s="160" t="s">
        <v>382</v>
      </c>
      <c r="B174" s="157"/>
      <c r="C174" s="156"/>
      <c r="D174" s="131"/>
      <c r="E174" s="132"/>
      <c r="F174" s="476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75" customHeight="1">
      <c r="A175" s="164"/>
      <c r="B175" s="178"/>
      <c r="C175" s="172">
        <f t="shared" ref="C175:E175" si="10">SUM(C154:C174)</f>
        <v>27981</v>
      </c>
      <c r="D175" s="145">
        <f t="shared" si="10"/>
        <v>664424.297</v>
      </c>
      <c r="E175" s="146">
        <f t="shared" si="10"/>
        <v>693044.247</v>
      </c>
      <c r="F175" s="480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29.25" customHeight="1">
      <c r="A176" s="479" t="s">
        <v>2565</v>
      </c>
      <c r="B176" s="469"/>
      <c r="C176" s="370" t="s">
        <v>299</v>
      </c>
      <c r="D176" s="470" t="s">
        <v>300</v>
      </c>
      <c r="E176" s="471" t="s">
        <v>301</v>
      </c>
      <c r="F176" s="472" t="s">
        <v>11</v>
      </c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75" customHeight="1">
      <c r="A177" s="36" t="s">
        <v>2108</v>
      </c>
      <c r="B177" s="481"/>
      <c r="C177" s="482"/>
      <c r="D177" s="483"/>
      <c r="E177" s="484"/>
      <c r="F177" s="121" t="s">
        <v>13</v>
      </c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75" customHeight="1">
      <c r="A178" s="153" t="s">
        <v>303</v>
      </c>
      <c r="B178" s="123" t="s">
        <v>304</v>
      </c>
      <c r="C178" s="204"/>
      <c r="D178" s="125"/>
      <c r="E178" s="126"/>
      <c r="F178" s="127" t="s">
        <v>2378</v>
      </c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75" customHeight="1">
      <c r="A179" s="42" t="s">
        <v>308</v>
      </c>
      <c r="B179" s="129" t="s">
        <v>309</v>
      </c>
      <c r="C179" s="130">
        <v>657.0</v>
      </c>
      <c r="D179" s="131">
        <v>14730.43</v>
      </c>
      <c r="E179" s="132">
        <v>15396.38</v>
      </c>
      <c r="F179" s="133" t="s">
        <v>2566</v>
      </c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75" customHeight="1">
      <c r="A180" s="42" t="s">
        <v>1086</v>
      </c>
      <c r="B180" s="129" t="s">
        <v>15</v>
      </c>
      <c r="C180" s="130">
        <v>4071.0</v>
      </c>
      <c r="D180" s="131">
        <v>91098.18</v>
      </c>
      <c r="E180" s="132">
        <v>95222.46</v>
      </c>
      <c r="F180" s="133" t="s">
        <v>2567</v>
      </c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75" customHeight="1">
      <c r="A181" s="42" t="s">
        <v>2381</v>
      </c>
      <c r="B181" s="129" t="s">
        <v>1226</v>
      </c>
      <c r="C181" s="130">
        <v>3583.0</v>
      </c>
      <c r="D181" s="131">
        <v>80570.89</v>
      </c>
      <c r="E181" s="132">
        <v>84206.81</v>
      </c>
      <c r="F181" s="51" t="s">
        <v>2568</v>
      </c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75" customHeight="1">
      <c r="A182" s="162"/>
      <c r="B182" s="134"/>
      <c r="C182" s="156"/>
      <c r="D182" s="131"/>
      <c r="E182" s="132"/>
      <c r="F182" s="127" t="s">
        <v>2569</v>
      </c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75" customHeight="1">
      <c r="A183" s="162" t="s">
        <v>2570</v>
      </c>
      <c r="B183" s="158" t="s">
        <v>2571</v>
      </c>
      <c r="C183" s="130"/>
      <c r="D183" s="131"/>
      <c r="E183" s="132"/>
      <c r="F183" s="127" t="s">
        <v>2572</v>
      </c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75" customHeight="1">
      <c r="A184" s="162" t="s">
        <v>2573</v>
      </c>
      <c r="B184" s="467" t="s">
        <v>2574</v>
      </c>
      <c r="C184" s="130"/>
      <c r="D184" s="131"/>
      <c r="E184" s="132"/>
      <c r="F184" s="524" t="s">
        <v>2575</v>
      </c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75" customHeight="1">
      <c r="A185" s="162" t="s">
        <v>2576</v>
      </c>
      <c r="B185" s="158" t="s">
        <v>2577</v>
      </c>
      <c r="C185" s="130"/>
      <c r="D185" s="131"/>
      <c r="E185" s="132"/>
      <c r="F185" s="52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75" customHeight="1">
      <c r="A186" s="162" t="s">
        <v>2578</v>
      </c>
      <c r="B186" s="134"/>
      <c r="C186" s="130"/>
      <c r="D186" s="131"/>
      <c r="E186" s="132"/>
      <c r="F186" s="248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75" customHeight="1">
      <c r="A187" s="160"/>
      <c r="B187" s="134"/>
      <c r="C187" s="130"/>
      <c r="D187" s="131"/>
      <c r="E187" s="132"/>
      <c r="F187" s="248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75" customHeight="1">
      <c r="A188" s="160" t="s">
        <v>382</v>
      </c>
      <c r="B188" s="134"/>
      <c r="C188" s="130"/>
      <c r="D188" s="131"/>
      <c r="E188" s="132"/>
      <c r="F188" s="248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75" customHeight="1">
      <c r="A189" s="177"/>
      <c r="B189" s="485"/>
      <c r="C189" s="172">
        <f t="shared" ref="C189:E189" si="11">SUM(C177:C188)</f>
        <v>8311</v>
      </c>
      <c r="D189" s="145">
        <f t="shared" si="11"/>
        <v>186399.5</v>
      </c>
      <c r="E189" s="146">
        <f t="shared" si="11"/>
        <v>194825.65</v>
      </c>
      <c r="F189" s="251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30.75" customHeight="1">
      <c r="A190" s="479" t="s">
        <v>2579</v>
      </c>
      <c r="B190" s="469"/>
      <c r="C190" s="112" t="s">
        <v>299</v>
      </c>
      <c r="D190" s="113" t="s">
        <v>300</v>
      </c>
      <c r="E190" s="114" t="s">
        <v>301</v>
      </c>
      <c r="F190" s="238" t="s">
        <v>11</v>
      </c>
      <c r="G190" s="52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36" t="s">
        <v>2580</v>
      </c>
      <c r="B191" s="151"/>
      <c r="C191" s="152"/>
      <c r="D191" s="119"/>
      <c r="E191" s="346"/>
      <c r="F191" s="121" t="s">
        <v>13</v>
      </c>
      <c r="G191" s="52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75" customHeight="1">
      <c r="A192" s="153" t="s">
        <v>303</v>
      </c>
      <c r="B192" s="49" t="s">
        <v>304</v>
      </c>
      <c r="C192" s="154"/>
      <c r="D192" s="125"/>
      <c r="E192" s="243"/>
      <c r="F192" s="127" t="s">
        <v>2378</v>
      </c>
      <c r="G192" s="52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75" customHeight="1">
      <c r="A193" s="42" t="s">
        <v>308</v>
      </c>
      <c r="B193" s="129" t="s">
        <v>309</v>
      </c>
      <c r="C193" s="156">
        <v>7374.0</v>
      </c>
      <c r="D193" s="131">
        <v>182162.38</v>
      </c>
      <c r="E193" s="246">
        <v>189443.0</v>
      </c>
      <c r="F193" s="133" t="s">
        <v>2581</v>
      </c>
      <c r="G193" s="52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75" customHeight="1">
      <c r="A194" s="42" t="s">
        <v>1086</v>
      </c>
      <c r="B194" s="129" t="s">
        <v>15</v>
      </c>
      <c r="C194" s="156">
        <v>8322.0</v>
      </c>
      <c r="D194" s="131">
        <v>210343.13</v>
      </c>
      <c r="E194" s="246">
        <v>218633.11</v>
      </c>
      <c r="F194" s="133" t="s">
        <v>2582</v>
      </c>
      <c r="G194" s="52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75" customHeight="1">
      <c r="A195" s="162"/>
      <c r="B195" s="158"/>
      <c r="C195" s="156"/>
      <c r="D195" s="131"/>
      <c r="E195" s="246"/>
      <c r="F195" s="51" t="s">
        <v>2583</v>
      </c>
      <c r="G195" s="52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0" customHeight="1">
      <c r="A196" s="162" t="s">
        <v>2584</v>
      </c>
      <c r="B196" s="467" t="s">
        <v>2585</v>
      </c>
      <c r="C196" s="156"/>
      <c r="D196" s="131"/>
      <c r="E196" s="246"/>
      <c r="F196" s="127" t="s">
        <v>2586</v>
      </c>
      <c r="G196" s="52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7.25" customHeight="1">
      <c r="A197" s="162" t="s">
        <v>2587</v>
      </c>
      <c r="B197" s="158" t="s">
        <v>2588</v>
      </c>
      <c r="C197" s="156"/>
      <c r="D197" s="131"/>
      <c r="E197" s="246"/>
      <c r="F197" s="127" t="s">
        <v>2589</v>
      </c>
      <c r="G197" s="52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8.0" customHeight="1">
      <c r="A198" s="162" t="s">
        <v>2590</v>
      </c>
      <c r="B198" s="158" t="s">
        <v>2591</v>
      </c>
      <c r="C198" s="193"/>
      <c r="D198" s="139"/>
      <c r="E198" s="253"/>
      <c r="F198" s="524" t="s">
        <v>2592</v>
      </c>
      <c r="G198" s="52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6.5" customHeight="1">
      <c r="A199" s="162" t="s">
        <v>2593</v>
      </c>
      <c r="B199" s="158" t="s">
        <v>2594</v>
      </c>
      <c r="C199" s="193"/>
      <c r="D199" s="139"/>
      <c r="E199" s="253"/>
      <c r="F199" s="524"/>
      <c r="G199" s="52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8.75" customHeight="1">
      <c r="A200" s="162" t="s">
        <v>2595</v>
      </c>
      <c r="B200" s="158" t="s">
        <v>2596</v>
      </c>
      <c r="C200" s="193"/>
      <c r="D200" s="139"/>
      <c r="E200" s="253"/>
      <c r="F200" s="248"/>
      <c r="G200" s="52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8.75" customHeight="1">
      <c r="A201" s="162" t="s">
        <v>2597</v>
      </c>
      <c r="B201" s="158" t="s">
        <v>2598</v>
      </c>
      <c r="C201" s="193"/>
      <c r="D201" s="139"/>
      <c r="E201" s="253"/>
      <c r="F201" s="248"/>
      <c r="G201" s="52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8.75" customHeight="1">
      <c r="A202" s="162" t="s">
        <v>2599</v>
      </c>
      <c r="B202" s="158" t="s">
        <v>2600</v>
      </c>
      <c r="C202" s="193"/>
      <c r="D202" s="139"/>
      <c r="E202" s="253"/>
      <c r="F202" s="248"/>
      <c r="G202" s="52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8.75" customHeight="1">
      <c r="A203" s="162"/>
      <c r="B203" s="158"/>
      <c r="C203" s="193"/>
      <c r="D203" s="139"/>
      <c r="E203" s="253"/>
      <c r="F203" s="248"/>
      <c r="G203" s="52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8.75" customHeight="1">
      <c r="A204" s="160" t="s">
        <v>2464</v>
      </c>
      <c r="B204" s="157"/>
      <c r="C204" s="193"/>
      <c r="D204" s="139"/>
      <c r="E204" s="253"/>
      <c r="F204" s="248"/>
      <c r="G204" s="52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24.0" customHeight="1">
      <c r="A205" s="177"/>
      <c r="B205" s="178"/>
      <c r="C205" s="166">
        <f t="shared" ref="C205:D205" si="12">SUM(C191:C198)</f>
        <v>15696</v>
      </c>
      <c r="D205" s="145">
        <f t="shared" si="12"/>
        <v>392505.51</v>
      </c>
      <c r="E205" s="250">
        <f>SUM(E191:E204)</f>
        <v>408076.11</v>
      </c>
      <c r="F205" s="251"/>
      <c r="G205" s="52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30.0" customHeight="1">
      <c r="A206" s="479" t="s">
        <v>2601</v>
      </c>
      <c r="B206" s="469"/>
      <c r="C206" s="112" t="s">
        <v>299</v>
      </c>
      <c r="D206" s="113" t="s">
        <v>300</v>
      </c>
      <c r="E206" s="114" t="s">
        <v>301</v>
      </c>
      <c r="F206" s="150" t="s">
        <v>11</v>
      </c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75" customHeight="1">
      <c r="A207" s="36" t="s">
        <v>2580</v>
      </c>
      <c r="B207" s="151"/>
      <c r="C207" s="152"/>
      <c r="D207" s="119"/>
      <c r="E207" s="346"/>
      <c r="F207" s="121" t="s">
        <v>13</v>
      </c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75" customHeight="1">
      <c r="A208" s="153" t="s">
        <v>303</v>
      </c>
      <c r="B208" s="49" t="s">
        <v>304</v>
      </c>
      <c r="C208" s="154"/>
      <c r="D208" s="125"/>
      <c r="E208" s="243"/>
      <c r="F208" s="127" t="s">
        <v>2378</v>
      </c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75" customHeight="1">
      <c r="A209" s="42" t="s">
        <v>308</v>
      </c>
      <c r="B209" s="129" t="s">
        <v>309</v>
      </c>
      <c r="C209" s="156">
        <v>4289.0</v>
      </c>
      <c r="D209" s="131">
        <v>106571.82</v>
      </c>
      <c r="E209" s="246">
        <v>112852.4</v>
      </c>
      <c r="F209" s="133" t="s">
        <v>2602</v>
      </c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75" customHeight="1">
      <c r="A210" s="42" t="s">
        <v>1086</v>
      </c>
      <c r="B210" s="129" t="s">
        <v>15</v>
      </c>
      <c r="C210" s="156">
        <v>217.0</v>
      </c>
      <c r="D210" s="131">
        <v>5723.42</v>
      </c>
      <c r="E210" s="246">
        <v>6052.44</v>
      </c>
      <c r="F210" s="133" t="s">
        <v>2603</v>
      </c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0.5" customHeight="1">
      <c r="A211" s="162"/>
      <c r="B211" s="158"/>
      <c r="C211" s="156"/>
      <c r="D211" s="131"/>
      <c r="E211" s="132"/>
      <c r="F211" s="51" t="s">
        <v>2604</v>
      </c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75" customHeight="1">
      <c r="A212" s="162" t="s">
        <v>2605</v>
      </c>
      <c r="B212" s="158" t="s">
        <v>2606</v>
      </c>
      <c r="C212" s="156"/>
      <c r="D212" s="131"/>
      <c r="E212" s="132"/>
      <c r="F212" s="127" t="s">
        <v>2506</v>
      </c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0.5" customHeight="1">
      <c r="A213" s="162" t="s">
        <v>2607</v>
      </c>
      <c r="B213" s="158" t="s">
        <v>2608</v>
      </c>
      <c r="C213" s="156"/>
      <c r="D213" s="131"/>
      <c r="E213" s="132"/>
      <c r="F213" s="127" t="s">
        <v>2609</v>
      </c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3.5" customHeight="1">
      <c r="A214" s="162"/>
      <c r="B214" s="158"/>
      <c r="C214" s="156"/>
      <c r="D214" s="131"/>
      <c r="E214" s="132"/>
      <c r="F214" s="512" t="s">
        <v>2610</v>
      </c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6.5" customHeight="1">
      <c r="A215" s="160" t="s">
        <v>2464</v>
      </c>
      <c r="B215" s="157"/>
      <c r="C215" s="193"/>
      <c r="D215" s="139"/>
      <c r="E215" s="140"/>
      <c r="F215" s="512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6.5" customHeight="1">
      <c r="A216" s="486"/>
      <c r="B216" s="178"/>
      <c r="C216" s="172">
        <f t="shared" ref="C216:E216" si="13">SUM(C207:C214)</f>
        <v>4506</v>
      </c>
      <c r="D216" s="145">
        <f t="shared" si="13"/>
        <v>112295.24</v>
      </c>
      <c r="E216" s="146">
        <f t="shared" si="13"/>
        <v>118904.84</v>
      </c>
      <c r="F216" s="147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75" customHeight="1">
      <c r="A217" s="487"/>
      <c r="B217" s="488"/>
      <c r="C217" s="489"/>
      <c r="D217" s="490"/>
      <c r="E217" s="490"/>
      <c r="F217" s="491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75" customHeight="1">
      <c r="A218" s="492"/>
      <c r="B218" s="493"/>
      <c r="C218" s="494" t="s">
        <v>292</v>
      </c>
      <c r="D218" s="495" t="s">
        <v>292</v>
      </c>
      <c r="E218" s="496" t="s">
        <v>292</v>
      </c>
      <c r="F218" s="497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75" customHeight="1">
      <c r="A219" s="498"/>
      <c r="B219" s="499"/>
      <c r="C219" s="274">
        <f t="shared" ref="C219:E219" si="14">SUM(C26+C51+C61+C80+C90+C112+C122+C136+C152+C175+C189+C205+C216)</f>
        <v>160319</v>
      </c>
      <c r="D219" s="275">
        <f t="shared" si="14"/>
        <v>3975749.204</v>
      </c>
      <c r="E219" s="275">
        <f t="shared" si="14"/>
        <v>4143884.254</v>
      </c>
      <c r="F219" s="500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75" customHeight="1">
      <c r="A220" s="4"/>
      <c r="B220" s="101"/>
      <c r="C220" s="4"/>
      <c r="D220" s="102"/>
      <c r="E220" s="103"/>
      <c r="F220" s="10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2.75" customHeight="1">
      <c r="A221" s="4"/>
      <c r="B221" s="101"/>
      <c r="C221" s="4"/>
      <c r="D221" s="102"/>
      <c r="E221" s="103"/>
      <c r="F221" s="10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2.75" customHeight="1">
      <c r="A222" s="4"/>
      <c r="B222" s="101"/>
      <c r="C222" s="4"/>
      <c r="D222" s="102"/>
      <c r="E222" s="103"/>
      <c r="F222" s="10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2.75" customHeight="1">
      <c r="A223" s="4"/>
      <c r="B223" s="101"/>
      <c r="C223" s="4"/>
      <c r="D223" s="102"/>
      <c r="E223" s="103"/>
      <c r="F223" s="10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2.75" customHeight="1">
      <c r="A224" s="4"/>
      <c r="B224" s="101"/>
      <c r="C224" s="4"/>
      <c r="D224" s="102"/>
      <c r="E224" s="103"/>
      <c r="F224" s="10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2.75" customHeight="1">
      <c r="A225" s="4"/>
      <c r="B225" s="101"/>
      <c r="C225" s="4"/>
      <c r="D225" s="102"/>
      <c r="E225" s="103"/>
      <c r="F225" s="10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2.75" customHeight="1">
      <c r="A226" s="4"/>
      <c r="B226" s="101"/>
      <c r="C226" s="4"/>
      <c r="D226" s="102"/>
      <c r="E226" s="103"/>
      <c r="F226" s="10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2.75" customHeight="1">
      <c r="A227" s="4"/>
      <c r="B227" s="101"/>
      <c r="C227" s="4"/>
      <c r="D227" s="102"/>
      <c r="E227" s="103"/>
      <c r="F227" s="10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2.75" customHeight="1">
      <c r="A228" s="4"/>
      <c r="B228" s="101"/>
      <c r="C228" s="4"/>
      <c r="D228" s="102"/>
      <c r="E228" s="103"/>
      <c r="F228" s="10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2.75" customHeight="1">
      <c r="A229" s="4"/>
      <c r="B229" s="101"/>
      <c r="C229" s="4"/>
      <c r="D229" s="102"/>
      <c r="E229" s="103"/>
      <c r="F229" s="10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2.75" customHeight="1">
      <c r="A230" s="4"/>
      <c r="B230" s="101"/>
      <c r="C230" s="4"/>
      <c r="D230" s="102"/>
      <c r="E230" s="103"/>
      <c r="F230" s="10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2.75" customHeight="1">
      <c r="A231" s="4"/>
      <c r="B231" s="101"/>
      <c r="C231" s="4"/>
      <c r="D231" s="102"/>
      <c r="E231" s="103"/>
      <c r="F231" s="10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2.75" customHeight="1">
      <c r="A232" s="4"/>
      <c r="B232" s="101"/>
      <c r="C232" s="4"/>
      <c r="D232" s="102"/>
      <c r="E232" s="103"/>
      <c r="F232" s="10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2.75" customHeight="1">
      <c r="A233" s="4"/>
      <c r="B233" s="101"/>
      <c r="C233" s="4"/>
      <c r="D233" s="102"/>
      <c r="E233" s="103"/>
      <c r="F233" s="10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2.75" customHeight="1">
      <c r="A234" s="4"/>
      <c r="B234" s="101"/>
      <c r="C234" s="4"/>
      <c r="D234" s="102"/>
      <c r="E234" s="103"/>
      <c r="F234" s="10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2.75" customHeight="1">
      <c r="A235" s="4"/>
      <c r="B235" s="101"/>
      <c r="C235" s="4"/>
      <c r="D235" s="102"/>
      <c r="E235" s="103"/>
      <c r="F235" s="10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2.75" customHeight="1">
      <c r="A236" s="4"/>
      <c r="B236" s="101"/>
      <c r="C236" s="4"/>
      <c r="D236" s="102"/>
      <c r="E236" s="103"/>
      <c r="F236" s="10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2.75" customHeight="1">
      <c r="A237" s="4"/>
      <c r="B237" s="101"/>
      <c r="C237" s="4"/>
      <c r="D237" s="102"/>
      <c r="E237" s="103"/>
      <c r="F237" s="10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2.75" customHeight="1">
      <c r="A238" s="4"/>
      <c r="B238" s="101"/>
      <c r="C238" s="4"/>
      <c r="D238" s="102"/>
      <c r="E238" s="103"/>
      <c r="F238" s="10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2.75" customHeight="1">
      <c r="A239" s="4"/>
      <c r="B239" s="101"/>
      <c r="C239" s="4"/>
      <c r="D239" s="102"/>
      <c r="E239" s="103"/>
      <c r="F239" s="10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2.75" customHeight="1">
      <c r="A240" s="4"/>
      <c r="B240" s="101"/>
      <c r="C240" s="4"/>
      <c r="D240" s="102"/>
      <c r="E240" s="103"/>
      <c r="F240" s="10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2.75" customHeight="1">
      <c r="A241" s="4"/>
      <c r="B241" s="101"/>
      <c r="C241" s="4"/>
      <c r="D241" s="102"/>
      <c r="E241" s="103"/>
      <c r="F241" s="10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2.75" customHeight="1">
      <c r="A242" s="4"/>
      <c r="B242" s="101"/>
      <c r="C242" s="4"/>
      <c r="D242" s="102"/>
      <c r="E242" s="103"/>
      <c r="F242" s="10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2.75" customHeight="1">
      <c r="A243" s="4"/>
      <c r="B243" s="101"/>
      <c r="C243" s="4"/>
      <c r="D243" s="102"/>
      <c r="E243" s="103"/>
      <c r="F243" s="10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2.75" customHeight="1">
      <c r="A244" s="4"/>
      <c r="B244" s="101"/>
      <c r="C244" s="4"/>
      <c r="D244" s="102"/>
      <c r="E244" s="103"/>
      <c r="F244" s="10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2.75" customHeight="1">
      <c r="A245" s="4"/>
      <c r="B245" s="101"/>
      <c r="C245" s="4"/>
      <c r="D245" s="102"/>
      <c r="E245" s="103"/>
      <c r="F245" s="10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2.75" customHeight="1">
      <c r="A246" s="4"/>
      <c r="B246" s="101"/>
      <c r="C246" s="4"/>
      <c r="D246" s="102"/>
      <c r="E246" s="103"/>
      <c r="F246" s="10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2.75" customHeight="1">
      <c r="A247" s="4"/>
      <c r="B247" s="101"/>
      <c r="C247" s="4"/>
      <c r="D247" s="102"/>
      <c r="E247" s="103"/>
      <c r="F247" s="10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2.75" customHeight="1">
      <c r="A248" s="4"/>
      <c r="B248" s="101"/>
      <c r="C248" s="4"/>
      <c r="D248" s="102"/>
      <c r="E248" s="103"/>
      <c r="F248" s="10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2.75" customHeight="1">
      <c r="A249" s="4"/>
      <c r="B249" s="101"/>
      <c r="C249" s="4"/>
      <c r="D249" s="102"/>
      <c r="E249" s="103"/>
      <c r="F249" s="10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2.75" customHeight="1">
      <c r="A250" s="4"/>
      <c r="B250" s="101"/>
      <c r="C250" s="4"/>
      <c r="D250" s="102"/>
      <c r="E250" s="103"/>
      <c r="F250" s="10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2.75" customHeight="1">
      <c r="A251" s="4"/>
      <c r="B251" s="101"/>
      <c r="C251" s="4"/>
      <c r="D251" s="102"/>
      <c r="E251" s="103"/>
      <c r="F251" s="10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2.75" customHeight="1">
      <c r="A252" s="4"/>
      <c r="B252" s="101"/>
      <c r="C252" s="4"/>
      <c r="D252" s="102"/>
      <c r="E252" s="103"/>
      <c r="F252" s="10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2.75" customHeight="1">
      <c r="A253" s="4"/>
      <c r="B253" s="101"/>
      <c r="C253" s="4"/>
      <c r="D253" s="102"/>
      <c r="E253" s="103"/>
      <c r="F253" s="10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2.75" customHeight="1">
      <c r="A254" s="4"/>
      <c r="B254" s="101"/>
      <c r="C254" s="4"/>
      <c r="D254" s="102"/>
      <c r="E254" s="103"/>
      <c r="F254" s="10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2.75" customHeight="1">
      <c r="A255" s="4"/>
      <c r="B255" s="101"/>
      <c r="C255" s="4"/>
      <c r="D255" s="102"/>
      <c r="E255" s="103"/>
      <c r="F255" s="10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2.75" customHeight="1">
      <c r="A256" s="4"/>
      <c r="B256" s="101"/>
      <c r="C256" s="4"/>
      <c r="D256" s="102"/>
      <c r="E256" s="103"/>
      <c r="F256" s="10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2.75" customHeight="1">
      <c r="A257" s="4"/>
      <c r="B257" s="101"/>
      <c r="C257" s="4"/>
      <c r="D257" s="102"/>
      <c r="E257" s="103"/>
      <c r="F257" s="10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2.75" customHeight="1">
      <c r="A258" s="4"/>
      <c r="B258" s="101"/>
      <c r="C258" s="4"/>
      <c r="D258" s="102"/>
      <c r="E258" s="103"/>
      <c r="F258" s="10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2.75" customHeight="1">
      <c r="A259" s="4"/>
      <c r="B259" s="101"/>
      <c r="C259" s="4"/>
      <c r="D259" s="102"/>
      <c r="E259" s="103"/>
      <c r="F259" s="10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2.75" customHeight="1">
      <c r="A260" s="4"/>
      <c r="B260" s="101"/>
      <c r="C260" s="4"/>
      <c r="D260" s="102"/>
      <c r="E260" s="103"/>
      <c r="F260" s="10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2.75" customHeight="1">
      <c r="A261" s="4"/>
      <c r="B261" s="101"/>
      <c r="C261" s="4"/>
      <c r="D261" s="102"/>
      <c r="E261" s="103"/>
      <c r="F261" s="10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2.75" customHeight="1">
      <c r="A262" s="4"/>
      <c r="B262" s="101"/>
      <c r="C262" s="4"/>
      <c r="D262" s="102"/>
      <c r="E262" s="103"/>
      <c r="F262" s="10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2.75" customHeight="1">
      <c r="A263" s="4"/>
      <c r="B263" s="101"/>
      <c r="C263" s="4"/>
      <c r="D263" s="102"/>
      <c r="E263" s="103"/>
      <c r="F263" s="10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2.75" customHeight="1">
      <c r="A264" s="4"/>
      <c r="B264" s="101"/>
      <c r="C264" s="4"/>
      <c r="D264" s="102"/>
      <c r="E264" s="103"/>
      <c r="F264" s="10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2.75" customHeight="1">
      <c r="A265" s="4"/>
      <c r="B265" s="101"/>
      <c r="C265" s="4"/>
      <c r="D265" s="102"/>
      <c r="E265" s="103"/>
      <c r="F265" s="10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2.75" customHeight="1">
      <c r="A266" s="4"/>
      <c r="B266" s="101"/>
      <c r="C266" s="4"/>
      <c r="D266" s="102"/>
      <c r="E266" s="103"/>
      <c r="F266" s="10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2.75" customHeight="1">
      <c r="A267" s="4"/>
      <c r="B267" s="101"/>
      <c r="C267" s="4"/>
      <c r="D267" s="102"/>
      <c r="E267" s="103"/>
      <c r="F267" s="10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2.75" customHeight="1">
      <c r="A268" s="4"/>
      <c r="B268" s="101"/>
      <c r="C268" s="4"/>
      <c r="D268" s="102"/>
      <c r="E268" s="103"/>
      <c r="F268" s="10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2.75" customHeight="1">
      <c r="A269" s="4"/>
      <c r="B269" s="101"/>
      <c r="C269" s="4"/>
      <c r="D269" s="102"/>
      <c r="E269" s="103"/>
      <c r="F269" s="10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2.75" customHeight="1">
      <c r="A270" s="4"/>
      <c r="B270" s="101"/>
      <c r="C270" s="4"/>
      <c r="D270" s="102"/>
      <c r="E270" s="103"/>
      <c r="F270" s="10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2.75" customHeight="1">
      <c r="A271" s="4"/>
      <c r="B271" s="101"/>
      <c r="C271" s="4"/>
      <c r="D271" s="102"/>
      <c r="E271" s="103"/>
      <c r="F271" s="10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2.75" customHeight="1">
      <c r="A272" s="4"/>
      <c r="B272" s="101"/>
      <c r="C272" s="4"/>
      <c r="D272" s="102"/>
      <c r="E272" s="103"/>
      <c r="F272" s="10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2.75" customHeight="1">
      <c r="A273" s="4"/>
      <c r="B273" s="101"/>
      <c r="C273" s="4"/>
      <c r="D273" s="102"/>
      <c r="E273" s="103"/>
      <c r="F273" s="10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2.75" customHeight="1">
      <c r="A274" s="4"/>
      <c r="B274" s="101"/>
      <c r="C274" s="4"/>
      <c r="D274" s="102"/>
      <c r="E274" s="103"/>
      <c r="F274" s="10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2.75" customHeight="1">
      <c r="A275" s="4"/>
      <c r="B275" s="101"/>
      <c r="C275" s="4"/>
      <c r="D275" s="102"/>
      <c r="E275" s="103"/>
      <c r="F275" s="10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2.75" customHeight="1">
      <c r="A276" s="4"/>
      <c r="B276" s="101"/>
      <c r="C276" s="4"/>
      <c r="D276" s="102"/>
      <c r="E276" s="103"/>
      <c r="F276" s="10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2.75" customHeight="1">
      <c r="A277" s="4"/>
      <c r="B277" s="101"/>
      <c r="C277" s="4"/>
      <c r="D277" s="102"/>
      <c r="E277" s="103"/>
      <c r="F277" s="10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2.75" customHeight="1">
      <c r="A278" s="4"/>
      <c r="B278" s="101"/>
      <c r="C278" s="4"/>
      <c r="D278" s="102"/>
      <c r="E278" s="103"/>
      <c r="F278" s="10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2.75" customHeight="1">
      <c r="A279" s="4"/>
      <c r="B279" s="101"/>
      <c r="C279" s="4"/>
      <c r="D279" s="102"/>
      <c r="E279" s="103"/>
      <c r="F279" s="10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2.75" customHeight="1">
      <c r="A280" s="4"/>
      <c r="B280" s="101"/>
      <c r="C280" s="4"/>
      <c r="D280" s="102"/>
      <c r="E280" s="103"/>
      <c r="F280" s="10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2.75" customHeight="1">
      <c r="A281" s="4"/>
      <c r="B281" s="101"/>
      <c r="C281" s="4"/>
      <c r="D281" s="102"/>
      <c r="E281" s="103"/>
      <c r="F281" s="10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2.75" customHeight="1">
      <c r="A282" s="4"/>
      <c r="B282" s="101"/>
      <c r="C282" s="4"/>
      <c r="D282" s="102"/>
      <c r="E282" s="103"/>
      <c r="F282" s="10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2.75" customHeight="1">
      <c r="A283" s="4"/>
      <c r="B283" s="101"/>
      <c r="C283" s="4"/>
      <c r="D283" s="102"/>
      <c r="E283" s="103"/>
      <c r="F283" s="10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2.75" customHeight="1">
      <c r="A284" s="4"/>
      <c r="B284" s="101"/>
      <c r="C284" s="4"/>
      <c r="D284" s="102"/>
      <c r="E284" s="103"/>
      <c r="F284" s="10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2.75" customHeight="1">
      <c r="A285" s="4"/>
      <c r="B285" s="101"/>
      <c r="C285" s="4"/>
      <c r="D285" s="102"/>
      <c r="E285" s="103"/>
      <c r="F285" s="10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2.75" customHeight="1">
      <c r="A286" s="4"/>
      <c r="B286" s="101"/>
      <c r="C286" s="4"/>
      <c r="D286" s="102"/>
      <c r="E286" s="103"/>
      <c r="F286" s="10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2.75" customHeight="1">
      <c r="A287" s="4"/>
      <c r="B287" s="101"/>
      <c r="C287" s="4"/>
      <c r="D287" s="102"/>
      <c r="E287" s="103"/>
      <c r="F287" s="10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2.75" customHeight="1">
      <c r="A288" s="4"/>
      <c r="B288" s="101"/>
      <c r="C288" s="4"/>
      <c r="D288" s="102"/>
      <c r="E288" s="103"/>
      <c r="F288" s="10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2.75" customHeight="1">
      <c r="A289" s="4"/>
      <c r="B289" s="101"/>
      <c r="C289" s="4"/>
      <c r="D289" s="102"/>
      <c r="E289" s="103"/>
      <c r="F289" s="10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2.75" customHeight="1">
      <c r="A290" s="4"/>
      <c r="B290" s="101"/>
      <c r="C290" s="4"/>
      <c r="D290" s="102"/>
      <c r="E290" s="103"/>
      <c r="F290" s="10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2.75" customHeight="1">
      <c r="A291" s="4"/>
      <c r="B291" s="101"/>
      <c r="C291" s="4"/>
      <c r="D291" s="102"/>
      <c r="E291" s="103"/>
      <c r="F291" s="10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2.75" customHeight="1">
      <c r="A292" s="4"/>
      <c r="B292" s="101"/>
      <c r="C292" s="4"/>
      <c r="D292" s="102"/>
      <c r="E292" s="103"/>
      <c r="F292" s="10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2.75" customHeight="1">
      <c r="A293" s="4"/>
      <c r="B293" s="101"/>
      <c r="C293" s="4"/>
      <c r="D293" s="102"/>
      <c r="E293" s="103"/>
      <c r="F293" s="10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2.75" customHeight="1">
      <c r="A294" s="4"/>
      <c r="B294" s="101"/>
      <c r="C294" s="4"/>
      <c r="D294" s="102"/>
      <c r="E294" s="103"/>
      <c r="F294" s="10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2.75" customHeight="1">
      <c r="A295" s="4"/>
      <c r="B295" s="101"/>
      <c r="C295" s="4"/>
      <c r="D295" s="102"/>
      <c r="E295" s="103"/>
      <c r="F295" s="10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2.75" customHeight="1">
      <c r="A296" s="4"/>
      <c r="B296" s="101"/>
      <c r="C296" s="4"/>
      <c r="D296" s="102"/>
      <c r="E296" s="103"/>
      <c r="F296" s="10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2.75" customHeight="1">
      <c r="A297" s="4"/>
      <c r="B297" s="101"/>
      <c r="C297" s="4"/>
      <c r="D297" s="102"/>
      <c r="E297" s="103"/>
      <c r="F297" s="10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2.75" customHeight="1">
      <c r="A298" s="4"/>
      <c r="B298" s="101"/>
      <c r="C298" s="4"/>
      <c r="D298" s="102"/>
      <c r="E298" s="103"/>
      <c r="F298" s="10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2.75" customHeight="1">
      <c r="A299" s="4"/>
      <c r="B299" s="101"/>
      <c r="C299" s="4"/>
      <c r="D299" s="102"/>
      <c r="E299" s="103"/>
      <c r="F299" s="10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2.75" customHeight="1">
      <c r="A300" s="4"/>
      <c r="B300" s="101"/>
      <c r="C300" s="4"/>
      <c r="D300" s="102"/>
      <c r="E300" s="103"/>
      <c r="F300" s="10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2.75" customHeight="1">
      <c r="A301" s="4"/>
      <c r="B301" s="101"/>
      <c r="C301" s="4"/>
      <c r="D301" s="102"/>
      <c r="E301" s="103"/>
      <c r="F301" s="10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2.75" customHeight="1">
      <c r="A302" s="4"/>
      <c r="B302" s="101"/>
      <c r="C302" s="4"/>
      <c r="D302" s="102"/>
      <c r="E302" s="103"/>
      <c r="F302" s="10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2.75" customHeight="1">
      <c r="A303" s="4"/>
      <c r="B303" s="101"/>
      <c r="C303" s="4"/>
      <c r="D303" s="102"/>
      <c r="E303" s="103"/>
      <c r="F303" s="10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2.75" customHeight="1">
      <c r="A304" s="4"/>
      <c r="B304" s="101"/>
      <c r="C304" s="4"/>
      <c r="D304" s="102"/>
      <c r="E304" s="103"/>
      <c r="F304" s="10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2.75" customHeight="1">
      <c r="A305" s="4"/>
      <c r="B305" s="101"/>
      <c r="C305" s="4"/>
      <c r="D305" s="102"/>
      <c r="E305" s="103"/>
      <c r="F305" s="10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2.75" customHeight="1">
      <c r="A306" s="4"/>
      <c r="B306" s="101"/>
      <c r="C306" s="4"/>
      <c r="D306" s="102"/>
      <c r="E306" s="103"/>
      <c r="F306" s="10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2.75" customHeight="1">
      <c r="A307" s="4"/>
      <c r="B307" s="101"/>
      <c r="C307" s="4"/>
      <c r="D307" s="102"/>
      <c r="E307" s="103"/>
      <c r="F307" s="10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2.75" customHeight="1">
      <c r="A308" s="4"/>
      <c r="B308" s="101"/>
      <c r="C308" s="4"/>
      <c r="D308" s="102"/>
      <c r="E308" s="103"/>
      <c r="F308" s="10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2.75" customHeight="1">
      <c r="A309" s="4"/>
      <c r="B309" s="101"/>
      <c r="C309" s="4"/>
      <c r="D309" s="102"/>
      <c r="E309" s="103"/>
      <c r="F309" s="10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2.75" customHeight="1">
      <c r="A310" s="4"/>
      <c r="B310" s="101"/>
      <c r="C310" s="4"/>
      <c r="D310" s="102"/>
      <c r="E310" s="103"/>
      <c r="F310" s="10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2.75" customHeight="1">
      <c r="A311" s="4"/>
      <c r="B311" s="101"/>
      <c r="C311" s="4"/>
      <c r="D311" s="102"/>
      <c r="E311" s="103"/>
      <c r="F311" s="10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2.75" customHeight="1">
      <c r="A312" s="4"/>
      <c r="B312" s="101"/>
      <c r="C312" s="4"/>
      <c r="D312" s="102"/>
      <c r="E312" s="103"/>
      <c r="F312" s="10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2.75" customHeight="1">
      <c r="A313" s="4"/>
      <c r="B313" s="101"/>
      <c r="C313" s="4"/>
      <c r="D313" s="102"/>
      <c r="E313" s="103"/>
      <c r="F313" s="10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2.75" customHeight="1">
      <c r="A314" s="4"/>
      <c r="B314" s="101"/>
      <c r="C314" s="4"/>
      <c r="D314" s="102"/>
      <c r="E314" s="103"/>
      <c r="F314" s="10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2.75" customHeight="1">
      <c r="A315" s="4"/>
      <c r="B315" s="101"/>
      <c r="C315" s="4"/>
      <c r="D315" s="102"/>
      <c r="E315" s="103"/>
      <c r="F315" s="10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2.75" customHeight="1">
      <c r="A316" s="4"/>
      <c r="B316" s="101"/>
      <c r="C316" s="4"/>
      <c r="D316" s="102"/>
      <c r="E316" s="103"/>
      <c r="F316" s="10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2.75" customHeight="1">
      <c r="A317" s="4"/>
      <c r="B317" s="101"/>
      <c r="C317" s="4"/>
      <c r="D317" s="102"/>
      <c r="E317" s="103"/>
      <c r="F317" s="10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2.75" customHeight="1">
      <c r="A318" s="4"/>
      <c r="B318" s="101"/>
      <c r="C318" s="4"/>
      <c r="D318" s="102"/>
      <c r="E318" s="103"/>
      <c r="F318" s="10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2.75" customHeight="1">
      <c r="A319" s="4"/>
      <c r="B319" s="101"/>
      <c r="C319" s="4"/>
      <c r="D319" s="102"/>
      <c r="E319" s="103"/>
      <c r="F319" s="10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2.75" customHeight="1">
      <c r="A320" s="4"/>
      <c r="B320" s="101"/>
      <c r="C320" s="4"/>
      <c r="D320" s="102"/>
      <c r="E320" s="103"/>
      <c r="F320" s="10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2.75" customHeight="1">
      <c r="A321" s="4"/>
      <c r="B321" s="101"/>
      <c r="C321" s="4"/>
      <c r="D321" s="102"/>
      <c r="E321" s="103"/>
      <c r="F321" s="10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2.75" customHeight="1">
      <c r="A322" s="4"/>
      <c r="B322" s="101"/>
      <c r="C322" s="4"/>
      <c r="D322" s="102"/>
      <c r="E322" s="103"/>
      <c r="F322" s="10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2.75" customHeight="1">
      <c r="A323" s="4"/>
      <c r="B323" s="101"/>
      <c r="C323" s="4"/>
      <c r="D323" s="102"/>
      <c r="E323" s="103"/>
      <c r="F323" s="10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2.75" customHeight="1">
      <c r="A324" s="4"/>
      <c r="B324" s="101"/>
      <c r="C324" s="4"/>
      <c r="D324" s="102"/>
      <c r="E324" s="103"/>
      <c r="F324" s="10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2.75" customHeight="1">
      <c r="A325" s="4"/>
      <c r="B325" s="101"/>
      <c r="C325" s="4"/>
      <c r="D325" s="102"/>
      <c r="E325" s="103"/>
      <c r="F325" s="10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2.75" customHeight="1">
      <c r="A326" s="4"/>
      <c r="B326" s="101"/>
      <c r="C326" s="4"/>
      <c r="D326" s="102"/>
      <c r="E326" s="103"/>
      <c r="F326" s="10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2.75" customHeight="1">
      <c r="A327" s="4"/>
      <c r="B327" s="101"/>
      <c r="C327" s="4"/>
      <c r="D327" s="102"/>
      <c r="E327" s="103"/>
      <c r="F327" s="10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2.75" customHeight="1">
      <c r="A328" s="4"/>
      <c r="B328" s="101"/>
      <c r="C328" s="4"/>
      <c r="D328" s="102"/>
      <c r="E328" s="103"/>
      <c r="F328" s="10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2.75" customHeight="1">
      <c r="A329" s="4"/>
      <c r="B329" s="101"/>
      <c r="C329" s="4"/>
      <c r="D329" s="102"/>
      <c r="E329" s="103"/>
      <c r="F329" s="10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2.75" customHeight="1">
      <c r="A330" s="4"/>
      <c r="B330" s="101"/>
      <c r="C330" s="4"/>
      <c r="D330" s="102"/>
      <c r="E330" s="103"/>
      <c r="F330" s="10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2.75" customHeight="1">
      <c r="A331" s="4"/>
      <c r="B331" s="101"/>
      <c r="C331" s="4"/>
      <c r="D331" s="102"/>
      <c r="E331" s="103"/>
      <c r="F331" s="10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2.75" customHeight="1">
      <c r="A332" s="4"/>
      <c r="B332" s="101"/>
      <c r="C332" s="4"/>
      <c r="D332" s="102"/>
      <c r="E332" s="103"/>
      <c r="F332" s="10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2.75" customHeight="1">
      <c r="A333" s="4"/>
      <c r="B333" s="101"/>
      <c r="C333" s="4"/>
      <c r="D333" s="102"/>
      <c r="E333" s="103"/>
      <c r="F333" s="10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2.75" customHeight="1">
      <c r="A334" s="4"/>
      <c r="B334" s="101"/>
      <c r="C334" s="4"/>
      <c r="D334" s="102"/>
      <c r="E334" s="103"/>
      <c r="F334" s="10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2.75" customHeight="1">
      <c r="A335" s="4"/>
      <c r="B335" s="101"/>
      <c r="C335" s="4"/>
      <c r="D335" s="102"/>
      <c r="E335" s="103"/>
      <c r="F335" s="10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2.75" customHeight="1">
      <c r="A336" s="4"/>
      <c r="B336" s="101"/>
      <c r="C336" s="4"/>
      <c r="D336" s="102"/>
      <c r="E336" s="103"/>
      <c r="F336" s="10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2.75" customHeight="1">
      <c r="A337" s="4"/>
      <c r="B337" s="101"/>
      <c r="C337" s="4"/>
      <c r="D337" s="102"/>
      <c r="E337" s="103"/>
      <c r="F337" s="10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2.75" customHeight="1">
      <c r="A338" s="4"/>
      <c r="B338" s="101"/>
      <c r="C338" s="4"/>
      <c r="D338" s="102"/>
      <c r="E338" s="103"/>
      <c r="F338" s="10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2.75" customHeight="1">
      <c r="A339" s="4"/>
      <c r="B339" s="101"/>
      <c r="C339" s="4"/>
      <c r="D339" s="102"/>
      <c r="E339" s="103"/>
      <c r="F339" s="10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2.75" customHeight="1">
      <c r="A340" s="4"/>
      <c r="B340" s="101"/>
      <c r="C340" s="4"/>
      <c r="D340" s="102"/>
      <c r="E340" s="103"/>
      <c r="F340" s="10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2.75" customHeight="1">
      <c r="A341" s="4"/>
      <c r="B341" s="101"/>
      <c r="C341" s="4"/>
      <c r="D341" s="102"/>
      <c r="E341" s="103"/>
      <c r="F341" s="10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2.75" customHeight="1">
      <c r="A342" s="4"/>
      <c r="B342" s="101"/>
      <c r="C342" s="4"/>
      <c r="D342" s="102"/>
      <c r="E342" s="103"/>
      <c r="F342" s="10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2.75" customHeight="1">
      <c r="A343" s="4"/>
      <c r="B343" s="101"/>
      <c r="C343" s="4"/>
      <c r="D343" s="102"/>
      <c r="E343" s="103"/>
      <c r="F343" s="10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2.75" customHeight="1">
      <c r="A344" s="4"/>
      <c r="B344" s="101"/>
      <c r="C344" s="4"/>
      <c r="D344" s="102"/>
      <c r="E344" s="103"/>
      <c r="F344" s="10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2.75" customHeight="1">
      <c r="A345" s="4"/>
      <c r="B345" s="101"/>
      <c r="C345" s="4"/>
      <c r="D345" s="102"/>
      <c r="E345" s="103"/>
      <c r="F345" s="10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2.75" customHeight="1">
      <c r="A346" s="4"/>
      <c r="B346" s="101"/>
      <c r="C346" s="4"/>
      <c r="D346" s="102"/>
      <c r="E346" s="103"/>
      <c r="F346" s="10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2.75" customHeight="1">
      <c r="A347" s="4"/>
      <c r="B347" s="101"/>
      <c r="C347" s="4"/>
      <c r="D347" s="102"/>
      <c r="E347" s="103"/>
      <c r="F347" s="10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2.75" customHeight="1">
      <c r="A348" s="4"/>
      <c r="B348" s="101"/>
      <c r="C348" s="4"/>
      <c r="D348" s="102"/>
      <c r="E348" s="103"/>
      <c r="F348" s="10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2.75" customHeight="1">
      <c r="A349" s="4"/>
      <c r="B349" s="101"/>
      <c r="C349" s="4"/>
      <c r="D349" s="102"/>
      <c r="E349" s="103"/>
      <c r="F349" s="10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2.75" customHeight="1">
      <c r="A350" s="4"/>
      <c r="B350" s="101"/>
      <c r="C350" s="4"/>
      <c r="D350" s="102"/>
      <c r="E350" s="103"/>
      <c r="F350" s="10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2.75" customHeight="1">
      <c r="A351" s="4"/>
      <c r="B351" s="101"/>
      <c r="C351" s="4"/>
      <c r="D351" s="102"/>
      <c r="E351" s="103"/>
      <c r="F351" s="10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2.75" customHeight="1">
      <c r="A352" s="4"/>
      <c r="B352" s="101"/>
      <c r="C352" s="4"/>
      <c r="D352" s="102"/>
      <c r="E352" s="103"/>
      <c r="F352" s="10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2.75" customHeight="1">
      <c r="A353" s="4"/>
      <c r="B353" s="101"/>
      <c r="C353" s="4"/>
      <c r="D353" s="102"/>
      <c r="E353" s="103"/>
      <c r="F353" s="10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2.75" customHeight="1">
      <c r="A354" s="4"/>
      <c r="B354" s="101"/>
      <c r="C354" s="4"/>
      <c r="D354" s="102"/>
      <c r="E354" s="103"/>
      <c r="F354" s="10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2.75" customHeight="1">
      <c r="A355" s="4"/>
      <c r="B355" s="101"/>
      <c r="C355" s="4"/>
      <c r="D355" s="102"/>
      <c r="E355" s="103"/>
      <c r="F355" s="10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2.75" customHeight="1">
      <c r="A356" s="4"/>
      <c r="B356" s="101"/>
      <c r="C356" s="4"/>
      <c r="D356" s="102"/>
      <c r="E356" s="103"/>
      <c r="F356" s="10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2.75" customHeight="1">
      <c r="A357" s="4"/>
      <c r="B357" s="101"/>
      <c r="C357" s="4"/>
      <c r="D357" s="102"/>
      <c r="E357" s="103"/>
      <c r="F357" s="10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2.75" customHeight="1">
      <c r="A358" s="4"/>
      <c r="B358" s="101"/>
      <c r="C358" s="4"/>
      <c r="D358" s="102"/>
      <c r="E358" s="103"/>
      <c r="F358" s="10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2.75" customHeight="1">
      <c r="A359" s="4"/>
      <c r="B359" s="101"/>
      <c r="C359" s="4"/>
      <c r="D359" s="102"/>
      <c r="E359" s="103"/>
      <c r="F359" s="10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2.75" customHeight="1">
      <c r="A360" s="4"/>
      <c r="B360" s="101"/>
      <c r="C360" s="4"/>
      <c r="D360" s="102"/>
      <c r="E360" s="103"/>
      <c r="F360" s="10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2.75" customHeight="1">
      <c r="A361" s="4"/>
      <c r="B361" s="101"/>
      <c r="C361" s="4"/>
      <c r="D361" s="102"/>
      <c r="E361" s="103"/>
      <c r="F361" s="10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2.75" customHeight="1">
      <c r="A362" s="4"/>
      <c r="B362" s="101"/>
      <c r="C362" s="4"/>
      <c r="D362" s="102"/>
      <c r="E362" s="103"/>
      <c r="F362" s="10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2.75" customHeight="1">
      <c r="A363" s="4"/>
      <c r="B363" s="101"/>
      <c r="C363" s="4"/>
      <c r="D363" s="102"/>
      <c r="E363" s="103"/>
      <c r="F363" s="10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2.75" customHeight="1">
      <c r="A364" s="4"/>
      <c r="B364" s="101"/>
      <c r="C364" s="4"/>
      <c r="D364" s="102"/>
      <c r="E364" s="103"/>
      <c r="F364" s="10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2.75" customHeight="1">
      <c r="A365" s="4"/>
      <c r="B365" s="101"/>
      <c r="C365" s="4"/>
      <c r="D365" s="102"/>
      <c r="E365" s="103"/>
      <c r="F365" s="10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2.75" customHeight="1">
      <c r="A366" s="4"/>
      <c r="B366" s="101"/>
      <c r="C366" s="4"/>
      <c r="D366" s="102"/>
      <c r="E366" s="103"/>
      <c r="F366" s="10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2.75" customHeight="1">
      <c r="A367" s="4"/>
      <c r="B367" s="101"/>
      <c r="C367" s="4"/>
      <c r="D367" s="102"/>
      <c r="E367" s="103"/>
      <c r="F367" s="10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2.75" customHeight="1">
      <c r="A368" s="4"/>
      <c r="B368" s="101"/>
      <c r="C368" s="4"/>
      <c r="D368" s="102"/>
      <c r="E368" s="103"/>
      <c r="F368" s="10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2.75" customHeight="1">
      <c r="A369" s="4"/>
      <c r="B369" s="101"/>
      <c r="C369" s="4"/>
      <c r="D369" s="102"/>
      <c r="E369" s="103"/>
      <c r="F369" s="10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2.75" customHeight="1">
      <c r="A370" s="4"/>
      <c r="B370" s="101"/>
      <c r="C370" s="4"/>
      <c r="D370" s="102"/>
      <c r="E370" s="103"/>
      <c r="F370" s="10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2.75" customHeight="1">
      <c r="A371" s="4"/>
      <c r="B371" s="101"/>
      <c r="C371" s="4"/>
      <c r="D371" s="102"/>
      <c r="E371" s="103"/>
      <c r="F371" s="10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2.75" customHeight="1">
      <c r="A372" s="4"/>
      <c r="B372" s="101"/>
      <c r="C372" s="4"/>
      <c r="D372" s="102"/>
      <c r="E372" s="103"/>
      <c r="F372" s="10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2.75" customHeight="1">
      <c r="A373" s="4"/>
      <c r="B373" s="101"/>
      <c r="C373" s="4"/>
      <c r="D373" s="102"/>
      <c r="E373" s="103"/>
      <c r="F373" s="10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2.75" customHeight="1">
      <c r="A374" s="4"/>
      <c r="B374" s="101"/>
      <c r="C374" s="4"/>
      <c r="D374" s="102"/>
      <c r="E374" s="103"/>
      <c r="F374" s="10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2.75" customHeight="1">
      <c r="A375" s="4"/>
      <c r="B375" s="101"/>
      <c r="C375" s="4"/>
      <c r="D375" s="102"/>
      <c r="E375" s="103"/>
      <c r="F375" s="10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2.75" customHeight="1">
      <c r="A376" s="4"/>
      <c r="B376" s="101"/>
      <c r="C376" s="4"/>
      <c r="D376" s="102"/>
      <c r="E376" s="103"/>
      <c r="F376" s="10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2.75" customHeight="1">
      <c r="A377" s="4"/>
      <c r="B377" s="101"/>
      <c r="C377" s="4"/>
      <c r="D377" s="102"/>
      <c r="E377" s="103"/>
      <c r="F377" s="10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2.75" customHeight="1">
      <c r="A378" s="4"/>
      <c r="B378" s="101"/>
      <c r="C378" s="4"/>
      <c r="D378" s="102"/>
      <c r="E378" s="103"/>
      <c r="F378" s="10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2.75" customHeight="1">
      <c r="A379" s="4"/>
      <c r="B379" s="101"/>
      <c r="C379" s="4"/>
      <c r="D379" s="102"/>
      <c r="E379" s="103"/>
      <c r="F379" s="10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2.75" customHeight="1">
      <c r="A380" s="4"/>
      <c r="B380" s="101"/>
      <c r="C380" s="4"/>
      <c r="D380" s="102"/>
      <c r="E380" s="103"/>
      <c r="F380" s="10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2.75" customHeight="1">
      <c r="A381" s="4"/>
      <c r="B381" s="101"/>
      <c r="C381" s="4"/>
      <c r="D381" s="102"/>
      <c r="E381" s="103"/>
      <c r="F381" s="10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2.75" customHeight="1">
      <c r="A382" s="4"/>
      <c r="B382" s="101"/>
      <c r="C382" s="4"/>
      <c r="D382" s="102"/>
      <c r="E382" s="103"/>
      <c r="F382" s="10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2.75" customHeight="1">
      <c r="A383" s="4"/>
      <c r="B383" s="101"/>
      <c r="C383" s="4"/>
      <c r="D383" s="102"/>
      <c r="E383" s="103"/>
      <c r="F383" s="10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2.75" customHeight="1">
      <c r="A384" s="4"/>
      <c r="B384" s="101"/>
      <c r="C384" s="4"/>
      <c r="D384" s="102"/>
      <c r="E384" s="103"/>
      <c r="F384" s="10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2.75" customHeight="1">
      <c r="A385" s="4"/>
      <c r="B385" s="101"/>
      <c r="C385" s="4"/>
      <c r="D385" s="102"/>
      <c r="E385" s="103"/>
      <c r="F385" s="10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2.75" customHeight="1">
      <c r="A386" s="4"/>
      <c r="B386" s="101"/>
      <c r="C386" s="4"/>
      <c r="D386" s="102"/>
      <c r="E386" s="103"/>
      <c r="F386" s="10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2.75" customHeight="1">
      <c r="A387" s="4"/>
      <c r="B387" s="101"/>
      <c r="C387" s="4"/>
      <c r="D387" s="102"/>
      <c r="E387" s="103"/>
      <c r="F387" s="10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2.75" customHeight="1">
      <c r="A388" s="4"/>
      <c r="B388" s="101"/>
      <c r="C388" s="4"/>
      <c r="D388" s="102"/>
      <c r="E388" s="103"/>
      <c r="F388" s="10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2.75" customHeight="1">
      <c r="A389" s="4"/>
      <c r="B389" s="101"/>
      <c r="C389" s="4"/>
      <c r="D389" s="102"/>
      <c r="E389" s="103"/>
      <c r="F389" s="10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2.75" customHeight="1">
      <c r="A390" s="4"/>
      <c r="B390" s="101"/>
      <c r="C390" s="4"/>
      <c r="D390" s="102"/>
      <c r="E390" s="103"/>
      <c r="F390" s="10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2.75" customHeight="1">
      <c r="A391" s="4"/>
      <c r="B391" s="101"/>
      <c r="C391" s="4"/>
      <c r="D391" s="102"/>
      <c r="E391" s="103"/>
      <c r="F391" s="10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2.75" customHeight="1">
      <c r="A392" s="4"/>
      <c r="B392" s="101"/>
      <c r="C392" s="4"/>
      <c r="D392" s="102"/>
      <c r="E392" s="103"/>
      <c r="F392" s="10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2.75" customHeight="1">
      <c r="A393" s="4"/>
      <c r="B393" s="101"/>
      <c r="C393" s="4"/>
      <c r="D393" s="102"/>
      <c r="E393" s="103"/>
      <c r="F393" s="10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2.75" customHeight="1">
      <c r="A394" s="4"/>
      <c r="B394" s="101"/>
      <c r="C394" s="4"/>
      <c r="D394" s="102"/>
      <c r="E394" s="103"/>
      <c r="F394" s="10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2.75" customHeight="1">
      <c r="A395" s="4"/>
      <c r="B395" s="101"/>
      <c r="C395" s="4"/>
      <c r="D395" s="102"/>
      <c r="E395" s="103"/>
      <c r="F395" s="10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2.75" customHeight="1">
      <c r="A396" s="4"/>
      <c r="B396" s="101"/>
      <c r="C396" s="4"/>
      <c r="D396" s="102"/>
      <c r="E396" s="103"/>
      <c r="F396" s="10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2.75" customHeight="1">
      <c r="A397" s="4"/>
      <c r="B397" s="101"/>
      <c r="C397" s="4"/>
      <c r="D397" s="102"/>
      <c r="E397" s="103"/>
      <c r="F397" s="10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2.75" customHeight="1">
      <c r="A398" s="4"/>
      <c r="B398" s="101"/>
      <c r="C398" s="4"/>
      <c r="D398" s="102"/>
      <c r="E398" s="103"/>
      <c r="F398" s="10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2.75" customHeight="1">
      <c r="A399" s="4"/>
      <c r="B399" s="101"/>
      <c r="C399" s="4"/>
      <c r="D399" s="102"/>
      <c r="E399" s="103"/>
      <c r="F399" s="10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2.75" customHeight="1">
      <c r="A400" s="4"/>
      <c r="B400" s="101"/>
      <c r="C400" s="4"/>
      <c r="D400" s="102"/>
      <c r="E400" s="103"/>
      <c r="F400" s="10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2.75" customHeight="1">
      <c r="A401" s="4"/>
      <c r="B401" s="101"/>
      <c r="C401" s="4"/>
      <c r="D401" s="102"/>
      <c r="E401" s="103"/>
      <c r="F401" s="10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2.75" customHeight="1">
      <c r="A402" s="4"/>
      <c r="B402" s="101"/>
      <c r="C402" s="4"/>
      <c r="D402" s="102"/>
      <c r="E402" s="103"/>
      <c r="F402" s="10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2.75" customHeight="1">
      <c r="A403" s="4"/>
      <c r="B403" s="101"/>
      <c r="C403" s="4"/>
      <c r="D403" s="102"/>
      <c r="E403" s="103"/>
      <c r="F403" s="10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2.75" customHeight="1">
      <c r="A404" s="4"/>
      <c r="B404" s="101"/>
      <c r="C404" s="4"/>
      <c r="D404" s="102"/>
      <c r="E404" s="103"/>
      <c r="F404" s="10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2.75" customHeight="1">
      <c r="A405" s="4"/>
      <c r="B405" s="101"/>
      <c r="C405" s="4"/>
      <c r="D405" s="102"/>
      <c r="E405" s="103"/>
      <c r="F405" s="10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2.75" customHeight="1">
      <c r="A406" s="4"/>
      <c r="B406" s="101"/>
      <c r="C406" s="4"/>
      <c r="D406" s="102"/>
      <c r="E406" s="103"/>
      <c r="F406" s="10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2.75" customHeight="1">
      <c r="A407" s="4"/>
      <c r="B407" s="101"/>
      <c r="C407" s="4"/>
      <c r="D407" s="102"/>
      <c r="E407" s="103"/>
      <c r="F407" s="10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2.75" customHeight="1">
      <c r="A408" s="4"/>
      <c r="B408" s="101"/>
      <c r="C408" s="4"/>
      <c r="D408" s="102"/>
      <c r="E408" s="103"/>
      <c r="F408" s="10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2.75" customHeight="1">
      <c r="A409" s="4"/>
      <c r="B409" s="101"/>
      <c r="C409" s="4"/>
      <c r="D409" s="102"/>
      <c r="E409" s="103"/>
      <c r="F409" s="10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2.75" customHeight="1">
      <c r="A410" s="4"/>
      <c r="B410" s="101"/>
      <c r="C410" s="4"/>
      <c r="D410" s="102"/>
      <c r="E410" s="103"/>
      <c r="F410" s="10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2.75" customHeight="1">
      <c r="A411" s="4"/>
      <c r="B411" s="101"/>
      <c r="C411" s="4"/>
      <c r="D411" s="102"/>
      <c r="E411" s="103"/>
      <c r="F411" s="10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2.75" customHeight="1">
      <c r="A412" s="4"/>
      <c r="B412" s="101"/>
      <c r="C412" s="4"/>
      <c r="D412" s="102"/>
      <c r="E412" s="103"/>
      <c r="F412" s="10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2.75" customHeight="1">
      <c r="A413" s="4"/>
      <c r="B413" s="101"/>
      <c r="C413" s="4"/>
      <c r="D413" s="102"/>
      <c r="E413" s="103"/>
      <c r="F413" s="10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2.75" customHeight="1">
      <c r="A414" s="4"/>
      <c r="B414" s="101"/>
      <c r="C414" s="4"/>
      <c r="D414" s="102"/>
      <c r="E414" s="103"/>
      <c r="F414" s="10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2.75" customHeight="1">
      <c r="A415" s="4"/>
      <c r="B415" s="101"/>
      <c r="C415" s="4"/>
      <c r="D415" s="102"/>
      <c r="E415" s="103"/>
      <c r="F415" s="10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2.75" customHeight="1">
      <c r="A416" s="4"/>
      <c r="B416" s="101"/>
      <c r="C416" s="4"/>
      <c r="D416" s="102"/>
      <c r="E416" s="103"/>
      <c r="F416" s="10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2.75" customHeight="1">
      <c r="A417" s="4"/>
      <c r="B417" s="101"/>
      <c r="C417" s="4"/>
      <c r="D417" s="102"/>
      <c r="E417" s="103"/>
      <c r="F417" s="10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2.75" customHeight="1">
      <c r="A418" s="4"/>
      <c r="B418" s="101"/>
      <c r="C418" s="4"/>
      <c r="D418" s="102"/>
      <c r="E418" s="103"/>
      <c r="F418" s="10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2.75" customHeight="1">
      <c r="A419" s="4"/>
      <c r="B419" s="101"/>
      <c r="C419" s="4"/>
      <c r="D419" s="102"/>
      <c r="E419" s="103"/>
      <c r="F419" s="10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A137:B137"/>
    <mergeCell ref="A153:B153"/>
    <mergeCell ref="A176:B176"/>
    <mergeCell ref="A190:B190"/>
    <mergeCell ref="A206:B206"/>
    <mergeCell ref="A1:F1"/>
    <mergeCell ref="A2:F2"/>
    <mergeCell ref="A3:F3"/>
    <mergeCell ref="A4:F4"/>
    <mergeCell ref="D7:E7"/>
    <mergeCell ref="A9:F9"/>
    <mergeCell ref="A123:B123"/>
  </mergeCell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2.63" defaultRowHeight="15.0"/>
  <cols>
    <col customWidth="1" min="1" max="1" width="52.5"/>
    <col customWidth="1" min="2" max="2" width="49.5"/>
    <col customWidth="1" min="3" max="3" width="21.88"/>
    <col customWidth="1" min="4" max="4" width="20.5"/>
    <col customWidth="1" min="5" max="5" width="22.88"/>
    <col customWidth="1" min="6" max="6" width="71.5"/>
    <col customWidth="1" min="7" max="7" width="50.13"/>
    <col customWidth="1" min="8" max="26" width="8.0"/>
  </cols>
  <sheetData>
    <row r="1" ht="12.75" customHeight="1">
      <c r="A1" s="439" t="s">
        <v>0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2.75" customHeight="1">
      <c r="A2" s="5" t="s">
        <v>1</v>
      </c>
      <c r="B2" s="6"/>
      <c r="C2" s="6"/>
      <c r="D2" s="6"/>
      <c r="E2" s="6"/>
      <c r="F2" s="7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2.75" customHeight="1">
      <c r="A3" s="5" t="s">
        <v>2</v>
      </c>
      <c r="B3" s="6"/>
      <c r="C3" s="6"/>
      <c r="D3" s="6"/>
      <c r="E3" s="6"/>
      <c r="F3" s="7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2.75" customHeight="1">
      <c r="A4" s="5" t="s">
        <v>3</v>
      </c>
      <c r="B4" s="6"/>
      <c r="C4" s="6"/>
      <c r="D4" s="6"/>
      <c r="E4" s="6"/>
      <c r="F4" s="7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2.75" customHeight="1">
      <c r="A5" s="8"/>
      <c r="B5" s="9"/>
      <c r="C5" s="10"/>
      <c r="D5" s="11"/>
      <c r="E5" s="11"/>
      <c r="F5" s="12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2.75" customHeight="1">
      <c r="A6" s="13"/>
      <c r="B6" s="9"/>
      <c r="C6" s="10"/>
      <c r="D6" s="14"/>
      <c r="E6" s="14"/>
      <c r="F6" s="15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30.0" customHeight="1">
      <c r="A7" s="16"/>
      <c r="B7" s="9"/>
      <c r="C7" s="17"/>
      <c r="D7" s="18"/>
      <c r="E7" s="19"/>
      <c r="F7" s="15" t="s">
        <v>2611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0.0" customHeight="1">
      <c r="A8" s="20" t="s">
        <v>5</v>
      </c>
      <c r="B8" s="21"/>
      <c r="C8" s="22"/>
      <c r="D8" s="23"/>
      <c r="E8" s="23"/>
      <c r="F8" s="2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7.75" customHeight="1">
      <c r="A9" s="25" t="s">
        <v>2612</v>
      </c>
      <c r="B9" s="26"/>
      <c r="C9" s="26"/>
      <c r="D9" s="26"/>
      <c r="E9" s="26"/>
      <c r="F9" s="27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8.5" customHeight="1">
      <c r="A10" s="28"/>
      <c r="B10" s="29"/>
      <c r="C10" s="29"/>
      <c r="D10" s="30"/>
      <c r="E10" s="30"/>
      <c r="F10" s="31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</row>
    <row r="11" ht="22.5" customHeight="1">
      <c r="A11" s="33" t="s">
        <v>2613</v>
      </c>
      <c r="B11" s="27"/>
      <c r="C11" s="34" t="s">
        <v>8</v>
      </c>
      <c r="D11" s="34" t="s">
        <v>9</v>
      </c>
      <c r="E11" s="440" t="s">
        <v>10</v>
      </c>
      <c r="F11" s="441" t="s">
        <v>11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75" customHeight="1">
      <c r="A12" s="36" t="s">
        <v>12</v>
      </c>
      <c r="B12" s="37"/>
      <c r="C12" s="38"/>
      <c r="D12" s="39"/>
      <c r="E12" s="442"/>
      <c r="F12" s="41" t="s">
        <v>13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75" customHeight="1">
      <c r="A13" s="42" t="s">
        <v>1508</v>
      </c>
      <c r="B13" s="43" t="s">
        <v>15</v>
      </c>
      <c r="C13" s="44">
        <v>927.0</v>
      </c>
      <c r="D13" s="45">
        <v>25014.17</v>
      </c>
      <c r="E13" s="443">
        <v>26248.34</v>
      </c>
      <c r="F13" s="47" t="s">
        <v>2614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2.75" customHeight="1">
      <c r="A14" s="48" t="s">
        <v>2186</v>
      </c>
      <c r="B14" s="49"/>
      <c r="C14" s="50"/>
      <c r="D14" s="45"/>
      <c r="E14" s="443"/>
      <c r="F14" s="51" t="s">
        <v>2615</v>
      </c>
      <c r="G14" s="52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2.75" customHeight="1">
      <c r="A15" s="48" t="s">
        <v>2616</v>
      </c>
      <c r="B15" s="54"/>
      <c r="C15" s="55"/>
      <c r="D15" s="56"/>
      <c r="E15" s="444"/>
      <c r="F15" s="420" t="s">
        <v>2617</v>
      </c>
      <c r="G15" s="52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2.5" customHeight="1">
      <c r="A16" s="33" t="s">
        <v>2618</v>
      </c>
      <c r="B16" s="27"/>
      <c r="C16" s="34" t="s">
        <v>8</v>
      </c>
      <c r="D16" s="34" t="s">
        <v>9</v>
      </c>
      <c r="E16" s="440" t="s">
        <v>10</v>
      </c>
      <c r="F16" s="441" t="s">
        <v>11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36" t="s">
        <v>12</v>
      </c>
      <c r="B17" s="37"/>
      <c r="C17" s="38"/>
      <c r="D17" s="39"/>
      <c r="E17" s="442"/>
      <c r="F17" s="41" t="s">
        <v>13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42" t="s">
        <v>1508</v>
      </c>
      <c r="B18" s="43" t="s">
        <v>15</v>
      </c>
      <c r="C18" s="44">
        <v>917.0</v>
      </c>
      <c r="D18" s="45">
        <v>24991.55</v>
      </c>
      <c r="E18" s="443">
        <v>26180.54</v>
      </c>
      <c r="F18" s="47" t="s">
        <v>2619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2.75" customHeight="1">
      <c r="A19" s="48" t="s">
        <v>2186</v>
      </c>
      <c r="B19" s="49"/>
      <c r="C19" s="50"/>
      <c r="D19" s="45"/>
      <c r="E19" s="443"/>
      <c r="F19" s="51" t="s">
        <v>2620</v>
      </c>
      <c r="G19" s="52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2.75" customHeight="1">
      <c r="A20" s="48" t="s">
        <v>2621</v>
      </c>
      <c r="B20" s="54"/>
      <c r="C20" s="55"/>
      <c r="D20" s="56"/>
      <c r="E20" s="444"/>
      <c r="F20" s="420" t="s">
        <v>2622</v>
      </c>
      <c r="G20" s="52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2.5" customHeight="1">
      <c r="A21" s="33" t="s">
        <v>2623</v>
      </c>
      <c r="B21" s="27"/>
      <c r="C21" s="34" t="s">
        <v>8</v>
      </c>
      <c r="D21" s="34" t="s">
        <v>9</v>
      </c>
      <c r="E21" s="440" t="s">
        <v>10</v>
      </c>
      <c r="F21" s="441" t="s">
        <v>11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36" t="s">
        <v>12</v>
      </c>
      <c r="B22" s="37"/>
      <c r="C22" s="38"/>
      <c r="D22" s="39"/>
      <c r="E22" s="442"/>
      <c r="F22" s="41" t="s">
        <v>13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2" t="s">
        <v>1508</v>
      </c>
      <c r="B23" s="43" t="s">
        <v>15</v>
      </c>
      <c r="C23" s="44">
        <v>900.0</v>
      </c>
      <c r="D23" s="45">
        <v>24882.4</v>
      </c>
      <c r="E23" s="443">
        <v>25998.17</v>
      </c>
      <c r="F23" s="47" t="s">
        <v>2624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2.75" customHeight="1">
      <c r="A24" s="48" t="s">
        <v>2197</v>
      </c>
      <c r="B24" s="49"/>
      <c r="C24" s="50"/>
      <c r="D24" s="45"/>
      <c r="E24" s="443"/>
      <c r="F24" s="51" t="s">
        <v>2625</v>
      </c>
      <c r="G24" s="52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2.75" customHeight="1">
      <c r="A25" s="48" t="s">
        <v>2626</v>
      </c>
      <c r="B25" s="54"/>
      <c r="C25" s="55"/>
      <c r="D25" s="56"/>
      <c r="E25" s="444"/>
      <c r="F25" s="420" t="s">
        <v>2627</v>
      </c>
      <c r="G25" s="52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2.5" customHeight="1">
      <c r="A26" s="33" t="s">
        <v>2628</v>
      </c>
      <c r="B26" s="27"/>
      <c r="C26" s="34" t="s">
        <v>8</v>
      </c>
      <c r="D26" s="34" t="s">
        <v>9</v>
      </c>
      <c r="E26" s="440" t="s">
        <v>10</v>
      </c>
      <c r="F26" s="441" t="s">
        <v>11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36" t="s">
        <v>12</v>
      </c>
      <c r="B27" s="37"/>
      <c r="C27" s="38"/>
      <c r="D27" s="39"/>
      <c r="E27" s="442"/>
      <c r="F27" s="41" t="s">
        <v>13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2" t="s">
        <v>1508</v>
      </c>
      <c r="B28" s="43" t="s">
        <v>15</v>
      </c>
      <c r="C28" s="44">
        <v>924.0</v>
      </c>
      <c r="D28" s="45">
        <v>25010.95</v>
      </c>
      <c r="E28" s="443">
        <v>26269.07</v>
      </c>
      <c r="F28" s="47" t="s">
        <v>2629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2.75" customHeight="1">
      <c r="A29" s="48" t="s">
        <v>2186</v>
      </c>
      <c r="B29" s="49"/>
      <c r="C29" s="50"/>
      <c r="D29" s="45"/>
      <c r="E29" s="443"/>
      <c r="F29" s="51" t="s">
        <v>2630</v>
      </c>
      <c r="G29" s="52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2.75" customHeight="1">
      <c r="A30" s="48" t="s">
        <v>2334</v>
      </c>
      <c r="B30" s="54"/>
      <c r="C30" s="55"/>
      <c r="D30" s="56"/>
      <c r="E30" s="444"/>
      <c r="F30" s="420" t="s">
        <v>2631</v>
      </c>
      <c r="G30" s="52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2.5" customHeight="1">
      <c r="A31" s="33" t="s">
        <v>2632</v>
      </c>
      <c r="B31" s="27"/>
      <c r="C31" s="34" t="s">
        <v>8</v>
      </c>
      <c r="D31" s="34" t="s">
        <v>9</v>
      </c>
      <c r="E31" s="440" t="s">
        <v>10</v>
      </c>
      <c r="F31" s="441" t="s">
        <v>11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36" t="s">
        <v>12</v>
      </c>
      <c r="B32" s="37"/>
      <c r="C32" s="38"/>
      <c r="D32" s="39"/>
      <c r="E32" s="442"/>
      <c r="F32" s="41" t="s">
        <v>13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2" t="s">
        <v>1508</v>
      </c>
      <c r="B33" s="43" t="s">
        <v>15</v>
      </c>
      <c r="C33" s="44">
        <v>923.0</v>
      </c>
      <c r="D33" s="45">
        <v>25001.62</v>
      </c>
      <c r="E33" s="443">
        <v>26237.99</v>
      </c>
      <c r="F33" s="47" t="s">
        <v>2633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2.75" customHeight="1">
      <c r="A34" s="48" t="s">
        <v>2186</v>
      </c>
      <c r="B34" s="49"/>
      <c r="C34" s="50"/>
      <c r="D34" s="45"/>
      <c r="E34" s="443"/>
      <c r="F34" s="51" t="s">
        <v>2634</v>
      </c>
      <c r="G34" s="52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2.75" customHeight="1">
      <c r="A35" s="48" t="s">
        <v>2635</v>
      </c>
      <c r="B35" s="54"/>
      <c r="C35" s="55"/>
      <c r="D35" s="56"/>
      <c r="E35" s="444"/>
      <c r="F35" s="420" t="s">
        <v>2636</v>
      </c>
      <c r="G35" s="52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2.5" customHeight="1">
      <c r="A36" s="33" t="s">
        <v>2637</v>
      </c>
      <c r="B36" s="27"/>
      <c r="C36" s="34" t="s">
        <v>8</v>
      </c>
      <c r="D36" s="34" t="s">
        <v>9</v>
      </c>
      <c r="E36" s="440" t="s">
        <v>10</v>
      </c>
      <c r="F36" s="441" t="s">
        <v>11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36" t="s">
        <v>12</v>
      </c>
      <c r="B37" s="37"/>
      <c r="C37" s="38"/>
      <c r="D37" s="39"/>
      <c r="E37" s="442"/>
      <c r="F37" s="41" t="s">
        <v>13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2" t="s">
        <v>1508</v>
      </c>
      <c r="B38" s="43" t="s">
        <v>15</v>
      </c>
      <c r="C38" s="44">
        <v>891.0</v>
      </c>
      <c r="D38" s="45">
        <v>24996.06</v>
      </c>
      <c r="E38" s="443">
        <v>26163.55</v>
      </c>
      <c r="F38" s="47" t="s">
        <v>2638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2.75" customHeight="1">
      <c r="A39" s="48" t="s">
        <v>2240</v>
      </c>
      <c r="B39" s="49"/>
      <c r="C39" s="50"/>
      <c r="D39" s="45"/>
      <c r="E39" s="443"/>
      <c r="F39" s="51" t="s">
        <v>2639</v>
      </c>
      <c r="G39" s="52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2.75" customHeight="1">
      <c r="A40" s="48" t="s">
        <v>2640</v>
      </c>
      <c r="B40" s="54"/>
      <c r="C40" s="55"/>
      <c r="D40" s="56"/>
      <c r="E40" s="444"/>
      <c r="F40" s="420" t="s">
        <v>2641</v>
      </c>
      <c r="G40" s="52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22.5" customHeight="1">
      <c r="A41" s="33" t="s">
        <v>2642</v>
      </c>
      <c r="B41" s="27"/>
      <c r="C41" s="34" t="s">
        <v>8</v>
      </c>
      <c r="D41" s="34" t="s">
        <v>9</v>
      </c>
      <c r="E41" s="440" t="s">
        <v>10</v>
      </c>
      <c r="F41" s="441" t="s">
        <v>11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36" t="s">
        <v>12</v>
      </c>
      <c r="B42" s="37"/>
      <c r="C42" s="38"/>
      <c r="D42" s="39"/>
      <c r="E42" s="442"/>
      <c r="F42" s="41" t="s">
        <v>13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2" t="s">
        <v>1508</v>
      </c>
      <c r="B43" s="43" t="s">
        <v>15</v>
      </c>
      <c r="C43" s="44">
        <v>920.0</v>
      </c>
      <c r="D43" s="45">
        <v>24942.08</v>
      </c>
      <c r="E43" s="443">
        <v>26188.72</v>
      </c>
      <c r="F43" s="47" t="s">
        <v>2643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2.75" customHeight="1">
      <c r="A44" s="48" t="s">
        <v>2186</v>
      </c>
      <c r="B44" s="49"/>
      <c r="C44" s="50"/>
      <c r="D44" s="45"/>
      <c r="E44" s="443"/>
      <c r="F44" s="51" t="s">
        <v>2644</v>
      </c>
      <c r="G44" s="52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2.75" customHeight="1">
      <c r="A45" s="48" t="s">
        <v>2645</v>
      </c>
      <c r="B45" s="54"/>
      <c r="C45" s="55"/>
      <c r="D45" s="56"/>
      <c r="E45" s="444"/>
      <c r="F45" s="420" t="s">
        <v>2646</v>
      </c>
      <c r="G45" s="52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22.5" customHeight="1">
      <c r="A46" s="33" t="s">
        <v>2647</v>
      </c>
      <c r="B46" s="27"/>
      <c r="C46" s="34" t="s">
        <v>8</v>
      </c>
      <c r="D46" s="34" t="s">
        <v>9</v>
      </c>
      <c r="E46" s="440" t="s">
        <v>10</v>
      </c>
      <c r="F46" s="441" t="s">
        <v>11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36" t="s">
        <v>12</v>
      </c>
      <c r="B47" s="37"/>
      <c r="C47" s="38"/>
      <c r="D47" s="39"/>
      <c r="E47" s="442"/>
      <c r="F47" s="41" t="s">
        <v>13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2" t="s">
        <v>1508</v>
      </c>
      <c r="B48" s="43" t="s">
        <v>15</v>
      </c>
      <c r="C48" s="44">
        <v>920.0</v>
      </c>
      <c r="D48" s="45">
        <v>24968.51</v>
      </c>
      <c r="E48" s="443">
        <v>26162.35</v>
      </c>
      <c r="F48" s="47" t="s">
        <v>2648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2.75" customHeight="1">
      <c r="A49" s="48" t="s">
        <v>2186</v>
      </c>
      <c r="B49" s="49"/>
      <c r="C49" s="50"/>
      <c r="D49" s="45"/>
      <c r="E49" s="443"/>
      <c r="F49" s="51" t="s">
        <v>2649</v>
      </c>
      <c r="G49" s="52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21.75" customHeight="1">
      <c r="A50" s="48" t="s">
        <v>2650</v>
      </c>
      <c r="B50" s="54"/>
      <c r="C50" s="55"/>
      <c r="D50" s="56"/>
      <c r="E50" s="444"/>
      <c r="F50" s="420" t="s">
        <v>2651</v>
      </c>
      <c r="G50" s="52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22.5" customHeight="1">
      <c r="A51" s="33" t="s">
        <v>2652</v>
      </c>
      <c r="B51" s="27"/>
      <c r="C51" s="34" t="s">
        <v>8</v>
      </c>
      <c r="D51" s="34" t="s">
        <v>9</v>
      </c>
      <c r="E51" s="440" t="s">
        <v>10</v>
      </c>
      <c r="F51" s="441" t="s">
        <v>11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36" t="s">
        <v>12</v>
      </c>
      <c r="B52" s="37"/>
      <c r="C52" s="38"/>
      <c r="D52" s="39"/>
      <c r="E52" s="442"/>
      <c r="F52" s="41" t="s">
        <v>13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2" t="s">
        <v>1508</v>
      </c>
      <c r="B53" s="43" t="s">
        <v>15</v>
      </c>
      <c r="C53" s="44">
        <v>881.0</v>
      </c>
      <c r="D53" s="45">
        <v>25006.92</v>
      </c>
      <c r="E53" s="443">
        <v>26077.44</v>
      </c>
      <c r="F53" s="47" t="s">
        <v>2653</v>
      </c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2.75" customHeight="1">
      <c r="A54" s="48" t="s">
        <v>2197</v>
      </c>
      <c r="B54" s="49"/>
      <c r="C54" s="50"/>
      <c r="D54" s="45"/>
      <c r="E54" s="443"/>
      <c r="F54" s="51" t="s">
        <v>2654</v>
      </c>
      <c r="G54" s="52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21.75" customHeight="1">
      <c r="A55" s="48" t="s">
        <v>2655</v>
      </c>
      <c r="B55" s="54"/>
      <c r="C55" s="55"/>
      <c r="D55" s="56"/>
      <c r="E55" s="444"/>
      <c r="F55" s="420" t="s">
        <v>2656</v>
      </c>
      <c r="G55" s="52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21.75" customHeight="1">
      <c r="A56" s="33" t="s">
        <v>2657</v>
      </c>
      <c r="B56" s="27"/>
      <c r="C56" s="34" t="s">
        <v>8</v>
      </c>
      <c r="D56" s="34" t="s">
        <v>9</v>
      </c>
      <c r="E56" s="440" t="s">
        <v>10</v>
      </c>
      <c r="F56" s="441" t="s">
        <v>11</v>
      </c>
      <c r="G56" s="52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21.75" customHeight="1">
      <c r="A57" s="36" t="s">
        <v>12</v>
      </c>
      <c r="B57" s="37"/>
      <c r="C57" s="38"/>
      <c r="D57" s="39"/>
      <c r="E57" s="442"/>
      <c r="F57" s="41" t="s">
        <v>13</v>
      </c>
      <c r="G57" s="52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21.75" customHeight="1">
      <c r="A58" s="42" t="s">
        <v>1508</v>
      </c>
      <c r="B58" s="43" t="s">
        <v>15</v>
      </c>
      <c r="C58" s="44">
        <v>925.0</v>
      </c>
      <c r="D58" s="45">
        <v>24919.85</v>
      </c>
      <c r="E58" s="443">
        <v>26129.24</v>
      </c>
      <c r="F58" s="47" t="s">
        <v>2658</v>
      </c>
      <c r="G58" s="52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21.75" customHeight="1">
      <c r="A59" s="48" t="s">
        <v>2186</v>
      </c>
      <c r="B59" s="49"/>
      <c r="C59" s="50"/>
      <c r="D59" s="45"/>
      <c r="E59" s="443"/>
      <c r="F59" s="51" t="s">
        <v>2659</v>
      </c>
      <c r="G59" s="52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21.75" customHeight="1">
      <c r="A60" s="48" t="s">
        <v>2660</v>
      </c>
      <c r="B60" s="54"/>
      <c r="C60" s="55"/>
      <c r="D60" s="56"/>
      <c r="E60" s="444"/>
      <c r="F60" s="420" t="s">
        <v>2661</v>
      </c>
      <c r="G60" s="52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21.75" customHeight="1">
      <c r="A61" s="33" t="s">
        <v>2662</v>
      </c>
      <c r="B61" s="27"/>
      <c r="C61" s="34" t="s">
        <v>8</v>
      </c>
      <c r="D61" s="34" t="s">
        <v>9</v>
      </c>
      <c r="E61" s="440" t="s">
        <v>10</v>
      </c>
      <c r="F61" s="441" t="s">
        <v>11</v>
      </c>
      <c r="G61" s="52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21.75" customHeight="1">
      <c r="A62" s="36" t="s">
        <v>12</v>
      </c>
      <c r="B62" s="37"/>
      <c r="C62" s="38"/>
      <c r="D62" s="39"/>
      <c r="E62" s="442"/>
      <c r="F62" s="41" t="s">
        <v>13</v>
      </c>
      <c r="G62" s="52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21.75" customHeight="1">
      <c r="A63" s="42" t="s">
        <v>1508</v>
      </c>
      <c r="B63" s="43" t="s">
        <v>15</v>
      </c>
      <c r="C63" s="44">
        <v>915.0</v>
      </c>
      <c r="D63" s="45">
        <v>25016.78</v>
      </c>
      <c r="E63" s="443">
        <v>26246.67</v>
      </c>
      <c r="F63" s="47" t="s">
        <v>2663</v>
      </c>
      <c r="G63" s="52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21.75" customHeight="1">
      <c r="A64" s="48" t="s">
        <v>2186</v>
      </c>
      <c r="B64" s="49"/>
      <c r="C64" s="50"/>
      <c r="D64" s="45"/>
      <c r="E64" s="443"/>
      <c r="F64" s="51" t="s">
        <v>2664</v>
      </c>
      <c r="G64" s="52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21.75" customHeight="1">
      <c r="A65" s="48" t="s">
        <v>2665</v>
      </c>
      <c r="B65" s="54"/>
      <c r="C65" s="55"/>
      <c r="D65" s="56"/>
      <c r="E65" s="444"/>
      <c r="F65" s="420" t="s">
        <v>2666</v>
      </c>
      <c r="G65" s="52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21.75" customHeight="1">
      <c r="A66" s="33" t="s">
        <v>2667</v>
      </c>
      <c r="B66" s="27"/>
      <c r="C66" s="34" t="s">
        <v>8</v>
      </c>
      <c r="D66" s="34" t="s">
        <v>9</v>
      </c>
      <c r="E66" s="440" t="s">
        <v>10</v>
      </c>
      <c r="F66" s="441" t="s">
        <v>11</v>
      </c>
      <c r="G66" s="52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21.75" customHeight="1">
      <c r="A67" s="36" t="s">
        <v>12</v>
      </c>
      <c r="B67" s="37"/>
      <c r="C67" s="38"/>
      <c r="D67" s="39"/>
      <c r="E67" s="442"/>
      <c r="F67" s="41" t="s">
        <v>13</v>
      </c>
      <c r="G67" s="52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21.75" customHeight="1">
      <c r="A68" s="42" t="s">
        <v>1508</v>
      </c>
      <c r="B68" s="43" t="s">
        <v>15</v>
      </c>
      <c r="C68" s="44">
        <v>915.0</v>
      </c>
      <c r="D68" s="45">
        <v>24912.97</v>
      </c>
      <c r="E68" s="443">
        <v>26138.86</v>
      </c>
      <c r="F68" s="47" t="s">
        <v>2668</v>
      </c>
      <c r="G68" s="52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21.75" customHeight="1">
      <c r="A69" s="48" t="s">
        <v>2186</v>
      </c>
      <c r="B69" s="49"/>
      <c r="C69" s="50"/>
      <c r="D69" s="45"/>
      <c r="E69" s="443"/>
      <c r="F69" s="51" t="s">
        <v>2669</v>
      </c>
      <c r="G69" s="52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21.75" customHeight="1">
      <c r="A70" s="48" t="s">
        <v>2670</v>
      </c>
      <c r="B70" s="54"/>
      <c r="C70" s="55"/>
      <c r="D70" s="56"/>
      <c r="E70" s="444"/>
      <c r="F70" s="420" t="s">
        <v>2671</v>
      </c>
      <c r="G70" s="52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21.75" customHeight="1">
      <c r="A71" s="33" t="s">
        <v>2672</v>
      </c>
      <c r="B71" s="27"/>
      <c r="C71" s="34" t="s">
        <v>8</v>
      </c>
      <c r="D71" s="34" t="s">
        <v>9</v>
      </c>
      <c r="E71" s="440" t="s">
        <v>10</v>
      </c>
      <c r="F71" s="441" t="s">
        <v>11</v>
      </c>
      <c r="G71" s="52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21.75" customHeight="1">
      <c r="A72" s="36" t="s">
        <v>12</v>
      </c>
      <c r="B72" s="37"/>
      <c r="C72" s="38"/>
      <c r="D72" s="39"/>
      <c r="E72" s="442"/>
      <c r="F72" s="41" t="s">
        <v>13</v>
      </c>
      <c r="G72" s="52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21.75" customHeight="1">
      <c r="A73" s="42" t="s">
        <v>1508</v>
      </c>
      <c r="B73" s="43" t="s">
        <v>15</v>
      </c>
      <c r="C73" s="44">
        <v>920.0</v>
      </c>
      <c r="D73" s="45">
        <v>24977.79</v>
      </c>
      <c r="E73" s="443">
        <v>26205.31</v>
      </c>
      <c r="F73" s="47" t="s">
        <v>2673</v>
      </c>
      <c r="G73" s="52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21.75" customHeight="1">
      <c r="A74" s="48" t="s">
        <v>2186</v>
      </c>
      <c r="B74" s="49"/>
      <c r="C74" s="50"/>
      <c r="D74" s="45"/>
      <c r="E74" s="443"/>
      <c r="F74" s="51" t="s">
        <v>2674</v>
      </c>
      <c r="G74" s="52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21.75" customHeight="1">
      <c r="A75" s="48" t="s">
        <v>2675</v>
      </c>
      <c r="B75" s="54"/>
      <c r="C75" s="55"/>
      <c r="D75" s="56"/>
      <c r="E75" s="444"/>
      <c r="F75" s="420" t="s">
        <v>2676</v>
      </c>
      <c r="G75" s="52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21.75" customHeight="1">
      <c r="A76" s="33" t="s">
        <v>2677</v>
      </c>
      <c r="B76" s="27"/>
      <c r="C76" s="34" t="s">
        <v>8</v>
      </c>
      <c r="D76" s="34" t="s">
        <v>9</v>
      </c>
      <c r="E76" s="440" t="s">
        <v>10</v>
      </c>
      <c r="F76" s="441" t="s">
        <v>11</v>
      </c>
      <c r="G76" s="52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21.75" customHeight="1">
      <c r="A77" s="36" t="s">
        <v>12</v>
      </c>
      <c r="B77" s="37"/>
      <c r="C77" s="38"/>
      <c r="D77" s="39"/>
      <c r="E77" s="442"/>
      <c r="F77" s="41" t="s">
        <v>13</v>
      </c>
      <c r="G77" s="52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21.75" customHeight="1">
      <c r="A78" s="42" t="s">
        <v>1508</v>
      </c>
      <c r="B78" s="43" t="s">
        <v>15</v>
      </c>
      <c r="C78" s="44">
        <v>878.0</v>
      </c>
      <c r="D78" s="45">
        <v>25095.95</v>
      </c>
      <c r="E78" s="443">
        <v>26343.89</v>
      </c>
      <c r="F78" s="47" t="s">
        <v>2678</v>
      </c>
      <c r="G78" s="52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21.75" customHeight="1">
      <c r="A79" s="48" t="s">
        <v>2240</v>
      </c>
      <c r="B79" s="49"/>
      <c r="C79" s="50"/>
      <c r="D79" s="45"/>
      <c r="E79" s="443"/>
      <c r="F79" s="51" t="s">
        <v>2679</v>
      </c>
      <c r="G79" s="52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21.75" customHeight="1">
      <c r="A80" s="48" t="s">
        <v>2680</v>
      </c>
      <c r="B80" s="54"/>
      <c r="C80" s="55"/>
      <c r="D80" s="56"/>
      <c r="E80" s="444"/>
      <c r="F80" s="420" t="s">
        <v>2681</v>
      </c>
      <c r="G80" s="52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21.75" customHeight="1">
      <c r="A81" s="33" t="s">
        <v>2682</v>
      </c>
      <c r="B81" s="27"/>
      <c r="C81" s="34" t="s">
        <v>8</v>
      </c>
      <c r="D81" s="34" t="s">
        <v>9</v>
      </c>
      <c r="E81" s="440" t="s">
        <v>10</v>
      </c>
      <c r="F81" s="441" t="s">
        <v>11</v>
      </c>
      <c r="G81" s="52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21.75" customHeight="1">
      <c r="A82" s="36" t="s">
        <v>12</v>
      </c>
      <c r="B82" s="37"/>
      <c r="C82" s="38"/>
      <c r="D82" s="39"/>
      <c r="E82" s="442"/>
      <c r="F82" s="41" t="s">
        <v>13</v>
      </c>
      <c r="G82" s="52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21.75" customHeight="1">
      <c r="A83" s="42" t="s">
        <v>1508</v>
      </c>
      <c r="B83" s="43" t="s">
        <v>15</v>
      </c>
      <c r="C83" s="44">
        <v>915.0</v>
      </c>
      <c r="D83" s="45">
        <v>24984.13</v>
      </c>
      <c r="E83" s="443">
        <v>26196.42</v>
      </c>
      <c r="F83" s="47" t="s">
        <v>2683</v>
      </c>
      <c r="G83" s="52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21.75" customHeight="1">
      <c r="A84" s="48" t="s">
        <v>2186</v>
      </c>
      <c r="B84" s="49"/>
      <c r="C84" s="50"/>
      <c r="D84" s="45"/>
      <c r="E84" s="443"/>
      <c r="F84" s="51" t="s">
        <v>2684</v>
      </c>
      <c r="G84" s="52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21.75" customHeight="1">
      <c r="A85" s="48" t="s">
        <v>2685</v>
      </c>
      <c r="B85" s="54"/>
      <c r="C85" s="55"/>
      <c r="D85" s="56"/>
      <c r="E85" s="444"/>
      <c r="F85" s="420" t="s">
        <v>2686</v>
      </c>
      <c r="G85" s="52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21.75" customHeight="1">
      <c r="A86" s="33" t="s">
        <v>2687</v>
      </c>
      <c r="B86" s="27"/>
      <c r="C86" s="34" t="s">
        <v>8</v>
      </c>
      <c r="D86" s="34" t="s">
        <v>9</v>
      </c>
      <c r="E86" s="440" t="s">
        <v>10</v>
      </c>
      <c r="F86" s="441" t="s">
        <v>11</v>
      </c>
      <c r="G86" s="52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21.75" customHeight="1">
      <c r="A87" s="36" t="s">
        <v>12</v>
      </c>
      <c r="B87" s="37"/>
      <c r="C87" s="38"/>
      <c r="D87" s="39"/>
      <c r="E87" s="442"/>
      <c r="F87" s="41" t="s">
        <v>13</v>
      </c>
      <c r="G87" s="52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21.75" customHeight="1">
      <c r="A88" s="42" t="s">
        <v>1508</v>
      </c>
      <c r="B88" s="43" t="s">
        <v>15</v>
      </c>
      <c r="C88" s="44">
        <v>920.0</v>
      </c>
      <c r="D88" s="45">
        <v>25015.3</v>
      </c>
      <c r="E88" s="443">
        <v>26229.7</v>
      </c>
      <c r="F88" s="47" t="s">
        <v>2688</v>
      </c>
      <c r="G88" s="52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21.75" customHeight="1">
      <c r="A89" s="48" t="s">
        <v>2186</v>
      </c>
      <c r="B89" s="49"/>
      <c r="C89" s="50"/>
      <c r="D89" s="45"/>
      <c r="E89" s="443"/>
      <c r="F89" s="51" t="s">
        <v>2689</v>
      </c>
      <c r="G89" s="52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21.75" customHeight="1">
      <c r="A90" s="48" t="s">
        <v>2690</v>
      </c>
      <c r="B90" s="54"/>
      <c r="C90" s="55"/>
      <c r="D90" s="56"/>
      <c r="E90" s="444"/>
      <c r="F90" s="420" t="s">
        <v>2691</v>
      </c>
      <c r="G90" s="52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21.75" customHeight="1">
      <c r="A91" s="33" t="s">
        <v>2692</v>
      </c>
      <c r="B91" s="27"/>
      <c r="C91" s="34" t="s">
        <v>8</v>
      </c>
      <c r="D91" s="34" t="s">
        <v>9</v>
      </c>
      <c r="E91" s="440" t="s">
        <v>10</v>
      </c>
      <c r="F91" s="441" t="s">
        <v>11</v>
      </c>
      <c r="G91" s="52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21.75" customHeight="1">
      <c r="A92" s="36" t="s">
        <v>12</v>
      </c>
      <c r="B92" s="37"/>
      <c r="C92" s="38"/>
      <c r="D92" s="39"/>
      <c r="E92" s="442"/>
      <c r="F92" s="41" t="s">
        <v>13</v>
      </c>
      <c r="G92" s="52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21.75" customHeight="1">
      <c r="A93" s="42" t="s">
        <v>1508</v>
      </c>
      <c r="B93" s="43" t="s">
        <v>15</v>
      </c>
      <c r="C93" s="44">
        <v>913.0</v>
      </c>
      <c r="D93" s="45">
        <v>25147.72</v>
      </c>
      <c r="E93" s="443">
        <v>26407.53</v>
      </c>
      <c r="F93" s="47" t="s">
        <v>2693</v>
      </c>
      <c r="G93" s="52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21.75" customHeight="1">
      <c r="A94" s="48" t="s">
        <v>2186</v>
      </c>
      <c r="B94" s="49"/>
      <c r="C94" s="50"/>
      <c r="D94" s="45"/>
      <c r="E94" s="443"/>
      <c r="F94" s="51" t="s">
        <v>2694</v>
      </c>
      <c r="G94" s="52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21.75" customHeight="1">
      <c r="A95" s="48" t="s">
        <v>2695</v>
      </c>
      <c r="B95" s="54"/>
      <c r="C95" s="55"/>
      <c r="D95" s="56"/>
      <c r="E95" s="444"/>
      <c r="F95" s="420" t="s">
        <v>2696</v>
      </c>
      <c r="G95" s="52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21.75" customHeight="1">
      <c r="A96" s="33" t="s">
        <v>2697</v>
      </c>
      <c r="B96" s="27"/>
      <c r="C96" s="34" t="s">
        <v>8</v>
      </c>
      <c r="D96" s="34" t="s">
        <v>9</v>
      </c>
      <c r="E96" s="440" t="s">
        <v>10</v>
      </c>
      <c r="F96" s="441" t="s">
        <v>11</v>
      </c>
      <c r="G96" s="52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21.75" customHeight="1">
      <c r="A97" s="36" t="s">
        <v>12</v>
      </c>
      <c r="B97" s="37"/>
      <c r="C97" s="38"/>
      <c r="D97" s="39"/>
      <c r="E97" s="442"/>
      <c r="F97" s="41" t="s">
        <v>13</v>
      </c>
      <c r="G97" s="52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21.75" customHeight="1">
      <c r="A98" s="42" t="s">
        <v>1508</v>
      </c>
      <c r="B98" s="43" t="s">
        <v>15</v>
      </c>
      <c r="C98" s="44">
        <v>900.0</v>
      </c>
      <c r="D98" s="45">
        <v>24591.35</v>
      </c>
      <c r="E98" s="443">
        <v>25750.7</v>
      </c>
      <c r="F98" s="47" t="s">
        <v>2698</v>
      </c>
      <c r="G98" s="52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21.75" customHeight="1">
      <c r="A99" s="48" t="s">
        <v>2197</v>
      </c>
      <c r="B99" s="49"/>
      <c r="C99" s="50"/>
      <c r="D99" s="45"/>
      <c r="E99" s="443"/>
      <c r="F99" s="51" t="s">
        <v>2699</v>
      </c>
      <c r="G99" s="52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21.75" customHeight="1">
      <c r="A100" s="48" t="s">
        <v>2700</v>
      </c>
      <c r="B100" s="54"/>
      <c r="C100" s="55"/>
      <c r="D100" s="56"/>
      <c r="E100" s="444"/>
      <c r="F100" s="420" t="s">
        <v>2701</v>
      </c>
      <c r="G100" s="52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21.75" customHeight="1">
      <c r="A101" s="33" t="s">
        <v>2702</v>
      </c>
      <c r="B101" s="27"/>
      <c r="C101" s="34" t="s">
        <v>8</v>
      </c>
      <c r="D101" s="34" t="s">
        <v>9</v>
      </c>
      <c r="E101" s="440" t="s">
        <v>10</v>
      </c>
      <c r="F101" s="441" t="s">
        <v>11</v>
      </c>
      <c r="G101" s="52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21.75" customHeight="1">
      <c r="A102" s="36" t="s">
        <v>12</v>
      </c>
      <c r="B102" s="37"/>
      <c r="C102" s="38"/>
      <c r="D102" s="39"/>
      <c r="E102" s="442"/>
      <c r="F102" s="41" t="s">
        <v>13</v>
      </c>
      <c r="G102" s="52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21.75" customHeight="1">
      <c r="A103" s="42" t="s">
        <v>1508</v>
      </c>
      <c r="B103" s="43" t="s">
        <v>15</v>
      </c>
      <c r="C103" s="44">
        <v>920.0</v>
      </c>
      <c r="D103" s="45">
        <v>25004.16</v>
      </c>
      <c r="E103" s="443">
        <v>26239.04</v>
      </c>
      <c r="F103" s="47" t="s">
        <v>2703</v>
      </c>
      <c r="G103" s="52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21.75" customHeight="1">
      <c r="A104" s="48" t="s">
        <v>2186</v>
      </c>
      <c r="B104" s="49"/>
      <c r="C104" s="50"/>
      <c r="D104" s="45"/>
      <c r="E104" s="443"/>
      <c r="F104" s="51" t="s">
        <v>2704</v>
      </c>
      <c r="G104" s="52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21.75" customHeight="1">
      <c r="A105" s="48" t="s">
        <v>2208</v>
      </c>
      <c r="B105" s="54"/>
      <c r="C105" s="55"/>
      <c r="D105" s="56"/>
      <c r="E105" s="444"/>
      <c r="F105" s="420" t="s">
        <v>2705</v>
      </c>
      <c r="G105" s="52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21.75" customHeight="1">
      <c r="A106" s="33" t="s">
        <v>2706</v>
      </c>
      <c r="B106" s="27"/>
      <c r="C106" s="34" t="s">
        <v>8</v>
      </c>
      <c r="D106" s="34" t="s">
        <v>9</v>
      </c>
      <c r="E106" s="440" t="s">
        <v>10</v>
      </c>
      <c r="F106" s="441" t="s">
        <v>11</v>
      </c>
      <c r="G106" s="52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21.75" customHeight="1">
      <c r="A107" s="36" t="s">
        <v>12</v>
      </c>
      <c r="B107" s="37"/>
      <c r="C107" s="38"/>
      <c r="D107" s="39"/>
      <c r="E107" s="442"/>
      <c r="F107" s="41" t="s">
        <v>13</v>
      </c>
      <c r="G107" s="52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21.75" customHeight="1">
      <c r="A108" s="42" t="s">
        <v>1508</v>
      </c>
      <c r="B108" s="43" t="s">
        <v>15</v>
      </c>
      <c r="C108" s="44">
        <v>919.0</v>
      </c>
      <c r="D108" s="45">
        <v>25001.49</v>
      </c>
      <c r="E108" s="443">
        <v>26189.5</v>
      </c>
      <c r="F108" s="47" t="s">
        <v>2707</v>
      </c>
      <c r="G108" s="52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21.75" customHeight="1">
      <c r="A109" s="48" t="s">
        <v>2186</v>
      </c>
      <c r="B109" s="49"/>
      <c r="C109" s="50"/>
      <c r="D109" s="45"/>
      <c r="E109" s="443"/>
      <c r="F109" s="51" t="s">
        <v>2708</v>
      </c>
      <c r="G109" s="52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21.75" customHeight="1">
      <c r="A110" s="48" t="s">
        <v>2709</v>
      </c>
      <c r="B110" s="54"/>
      <c r="C110" s="55"/>
      <c r="D110" s="56"/>
      <c r="E110" s="444"/>
      <c r="F110" s="420" t="s">
        <v>2710</v>
      </c>
      <c r="G110" s="52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21.75" customHeight="1">
      <c r="A111" s="33" t="s">
        <v>2711</v>
      </c>
      <c r="B111" s="27"/>
      <c r="C111" s="34" t="s">
        <v>8</v>
      </c>
      <c r="D111" s="34" t="s">
        <v>9</v>
      </c>
      <c r="E111" s="440" t="s">
        <v>10</v>
      </c>
      <c r="F111" s="441" t="s">
        <v>11</v>
      </c>
      <c r="G111" s="52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21.75" customHeight="1">
      <c r="A112" s="36" t="s">
        <v>12</v>
      </c>
      <c r="B112" s="37"/>
      <c r="C112" s="38"/>
      <c r="D112" s="39"/>
      <c r="E112" s="442"/>
      <c r="F112" s="41" t="s">
        <v>13</v>
      </c>
      <c r="G112" s="52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21.75" customHeight="1">
      <c r="A113" s="42" t="s">
        <v>1508</v>
      </c>
      <c r="B113" s="43" t="s">
        <v>15</v>
      </c>
      <c r="C113" s="44">
        <v>885.0</v>
      </c>
      <c r="D113" s="45">
        <v>25007.44</v>
      </c>
      <c r="E113" s="443">
        <v>26161.23</v>
      </c>
      <c r="F113" s="47" t="s">
        <v>2712</v>
      </c>
      <c r="G113" s="52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21.75" customHeight="1">
      <c r="A114" s="48" t="s">
        <v>2240</v>
      </c>
      <c r="B114" s="49"/>
      <c r="C114" s="50"/>
      <c r="D114" s="45"/>
      <c r="E114" s="443"/>
      <c r="F114" s="51" t="s">
        <v>2713</v>
      </c>
      <c r="G114" s="52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21.75" customHeight="1">
      <c r="A115" s="48" t="s">
        <v>2714</v>
      </c>
      <c r="B115" s="54"/>
      <c r="C115" s="55"/>
      <c r="D115" s="56"/>
      <c r="E115" s="444"/>
      <c r="F115" s="420" t="s">
        <v>2715</v>
      </c>
      <c r="G115" s="52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21.75" customHeight="1">
      <c r="A116" s="33" t="s">
        <v>2716</v>
      </c>
      <c r="B116" s="27"/>
      <c r="C116" s="34" t="s">
        <v>8</v>
      </c>
      <c r="D116" s="34" t="s">
        <v>9</v>
      </c>
      <c r="E116" s="440" t="s">
        <v>10</v>
      </c>
      <c r="F116" s="441" t="s">
        <v>11</v>
      </c>
      <c r="G116" s="52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21.75" customHeight="1">
      <c r="A117" s="36" t="s">
        <v>12</v>
      </c>
      <c r="B117" s="37"/>
      <c r="C117" s="38"/>
      <c r="D117" s="39"/>
      <c r="E117" s="442"/>
      <c r="F117" s="41" t="s">
        <v>13</v>
      </c>
      <c r="G117" s="52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21.75" customHeight="1">
      <c r="A118" s="42" t="s">
        <v>1508</v>
      </c>
      <c r="B118" s="43" t="s">
        <v>15</v>
      </c>
      <c r="C118" s="44">
        <v>920.0</v>
      </c>
      <c r="D118" s="45">
        <v>24990.24</v>
      </c>
      <c r="E118" s="443">
        <v>26197.12</v>
      </c>
      <c r="F118" s="47" t="s">
        <v>2717</v>
      </c>
      <c r="G118" s="52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21.75" customHeight="1">
      <c r="A119" s="48" t="s">
        <v>2186</v>
      </c>
      <c r="B119" s="49"/>
      <c r="C119" s="50"/>
      <c r="D119" s="45"/>
      <c r="E119" s="443"/>
      <c r="F119" s="51" t="s">
        <v>2718</v>
      </c>
      <c r="G119" s="52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21.75" customHeight="1">
      <c r="A120" s="48" t="s">
        <v>2719</v>
      </c>
      <c r="B120" s="54"/>
      <c r="C120" s="55"/>
      <c r="D120" s="56"/>
      <c r="E120" s="444"/>
      <c r="F120" s="420" t="s">
        <v>2720</v>
      </c>
      <c r="G120" s="52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21.75" customHeight="1">
      <c r="A121" s="33" t="s">
        <v>2721</v>
      </c>
      <c r="B121" s="27"/>
      <c r="C121" s="34" t="s">
        <v>8</v>
      </c>
      <c r="D121" s="34" t="s">
        <v>9</v>
      </c>
      <c r="E121" s="440" t="s">
        <v>10</v>
      </c>
      <c r="F121" s="441" t="s">
        <v>11</v>
      </c>
      <c r="G121" s="52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21.75" customHeight="1">
      <c r="A122" s="36" t="s">
        <v>12</v>
      </c>
      <c r="B122" s="37"/>
      <c r="C122" s="38"/>
      <c r="D122" s="39"/>
      <c r="E122" s="442"/>
      <c r="F122" s="41" t="s">
        <v>13</v>
      </c>
      <c r="G122" s="52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21.75" customHeight="1">
      <c r="A123" s="42" t="s">
        <v>1508</v>
      </c>
      <c r="B123" s="43" t="s">
        <v>15</v>
      </c>
      <c r="C123" s="44">
        <v>915.0</v>
      </c>
      <c r="D123" s="45">
        <v>24933.93</v>
      </c>
      <c r="E123" s="443">
        <v>26130.38</v>
      </c>
      <c r="F123" s="47" t="s">
        <v>2722</v>
      </c>
      <c r="G123" s="52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21.75" customHeight="1">
      <c r="A124" s="48" t="s">
        <v>2186</v>
      </c>
      <c r="B124" s="49"/>
      <c r="C124" s="50"/>
      <c r="D124" s="45"/>
      <c r="E124" s="443"/>
      <c r="F124" s="51" t="s">
        <v>2723</v>
      </c>
      <c r="G124" s="52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21.75" customHeight="1">
      <c r="A125" s="48" t="s">
        <v>2724</v>
      </c>
      <c r="B125" s="54"/>
      <c r="C125" s="55"/>
      <c r="D125" s="56"/>
      <c r="E125" s="444"/>
      <c r="F125" s="420" t="s">
        <v>2725</v>
      </c>
      <c r="G125" s="52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21.75" customHeight="1">
      <c r="A126" s="33" t="s">
        <v>2726</v>
      </c>
      <c r="B126" s="27"/>
      <c r="C126" s="34" t="s">
        <v>8</v>
      </c>
      <c r="D126" s="34" t="s">
        <v>9</v>
      </c>
      <c r="E126" s="440" t="s">
        <v>10</v>
      </c>
      <c r="F126" s="441" t="s">
        <v>11</v>
      </c>
      <c r="G126" s="52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21.75" customHeight="1">
      <c r="A127" s="36" t="s">
        <v>12</v>
      </c>
      <c r="B127" s="37"/>
      <c r="C127" s="38"/>
      <c r="D127" s="39"/>
      <c r="E127" s="442"/>
      <c r="F127" s="41" t="s">
        <v>13</v>
      </c>
      <c r="G127" s="52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21.75" customHeight="1">
      <c r="A128" s="42" t="s">
        <v>1508</v>
      </c>
      <c r="B128" s="43" t="s">
        <v>15</v>
      </c>
      <c r="C128" s="44">
        <v>920.0</v>
      </c>
      <c r="D128" s="45">
        <v>24939.67</v>
      </c>
      <c r="E128" s="443">
        <v>26120.63</v>
      </c>
      <c r="F128" s="47" t="s">
        <v>2727</v>
      </c>
      <c r="G128" s="52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21.75" customHeight="1">
      <c r="A129" s="48" t="s">
        <v>2186</v>
      </c>
      <c r="B129" s="49"/>
      <c r="C129" s="50"/>
      <c r="D129" s="45"/>
      <c r="E129" s="443"/>
      <c r="F129" s="51" t="s">
        <v>2728</v>
      </c>
      <c r="G129" s="52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21.75" customHeight="1">
      <c r="A130" s="48" t="s">
        <v>2729</v>
      </c>
      <c r="B130" s="54"/>
      <c r="C130" s="55"/>
      <c r="D130" s="56"/>
      <c r="E130" s="444"/>
      <c r="F130" s="420" t="s">
        <v>2730</v>
      </c>
      <c r="G130" s="52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21.75" customHeight="1">
      <c r="A131" s="33" t="s">
        <v>2731</v>
      </c>
      <c r="B131" s="27"/>
      <c r="C131" s="34" t="s">
        <v>8</v>
      </c>
      <c r="D131" s="34" t="s">
        <v>9</v>
      </c>
      <c r="E131" s="440" t="s">
        <v>10</v>
      </c>
      <c r="F131" s="441" t="s">
        <v>11</v>
      </c>
      <c r="G131" s="52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21.75" customHeight="1">
      <c r="A132" s="36" t="s">
        <v>12</v>
      </c>
      <c r="B132" s="37"/>
      <c r="C132" s="38"/>
      <c r="D132" s="39"/>
      <c r="E132" s="442"/>
      <c r="F132" s="41" t="s">
        <v>13</v>
      </c>
      <c r="G132" s="52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21.75" customHeight="1">
      <c r="A133" s="42" t="s">
        <v>1508</v>
      </c>
      <c r="B133" s="43" t="s">
        <v>15</v>
      </c>
      <c r="C133" s="44">
        <v>874.0</v>
      </c>
      <c r="D133" s="45">
        <v>24983.45</v>
      </c>
      <c r="E133" s="443">
        <v>26099.93</v>
      </c>
      <c r="F133" s="47" t="s">
        <v>2732</v>
      </c>
      <c r="G133" s="52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21.75" customHeight="1">
      <c r="A134" s="48" t="s">
        <v>2197</v>
      </c>
      <c r="B134" s="49"/>
      <c r="C134" s="50"/>
      <c r="D134" s="45"/>
      <c r="E134" s="443"/>
      <c r="F134" s="51" t="s">
        <v>2733</v>
      </c>
      <c r="G134" s="52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21.75" customHeight="1">
      <c r="A135" s="48" t="s">
        <v>2734</v>
      </c>
      <c r="B135" s="54"/>
      <c r="C135" s="55"/>
      <c r="D135" s="56"/>
      <c r="E135" s="444"/>
      <c r="F135" s="420" t="s">
        <v>2735</v>
      </c>
      <c r="G135" s="52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21.75" customHeight="1">
      <c r="A136" s="33" t="s">
        <v>2736</v>
      </c>
      <c r="B136" s="27"/>
      <c r="C136" s="34" t="s">
        <v>8</v>
      </c>
      <c r="D136" s="34" t="s">
        <v>9</v>
      </c>
      <c r="E136" s="440" t="s">
        <v>10</v>
      </c>
      <c r="F136" s="441" t="s">
        <v>11</v>
      </c>
      <c r="G136" s="52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21.75" customHeight="1">
      <c r="A137" s="36" t="s">
        <v>12</v>
      </c>
      <c r="B137" s="37"/>
      <c r="C137" s="38"/>
      <c r="D137" s="39"/>
      <c r="E137" s="442"/>
      <c r="F137" s="41" t="s">
        <v>13</v>
      </c>
      <c r="G137" s="52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21.75" customHeight="1">
      <c r="A138" s="42" t="s">
        <v>1508</v>
      </c>
      <c r="B138" s="43" t="s">
        <v>15</v>
      </c>
      <c r="C138" s="44">
        <v>901.0</v>
      </c>
      <c r="D138" s="45">
        <v>25119.89</v>
      </c>
      <c r="E138" s="443">
        <v>26313.37</v>
      </c>
      <c r="F138" s="47" t="s">
        <v>2737</v>
      </c>
      <c r="G138" s="52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21.75" customHeight="1">
      <c r="A139" s="48" t="s">
        <v>2240</v>
      </c>
      <c r="B139" s="49"/>
      <c r="C139" s="50"/>
      <c r="D139" s="45"/>
      <c r="E139" s="443"/>
      <c r="F139" s="51" t="s">
        <v>2738</v>
      </c>
      <c r="G139" s="52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21.75" customHeight="1">
      <c r="A140" s="48" t="s">
        <v>2739</v>
      </c>
      <c r="B140" s="54"/>
      <c r="C140" s="55"/>
      <c r="D140" s="56"/>
      <c r="E140" s="444"/>
      <c r="F140" s="420" t="s">
        <v>2740</v>
      </c>
      <c r="G140" s="52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21.75" customHeight="1">
      <c r="A141" s="33" t="s">
        <v>2741</v>
      </c>
      <c r="B141" s="27"/>
      <c r="C141" s="34" t="s">
        <v>8</v>
      </c>
      <c r="D141" s="34" t="s">
        <v>9</v>
      </c>
      <c r="E141" s="440" t="s">
        <v>10</v>
      </c>
      <c r="F141" s="441" t="s">
        <v>11</v>
      </c>
      <c r="G141" s="52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21.75" customHeight="1">
      <c r="A142" s="36" t="s">
        <v>12</v>
      </c>
      <c r="B142" s="37"/>
      <c r="C142" s="38"/>
      <c r="D142" s="39"/>
      <c r="E142" s="442"/>
      <c r="F142" s="41" t="s">
        <v>13</v>
      </c>
      <c r="G142" s="52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21.75" customHeight="1">
      <c r="A143" s="42" t="s">
        <v>1508</v>
      </c>
      <c r="B143" s="43" t="s">
        <v>15</v>
      </c>
      <c r="C143" s="44">
        <v>919.0</v>
      </c>
      <c r="D143" s="45">
        <v>24994.35</v>
      </c>
      <c r="E143" s="443">
        <v>26195.4</v>
      </c>
      <c r="F143" s="47" t="s">
        <v>2742</v>
      </c>
      <c r="G143" s="52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21.75" customHeight="1">
      <c r="A144" s="48" t="s">
        <v>2186</v>
      </c>
      <c r="B144" s="49"/>
      <c r="C144" s="50"/>
      <c r="D144" s="45"/>
      <c r="E144" s="443"/>
      <c r="F144" s="51" t="s">
        <v>2743</v>
      </c>
      <c r="G144" s="52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21.75" customHeight="1">
      <c r="A145" s="48" t="s">
        <v>2271</v>
      </c>
      <c r="B145" s="54"/>
      <c r="C145" s="55"/>
      <c r="D145" s="56"/>
      <c r="E145" s="444"/>
      <c r="F145" s="420" t="s">
        <v>2744</v>
      </c>
      <c r="G145" s="52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21.75" customHeight="1">
      <c r="A146" s="33" t="s">
        <v>2745</v>
      </c>
      <c r="B146" s="27"/>
      <c r="C146" s="34" t="s">
        <v>8</v>
      </c>
      <c r="D146" s="34" t="s">
        <v>9</v>
      </c>
      <c r="E146" s="440" t="s">
        <v>10</v>
      </c>
      <c r="F146" s="441" t="s">
        <v>11</v>
      </c>
      <c r="G146" s="52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21.75" customHeight="1">
      <c r="A147" s="36" t="s">
        <v>12</v>
      </c>
      <c r="B147" s="37"/>
      <c r="C147" s="38"/>
      <c r="D147" s="39"/>
      <c r="E147" s="442"/>
      <c r="F147" s="41" t="s">
        <v>13</v>
      </c>
      <c r="G147" s="52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21.75" customHeight="1">
      <c r="A148" s="42" t="s">
        <v>1508</v>
      </c>
      <c r="B148" s="43" t="s">
        <v>15</v>
      </c>
      <c r="C148" s="44">
        <v>910.0</v>
      </c>
      <c r="D148" s="45">
        <v>24904.71</v>
      </c>
      <c r="E148" s="443">
        <v>26118.09</v>
      </c>
      <c r="F148" s="47" t="s">
        <v>2746</v>
      </c>
      <c r="G148" s="52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21.75" customHeight="1">
      <c r="A149" s="48" t="s">
        <v>2186</v>
      </c>
      <c r="B149" s="49"/>
      <c r="C149" s="50"/>
      <c r="D149" s="45"/>
      <c r="E149" s="443"/>
      <c r="F149" s="51" t="s">
        <v>2747</v>
      </c>
      <c r="G149" s="52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21.75" customHeight="1">
      <c r="A150" s="48" t="s">
        <v>2748</v>
      </c>
      <c r="B150" s="54"/>
      <c r="C150" s="55"/>
      <c r="D150" s="56"/>
      <c r="E150" s="444"/>
      <c r="F150" s="420" t="s">
        <v>2749</v>
      </c>
      <c r="G150" s="52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21.75" customHeight="1">
      <c r="A151" s="33" t="s">
        <v>2750</v>
      </c>
      <c r="B151" s="27"/>
      <c r="C151" s="34" t="s">
        <v>8</v>
      </c>
      <c r="D151" s="34" t="s">
        <v>9</v>
      </c>
      <c r="E151" s="440" t="s">
        <v>10</v>
      </c>
      <c r="F151" s="441" t="s">
        <v>11</v>
      </c>
      <c r="G151" s="52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21.75" customHeight="1">
      <c r="A152" s="36" t="s">
        <v>12</v>
      </c>
      <c r="B152" s="37"/>
      <c r="C152" s="38"/>
      <c r="D152" s="39"/>
      <c r="E152" s="442"/>
      <c r="F152" s="41" t="s">
        <v>13</v>
      </c>
      <c r="G152" s="52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21.75" customHeight="1">
      <c r="A153" s="42" t="s">
        <v>1508</v>
      </c>
      <c r="B153" s="43" t="s">
        <v>15</v>
      </c>
      <c r="C153" s="44">
        <v>884.0</v>
      </c>
      <c r="D153" s="45">
        <v>25037.98</v>
      </c>
      <c r="E153" s="443">
        <v>26183.41</v>
      </c>
      <c r="F153" s="47" t="s">
        <v>2751</v>
      </c>
      <c r="G153" s="52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21.75" customHeight="1">
      <c r="A154" s="48" t="s">
        <v>2186</v>
      </c>
      <c r="B154" s="49"/>
      <c r="C154" s="50"/>
      <c r="D154" s="45"/>
      <c r="E154" s="443"/>
      <c r="F154" s="51" t="s">
        <v>2752</v>
      </c>
      <c r="G154" s="52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7.25" customHeight="1">
      <c r="A155" s="48" t="s">
        <v>2753</v>
      </c>
      <c r="B155" s="54"/>
      <c r="C155" s="55"/>
      <c r="D155" s="56"/>
      <c r="E155" s="444"/>
      <c r="F155" s="420" t="s">
        <v>2754</v>
      </c>
      <c r="G155" s="52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21.75" customHeight="1">
      <c r="A156" s="33" t="s">
        <v>2755</v>
      </c>
      <c r="B156" s="27"/>
      <c r="C156" s="34" t="s">
        <v>8</v>
      </c>
      <c r="D156" s="34" t="s">
        <v>9</v>
      </c>
      <c r="E156" s="440" t="s">
        <v>10</v>
      </c>
      <c r="F156" s="441" t="s">
        <v>11</v>
      </c>
      <c r="G156" s="52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21.75" customHeight="1">
      <c r="A157" s="36" t="s">
        <v>12</v>
      </c>
      <c r="B157" s="37"/>
      <c r="C157" s="38"/>
      <c r="D157" s="39"/>
      <c r="E157" s="442"/>
      <c r="F157" s="41" t="s">
        <v>13</v>
      </c>
      <c r="G157" s="52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21.75" customHeight="1">
      <c r="A158" s="42" t="s">
        <v>1508</v>
      </c>
      <c r="B158" s="43" t="s">
        <v>15</v>
      </c>
      <c r="C158" s="44">
        <v>910.0</v>
      </c>
      <c r="D158" s="45">
        <v>24965.48</v>
      </c>
      <c r="E158" s="443">
        <v>26132.78</v>
      </c>
      <c r="F158" s="47" t="s">
        <v>2756</v>
      </c>
      <c r="G158" s="52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21.75" customHeight="1">
      <c r="A159" s="48" t="s">
        <v>2186</v>
      </c>
      <c r="B159" s="49"/>
      <c r="C159" s="50"/>
      <c r="D159" s="45"/>
      <c r="E159" s="443"/>
      <c r="F159" s="51" t="s">
        <v>2757</v>
      </c>
      <c r="G159" s="52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7.25" customHeight="1">
      <c r="A160" s="48" t="s">
        <v>2758</v>
      </c>
      <c r="B160" s="54"/>
      <c r="C160" s="55"/>
      <c r="D160" s="56"/>
      <c r="E160" s="444"/>
      <c r="F160" s="420" t="s">
        <v>2759</v>
      </c>
      <c r="G160" s="52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21.75" customHeight="1">
      <c r="A161" s="33" t="s">
        <v>2760</v>
      </c>
      <c r="B161" s="27"/>
      <c r="C161" s="34" t="s">
        <v>8</v>
      </c>
      <c r="D161" s="34" t="s">
        <v>9</v>
      </c>
      <c r="E161" s="440" t="s">
        <v>10</v>
      </c>
      <c r="F161" s="441" t="s">
        <v>11</v>
      </c>
      <c r="G161" s="52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21.75" customHeight="1">
      <c r="A162" s="36" t="s">
        <v>12</v>
      </c>
      <c r="B162" s="37"/>
      <c r="C162" s="38"/>
      <c r="D162" s="39"/>
      <c r="E162" s="442"/>
      <c r="F162" s="41" t="s">
        <v>13</v>
      </c>
      <c r="G162" s="52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21.75" customHeight="1">
      <c r="A163" s="42" t="s">
        <v>1508</v>
      </c>
      <c r="B163" s="43" t="s">
        <v>15</v>
      </c>
      <c r="C163" s="44">
        <v>865.0</v>
      </c>
      <c r="D163" s="45">
        <v>24966.98</v>
      </c>
      <c r="E163" s="443">
        <v>26062.23</v>
      </c>
      <c r="F163" s="47" t="s">
        <v>2761</v>
      </c>
      <c r="G163" s="52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21.75" customHeight="1">
      <c r="A164" s="48" t="s">
        <v>2240</v>
      </c>
      <c r="B164" s="49"/>
      <c r="C164" s="50"/>
      <c r="D164" s="45"/>
      <c r="E164" s="443"/>
      <c r="F164" s="51" t="s">
        <v>2762</v>
      </c>
      <c r="G164" s="52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21.75" customHeight="1">
      <c r="A165" s="48" t="s">
        <v>2763</v>
      </c>
      <c r="B165" s="54"/>
      <c r="C165" s="55"/>
      <c r="D165" s="56"/>
      <c r="E165" s="444"/>
      <c r="F165" s="420" t="s">
        <v>2764</v>
      </c>
      <c r="G165" s="52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21.75" customHeight="1">
      <c r="A166" s="33" t="s">
        <v>2765</v>
      </c>
      <c r="B166" s="27"/>
      <c r="C166" s="34" t="s">
        <v>8</v>
      </c>
      <c r="D166" s="34" t="s">
        <v>9</v>
      </c>
      <c r="E166" s="440" t="s">
        <v>10</v>
      </c>
      <c r="F166" s="441" t="s">
        <v>11</v>
      </c>
      <c r="G166" s="52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21.75" customHeight="1">
      <c r="A167" s="36" t="s">
        <v>12</v>
      </c>
      <c r="B167" s="37"/>
      <c r="C167" s="38"/>
      <c r="D167" s="39"/>
      <c r="E167" s="442"/>
      <c r="F167" s="41" t="s">
        <v>13</v>
      </c>
      <c r="G167" s="52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21.75" customHeight="1">
      <c r="A168" s="42" t="s">
        <v>1508</v>
      </c>
      <c r="B168" s="43" t="s">
        <v>15</v>
      </c>
      <c r="C168" s="44">
        <v>900.0</v>
      </c>
      <c r="D168" s="45">
        <v>24957.19</v>
      </c>
      <c r="E168" s="443">
        <v>26127.55</v>
      </c>
      <c r="F168" s="47" t="s">
        <v>2766</v>
      </c>
      <c r="G168" s="52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21.75" customHeight="1">
      <c r="A169" s="48" t="s">
        <v>2197</v>
      </c>
      <c r="B169" s="49"/>
      <c r="C169" s="50"/>
      <c r="D169" s="45"/>
      <c r="E169" s="443"/>
      <c r="F169" s="51" t="s">
        <v>2767</v>
      </c>
      <c r="G169" s="52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21.75" customHeight="1">
      <c r="A170" s="48" t="s">
        <v>2768</v>
      </c>
      <c r="B170" s="54"/>
      <c r="C170" s="55"/>
      <c r="D170" s="56"/>
      <c r="E170" s="444"/>
      <c r="F170" s="420" t="s">
        <v>2769</v>
      </c>
      <c r="G170" s="52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21.75" customHeight="1">
      <c r="A171" s="33" t="s">
        <v>2770</v>
      </c>
      <c r="B171" s="27"/>
      <c r="C171" s="34" t="s">
        <v>8</v>
      </c>
      <c r="D171" s="34" t="s">
        <v>9</v>
      </c>
      <c r="E171" s="440" t="s">
        <v>10</v>
      </c>
      <c r="F171" s="441" t="s">
        <v>11</v>
      </c>
      <c r="G171" s="52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21.75" customHeight="1">
      <c r="A172" s="36" t="s">
        <v>12</v>
      </c>
      <c r="B172" s="37"/>
      <c r="C172" s="38"/>
      <c r="D172" s="39"/>
      <c r="E172" s="442"/>
      <c r="F172" s="41" t="s">
        <v>13</v>
      </c>
      <c r="G172" s="52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21.75" customHeight="1">
      <c r="A173" s="42" t="s">
        <v>1508</v>
      </c>
      <c r="B173" s="43" t="s">
        <v>15</v>
      </c>
      <c r="C173" s="44">
        <v>889.0</v>
      </c>
      <c r="D173" s="45">
        <v>24989.08</v>
      </c>
      <c r="E173" s="443">
        <v>26039.39</v>
      </c>
      <c r="F173" s="47" t="s">
        <v>2771</v>
      </c>
      <c r="G173" s="52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21.75" customHeight="1">
      <c r="A174" s="48" t="s">
        <v>2197</v>
      </c>
      <c r="B174" s="49"/>
      <c r="C174" s="50"/>
      <c r="D174" s="45"/>
      <c r="E174" s="443"/>
      <c r="F174" s="51" t="s">
        <v>2772</v>
      </c>
      <c r="G174" s="52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21.75" customHeight="1">
      <c r="A175" s="48" t="s">
        <v>2773</v>
      </c>
      <c r="B175" s="54"/>
      <c r="C175" s="55"/>
      <c r="D175" s="56"/>
      <c r="E175" s="444"/>
      <c r="F175" s="420" t="s">
        <v>2774</v>
      </c>
      <c r="G175" s="52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21.75" customHeight="1">
      <c r="A176" s="33" t="s">
        <v>2775</v>
      </c>
      <c r="B176" s="27"/>
      <c r="C176" s="34" t="s">
        <v>8</v>
      </c>
      <c r="D176" s="34" t="s">
        <v>9</v>
      </c>
      <c r="E176" s="440" t="s">
        <v>10</v>
      </c>
      <c r="F176" s="441" t="s">
        <v>11</v>
      </c>
      <c r="G176" s="52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21.75" customHeight="1">
      <c r="A177" s="36" t="s">
        <v>12</v>
      </c>
      <c r="B177" s="37"/>
      <c r="C177" s="38"/>
      <c r="D177" s="39"/>
      <c r="E177" s="442"/>
      <c r="F177" s="41" t="s">
        <v>13</v>
      </c>
      <c r="G177" s="52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21.75" customHeight="1">
      <c r="A178" s="42" t="s">
        <v>1508</v>
      </c>
      <c r="B178" s="43" t="s">
        <v>15</v>
      </c>
      <c r="C178" s="44">
        <v>905.0</v>
      </c>
      <c r="D178" s="45">
        <v>24916.98</v>
      </c>
      <c r="E178" s="443">
        <v>26102.09</v>
      </c>
      <c r="F178" s="47" t="s">
        <v>2776</v>
      </c>
      <c r="G178" s="52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21.75" customHeight="1">
      <c r="A179" s="48" t="s">
        <v>2186</v>
      </c>
      <c r="B179" s="49"/>
      <c r="C179" s="50"/>
      <c r="D179" s="45"/>
      <c r="E179" s="443"/>
      <c r="F179" s="51" t="s">
        <v>2777</v>
      </c>
      <c r="G179" s="52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21.75" customHeight="1">
      <c r="A180" s="48" t="s">
        <v>2778</v>
      </c>
      <c r="B180" s="54"/>
      <c r="C180" s="55"/>
      <c r="D180" s="56"/>
      <c r="E180" s="444"/>
      <c r="F180" s="420" t="s">
        <v>2779</v>
      </c>
      <c r="G180" s="52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21.75" customHeight="1">
      <c r="A181" s="33" t="s">
        <v>2780</v>
      </c>
      <c r="B181" s="27"/>
      <c r="C181" s="34" t="s">
        <v>8</v>
      </c>
      <c r="D181" s="34" t="s">
        <v>9</v>
      </c>
      <c r="E181" s="440" t="s">
        <v>10</v>
      </c>
      <c r="F181" s="441" t="s">
        <v>11</v>
      </c>
      <c r="G181" s="52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21.75" customHeight="1">
      <c r="A182" s="36" t="s">
        <v>12</v>
      </c>
      <c r="B182" s="37"/>
      <c r="C182" s="38"/>
      <c r="D182" s="39"/>
      <c r="E182" s="442"/>
      <c r="F182" s="41" t="s">
        <v>13</v>
      </c>
      <c r="G182" s="52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21.75" customHeight="1">
      <c r="A183" s="42" t="s">
        <v>1508</v>
      </c>
      <c r="B183" s="43" t="s">
        <v>15</v>
      </c>
      <c r="C183" s="44">
        <v>914.0</v>
      </c>
      <c r="D183" s="45">
        <v>25004.06</v>
      </c>
      <c r="E183" s="443">
        <v>26227.56</v>
      </c>
      <c r="F183" s="47" t="s">
        <v>2781</v>
      </c>
      <c r="G183" s="52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21.75" customHeight="1">
      <c r="A184" s="48" t="s">
        <v>2186</v>
      </c>
      <c r="B184" s="49"/>
      <c r="C184" s="50"/>
      <c r="D184" s="45"/>
      <c r="E184" s="443"/>
      <c r="F184" s="51" t="s">
        <v>2782</v>
      </c>
      <c r="G184" s="52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21.75" customHeight="1">
      <c r="A185" s="48" t="s">
        <v>2783</v>
      </c>
      <c r="B185" s="54"/>
      <c r="C185" s="55"/>
      <c r="D185" s="56"/>
      <c r="E185" s="444"/>
      <c r="F185" s="420" t="s">
        <v>2784</v>
      </c>
      <c r="G185" s="52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21.75" customHeight="1">
      <c r="A186" s="33" t="s">
        <v>2785</v>
      </c>
      <c r="B186" s="27"/>
      <c r="C186" s="34" t="s">
        <v>8</v>
      </c>
      <c r="D186" s="34" t="s">
        <v>9</v>
      </c>
      <c r="E186" s="440" t="s">
        <v>10</v>
      </c>
      <c r="F186" s="441" t="s">
        <v>11</v>
      </c>
      <c r="G186" s="52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21.75" customHeight="1">
      <c r="A187" s="36" t="s">
        <v>12</v>
      </c>
      <c r="B187" s="37"/>
      <c r="C187" s="38"/>
      <c r="D187" s="39"/>
      <c r="E187" s="442"/>
      <c r="F187" s="41" t="s">
        <v>13</v>
      </c>
      <c r="G187" s="52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21.75" customHeight="1">
      <c r="A188" s="42" t="s">
        <v>1508</v>
      </c>
      <c r="B188" s="43" t="s">
        <v>15</v>
      </c>
      <c r="C188" s="44">
        <v>910.0</v>
      </c>
      <c r="D188" s="45">
        <v>24916.32</v>
      </c>
      <c r="E188" s="442"/>
      <c r="F188" s="47" t="s">
        <v>2786</v>
      </c>
      <c r="G188" s="52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21.75" customHeight="1">
      <c r="A189" s="48" t="s">
        <v>2186</v>
      </c>
      <c r="B189" s="49"/>
      <c r="C189" s="50"/>
      <c r="D189" s="45"/>
      <c r="E189" s="443"/>
      <c r="F189" s="51" t="s">
        <v>2787</v>
      </c>
      <c r="G189" s="52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21.75" customHeight="1">
      <c r="A190" s="48" t="s">
        <v>2788</v>
      </c>
      <c r="B190" s="54"/>
      <c r="C190" s="55"/>
      <c r="D190" s="56"/>
      <c r="E190" s="444"/>
      <c r="F190" s="420" t="s">
        <v>2789</v>
      </c>
      <c r="G190" s="52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21.75" customHeight="1">
      <c r="A191" s="33" t="s">
        <v>2790</v>
      </c>
      <c r="B191" s="27"/>
      <c r="C191" s="34" t="s">
        <v>8</v>
      </c>
      <c r="D191" s="34" t="s">
        <v>9</v>
      </c>
      <c r="E191" s="440" t="s">
        <v>10</v>
      </c>
      <c r="F191" s="441" t="s">
        <v>11</v>
      </c>
      <c r="G191" s="52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21.75" customHeight="1">
      <c r="A192" s="36" t="s">
        <v>12</v>
      </c>
      <c r="B192" s="37"/>
      <c r="C192" s="38"/>
      <c r="D192" s="39"/>
      <c r="E192" s="442"/>
      <c r="F192" s="41" t="s">
        <v>13</v>
      </c>
      <c r="G192" s="52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21.75" customHeight="1">
      <c r="A193" s="42" t="s">
        <v>1508</v>
      </c>
      <c r="B193" s="43" t="s">
        <v>15</v>
      </c>
      <c r="C193" s="44">
        <v>883.0</v>
      </c>
      <c r="D193" s="45">
        <v>25000.4</v>
      </c>
      <c r="E193" s="443">
        <v>26089.71</v>
      </c>
      <c r="F193" s="47" t="s">
        <v>2791</v>
      </c>
      <c r="G193" s="52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21.75" customHeight="1">
      <c r="A194" s="48" t="s">
        <v>2197</v>
      </c>
      <c r="B194" s="49"/>
      <c r="C194" s="50"/>
      <c r="D194" s="45"/>
      <c r="E194" s="443"/>
      <c r="F194" s="51" t="s">
        <v>2792</v>
      </c>
      <c r="G194" s="52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21.75" customHeight="1">
      <c r="A195" s="48" t="s">
        <v>2793</v>
      </c>
      <c r="B195" s="54"/>
      <c r="C195" s="55"/>
      <c r="D195" s="56"/>
      <c r="E195" s="444"/>
      <c r="F195" s="420" t="s">
        <v>2794</v>
      </c>
      <c r="G195" s="52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25.5" customHeight="1">
      <c r="A196" s="33" t="s">
        <v>2795</v>
      </c>
      <c r="B196" s="27"/>
      <c r="C196" s="34" t="s">
        <v>8</v>
      </c>
      <c r="D196" s="34" t="s">
        <v>9</v>
      </c>
      <c r="E196" s="440" t="s">
        <v>10</v>
      </c>
      <c r="F196" s="441" t="s">
        <v>11</v>
      </c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8.75" customHeight="1">
      <c r="A197" s="36" t="s">
        <v>12</v>
      </c>
      <c r="B197" s="37"/>
      <c r="C197" s="38"/>
      <c r="D197" s="39"/>
      <c r="E197" s="442"/>
      <c r="F197" s="41" t="s">
        <v>13</v>
      </c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24.0" customHeight="1">
      <c r="A198" s="42" t="s">
        <v>1508</v>
      </c>
      <c r="B198" s="43" t="s">
        <v>15</v>
      </c>
      <c r="C198" s="44">
        <v>908.0</v>
      </c>
      <c r="D198" s="45">
        <v>25001.7</v>
      </c>
      <c r="E198" s="443">
        <v>26199.58</v>
      </c>
      <c r="F198" s="47" t="s">
        <v>2796</v>
      </c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9.5" customHeight="1">
      <c r="A199" s="48" t="s">
        <v>2186</v>
      </c>
      <c r="B199" s="49"/>
      <c r="C199" s="50"/>
      <c r="D199" s="45"/>
      <c r="E199" s="443"/>
      <c r="F199" s="51" t="s">
        <v>2797</v>
      </c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9.5" customHeight="1">
      <c r="A200" s="48" t="s">
        <v>2798</v>
      </c>
      <c r="B200" s="54"/>
      <c r="C200" s="55"/>
      <c r="D200" s="56"/>
      <c r="E200" s="444"/>
      <c r="F200" s="420" t="s">
        <v>2799</v>
      </c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22.5" customHeight="1">
      <c r="A201" s="33" t="s">
        <v>2800</v>
      </c>
      <c r="B201" s="27"/>
      <c r="C201" s="34" t="s">
        <v>8</v>
      </c>
      <c r="D201" s="34" t="s">
        <v>9</v>
      </c>
      <c r="E201" s="440" t="s">
        <v>10</v>
      </c>
      <c r="F201" s="441" t="s">
        <v>11</v>
      </c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9.5" customHeight="1">
      <c r="A202" s="36" t="s">
        <v>12</v>
      </c>
      <c r="B202" s="37"/>
      <c r="C202" s="38"/>
      <c r="D202" s="39"/>
      <c r="E202" s="442"/>
      <c r="F202" s="41" t="s">
        <v>13</v>
      </c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9.5" customHeight="1">
      <c r="A203" s="42" t="s">
        <v>1508</v>
      </c>
      <c r="B203" s="43" t="s">
        <v>15</v>
      </c>
      <c r="C203" s="44">
        <v>909.0</v>
      </c>
      <c r="D203" s="45">
        <v>25004.97</v>
      </c>
      <c r="E203" s="443">
        <v>26246.04</v>
      </c>
      <c r="F203" s="47" t="s">
        <v>2801</v>
      </c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9.5" customHeight="1">
      <c r="A204" s="48" t="s">
        <v>2186</v>
      </c>
      <c r="B204" s="49"/>
      <c r="C204" s="50"/>
      <c r="D204" s="45"/>
      <c r="E204" s="443"/>
      <c r="F204" s="51" t="s">
        <v>2802</v>
      </c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9.5" customHeight="1">
      <c r="A205" s="48" t="s">
        <v>2803</v>
      </c>
      <c r="B205" s="54"/>
      <c r="C205" s="55"/>
      <c r="D205" s="56"/>
      <c r="E205" s="444"/>
      <c r="F205" s="420" t="s">
        <v>2804</v>
      </c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22.5" customHeight="1">
      <c r="A206" s="33" t="s">
        <v>2805</v>
      </c>
      <c r="B206" s="27"/>
      <c r="C206" s="34" t="s">
        <v>8</v>
      </c>
      <c r="D206" s="34" t="s">
        <v>9</v>
      </c>
      <c r="E206" s="440" t="s">
        <v>10</v>
      </c>
      <c r="F206" s="441" t="s">
        <v>11</v>
      </c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9.5" customHeight="1">
      <c r="A207" s="36" t="s">
        <v>12</v>
      </c>
      <c r="B207" s="37"/>
      <c r="C207" s="38"/>
      <c r="D207" s="39"/>
      <c r="E207" s="442"/>
      <c r="F207" s="41" t="s">
        <v>13</v>
      </c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9.5" customHeight="1">
      <c r="A208" s="42" t="s">
        <v>1508</v>
      </c>
      <c r="B208" s="43" t="s">
        <v>15</v>
      </c>
      <c r="C208" s="44">
        <v>900.0</v>
      </c>
      <c r="D208" s="45">
        <v>24786.56</v>
      </c>
      <c r="E208" s="443">
        <v>25915.31</v>
      </c>
      <c r="F208" s="47" t="s">
        <v>2806</v>
      </c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9.5" customHeight="1">
      <c r="A209" s="48" t="s">
        <v>2197</v>
      </c>
      <c r="B209" s="49"/>
      <c r="C209" s="50"/>
      <c r="D209" s="45"/>
      <c r="E209" s="443"/>
      <c r="F209" s="51" t="s">
        <v>2807</v>
      </c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9.5" customHeight="1">
      <c r="A210" s="48" t="s">
        <v>2808</v>
      </c>
      <c r="B210" s="54"/>
      <c r="C210" s="55"/>
      <c r="D210" s="56"/>
      <c r="E210" s="444"/>
      <c r="F210" s="420" t="s">
        <v>2809</v>
      </c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22.5" customHeight="1">
      <c r="A211" s="33" t="s">
        <v>2810</v>
      </c>
      <c r="B211" s="27"/>
      <c r="C211" s="34" t="s">
        <v>8</v>
      </c>
      <c r="D211" s="34" t="s">
        <v>9</v>
      </c>
      <c r="E211" s="440" t="s">
        <v>10</v>
      </c>
      <c r="F211" s="441" t="s">
        <v>11</v>
      </c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9.5" customHeight="1">
      <c r="A212" s="36" t="s">
        <v>12</v>
      </c>
      <c r="B212" s="37"/>
      <c r="C212" s="38"/>
      <c r="D212" s="39"/>
      <c r="E212" s="442"/>
      <c r="F212" s="41" t="s">
        <v>13</v>
      </c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9.5" customHeight="1">
      <c r="A213" s="42" t="s">
        <v>1508</v>
      </c>
      <c r="B213" s="43" t="s">
        <v>15</v>
      </c>
      <c r="C213" s="44">
        <v>909.0</v>
      </c>
      <c r="D213" s="45">
        <v>25005.43</v>
      </c>
      <c r="E213" s="443">
        <v>26215.62</v>
      </c>
      <c r="F213" s="47" t="s">
        <v>2811</v>
      </c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9.5" customHeight="1">
      <c r="A214" s="48" t="s">
        <v>2186</v>
      </c>
      <c r="B214" s="49"/>
      <c r="C214" s="50"/>
      <c r="D214" s="45"/>
      <c r="E214" s="443"/>
      <c r="F214" s="51" t="s">
        <v>2812</v>
      </c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9.5" customHeight="1">
      <c r="A215" s="48" t="s">
        <v>2227</v>
      </c>
      <c r="B215" s="54"/>
      <c r="C215" s="55"/>
      <c r="D215" s="56"/>
      <c r="E215" s="444"/>
      <c r="F215" s="420" t="s">
        <v>2813</v>
      </c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9.5" customHeight="1">
      <c r="A216" s="33" t="s">
        <v>2814</v>
      </c>
      <c r="B216" s="27"/>
      <c r="C216" s="34" t="s">
        <v>8</v>
      </c>
      <c r="D216" s="34" t="s">
        <v>9</v>
      </c>
      <c r="E216" s="440" t="s">
        <v>10</v>
      </c>
      <c r="F216" s="441" t="s">
        <v>11</v>
      </c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9.5" customHeight="1">
      <c r="A217" s="36" t="s">
        <v>12</v>
      </c>
      <c r="B217" s="37"/>
      <c r="C217" s="38"/>
      <c r="D217" s="39"/>
      <c r="E217" s="442"/>
      <c r="F217" s="41" t="s">
        <v>13</v>
      </c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9.5" customHeight="1">
      <c r="A218" s="42" t="s">
        <v>1508</v>
      </c>
      <c r="B218" s="43" t="s">
        <v>15</v>
      </c>
      <c r="C218" s="44">
        <v>895.0</v>
      </c>
      <c r="D218" s="45">
        <v>24967.21</v>
      </c>
      <c r="E218" s="443">
        <v>26059.63</v>
      </c>
      <c r="F218" s="47" t="s">
        <v>2815</v>
      </c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9.5" customHeight="1">
      <c r="A219" s="48" t="s">
        <v>2197</v>
      </c>
      <c r="B219" s="49"/>
      <c r="C219" s="50"/>
      <c r="D219" s="45"/>
      <c r="E219" s="443"/>
      <c r="F219" s="51" t="s">
        <v>2816</v>
      </c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9.5" customHeight="1">
      <c r="A220" s="48" t="s">
        <v>2817</v>
      </c>
      <c r="B220" s="54"/>
      <c r="C220" s="55"/>
      <c r="D220" s="56"/>
      <c r="E220" s="444"/>
      <c r="F220" s="420" t="s">
        <v>2818</v>
      </c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9.5" customHeight="1">
      <c r="A221" s="33" t="s">
        <v>2819</v>
      </c>
      <c r="B221" s="27"/>
      <c r="C221" s="34" t="s">
        <v>8</v>
      </c>
      <c r="D221" s="34" t="s">
        <v>9</v>
      </c>
      <c r="E221" s="440" t="s">
        <v>10</v>
      </c>
      <c r="F221" s="441" t="s">
        <v>11</v>
      </c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9.5" customHeight="1">
      <c r="A222" s="36" t="s">
        <v>12</v>
      </c>
      <c r="B222" s="37"/>
      <c r="C222" s="38"/>
      <c r="D222" s="39"/>
      <c r="E222" s="442"/>
      <c r="F222" s="41" t="s">
        <v>13</v>
      </c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9.5" customHeight="1">
      <c r="A223" s="42" t="s">
        <v>1508</v>
      </c>
      <c r="B223" s="43" t="s">
        <v>15</v>
      </c>
      <c r="C223" s="44">
        <v>909.0</v>
      </c>
      <c r="D223" s="45">
        <v>24998.27</v>
      </c>
      <c r="E223" s="443">
        <v>26258.86</v>
      </c>
      <c r="F223" s="47" t="s">
        <v>2820</v>
      </c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9.5" customHeight="1">
      <c r="A224" s="48" t="s">
        <v>2186</v>
      </c>
      <c r="B224" s="49"/>
      <c r="C224" s="50"/>
      <c r="D224" s="45"/>
      <c r="E224" s="443"/>
      <c r="F224" s="51" t="s">
        <v>2821</v>
      </c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9.5" customHeight="1">
      <c r="A225" s="48" t="s">
        <v>2266</v>
      </c>
      <c r="B225" s="54"/>
      <c r="C225" s="55"/>
      <c r="D225" s="56"/>
      <c r="E225" s="444"/>
      <c r="F225" s="420" t="s">
        <v>2822</v>
      </c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9.5" customHeight="1">
      <c r="A226" s="33" t="s">
        <v>2823</v>
      </c>
      <c r="B226" s="27"/>
      <c r="C226" s="34" t="s">
        <v>8</v>
      </c>
      <c r="D226" s="34" t="s">
        <v>9</v>
      </c>
      <c r="E226" s="440" t="s">
        <v>10</v>
      </c>
      <c r="F226" s="441" t="s">
        <v>11</v>
      </c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9.5" customHeight="1">
      <c r="A227" s="36" t="s">
        <v>12</v>
      </c>
      <c r="B227" s="37"/>
      <c r="C227" s="38"/>
      <c r="D227" s="39"/>
      <c r="E227" s="442"/>
      <c r="F227" s="41" t="s">
        <v>13</v>
      </c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9.5" customHeight="1">
      <c r="A228" s="42" t="s">
        <v>1508</v>
      </c>
      <c r="B228" s="43" t="s">
        <v>15</v>
      </c>
      <c r="C228" s="44">
        <v>905.0</v>
      </c>
      <c r="D228" s="45">
        <v>24930.19</v>
      </c>
      <c r="E228" s="443">
        <v>26134.74</v>
      </c>
      <c r="F228" s="47" t="s">
        <v>2824</v>
      </c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9.5" customHeight="1">
      <c r="A229" s="48" t="s">
        <v>2186</v>
      </c>
      <c r="B229" s="49"/>
      <c r="C229" s="50"/>
      <c r="D229" s="45"/>
      <c r="E229" s="443"/>
      <c r="F229" s="51" t="s">
        <v>2825</v>
      </c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9.5" customHeight="1">
      <c r="A230" s="48" t="s">
        <v>2826</v>
      </c>
      <c r="B230" s="54"/>
      <c r="C230" s="55"/>
      <c r="D230" s="56"/>
      <c r="E230" s="444"/>
      <c r="F230" s="420" t="s">
        <v>2827</v>
      </c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9.5" customHeight="1">
      <c r="A231" s="33" t="s">
        <v>2828</v>
      </c>
      <c r="B231" s="27"/>
      <c r="C231" s="34" t="s">
        <v>8</v>
      </c>
      <c r="D231" s="34" t="s">
        <v>9</v>
      </c>
      <c r="E231" s="440" t="s">
        <v>10</v>
      </c>
      <c r="F231" s="441" t="s">
        <v>11</v>
      </c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9.5" customHeight="1">
      <c r="A232" s="36" t="s">
        <v>12</v>
      </c>
      <c r="B232" s="37"/>
      <c r="C232" s="38"/>
      <c r="D232" s="39"/>
      <c r="E232" s="442"/>
      <c r="F232" s="41" t="s">
        <v>13</v>
      </c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9.5" customHeight="1">
      <c r="A233" s="42" t="s">
        <v>1508</v>
      </c>
      <c r="B233" s="43" t="s">
        <v>15</v>
      </c>
      <c r="C233" s="44">
        <v>914.0</v>
      </c>
      <c r="D233" s="45">
        <v>24990.0</v>
      </c>
      <c r="E233" s="443">
        <v>26198.3</v>
      </c>
      <c r="F233" s="47" t="s">
        <v>2829</v>
      </c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9.5" customHeight="1">
      <c r="A234" s="48" t="s">
        <v>2186</v>
      </c>
      <c r="B234" s="49"/>
      <c r="C234" s="50"/>
      <c r="D234" s="45"/>
      <c r="E234" s="443"/>
      <c r="F234" s="51" t="s">
        <v>2830</v>
      </c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9.5" customHeight="1">
      <c r="A235" s="48" t="s">
        <v>2831</v>
      </c>
      <c r="B235" s="54"/>
      <c r="C235" s="55"/>
      <c r="D235" s="56"/>
      <c r="E235" s="444"/>
      <c r="F235" s="420" t="s">
        <v>2832</v>
      </c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9.5" customHeight="1">
      <c r="A236" s="33" t="s">
        <v>2833</v>
      </c>
      <c r="B236" s="27"/>
      <c r="C236" s="34" t="s">
        <v>8</v>
      </c>
      <c r="D236" s="34" t="s">
        <v>9</v>
      </c>
      <c r="E236" s="440" t="s">
        <v>10</v>
      </c>
      <c r="F236" s="441" t="s">
        <v>11</v>
      </c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9.5" customHeight="1">
      <c r="A237" s="36" t="s">
        <v>12</v>
      </c>
      <c r="B237" s="37"/>
      <c r="C237" s="38"/>
      <c r="D237" s="39"/>
      <c r="E237" s="442"/>
      <c r="F237" s="41" t="s">
        <v>13</v>
      </c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9.5" customHeight="1">
      <c r="A238" s="42" t="s">
        <v>1508</v>
      </c>
      <c r="B238" s="43" t="s">
        <v>15</v>
      </c>
      <c r="C238" s="44">
        <v>870.0</v>
      </c>
      <c r="D238" s="45">
        <v>24988.23</v>
      </c>
      <c r="E238" s="443">
        <v>26137.28</v>
      </c>
      <c r="F238" s="47" t="s">
        <v>2834</v>
      </c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9.5" customHeight="1">
      <c r="A239" s="48" t="s">
        <v>2197</v>
      </c>
      <c r="B239" s="49"/>
      <c r="C239" s="50"/>
      <c r="D239" s="45"/>
      <c r="E239" s="443"/>
      <c r="F239" s="51" t="s">
        <v>2835</v>
      </c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9.5" customHeight="1">
      <c r="A240" s="48" t="s">
        <v>2836</v>
      </c>
      <c r="B240" s="54"/>
      <c r="C240" s="55"/>
      <c r="D240" s="56"/>
      <c r="E240" s="444"/>
      <c r="F240" s="420" t="s">
        <v>2837</v>
      </c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7.25" customHeight="1">
      <c r="A241" s="89"/>
      <c r="B241" s="90"/>
      <c r="C241" s="91" t="s">
        <v>292</v>
      </c>
      <c r="D241" s="92" t="s">
        <v>292</v>
      </c>
      <c r="E241" s="92" t="s">
        <v>292</v>
      </c>
      <c r="F241" s="94"/>
      <c r="G241" s="414"/>
      <c r="H241" s="414"/>
      <c r="I241" s="414"/>
      <c r="J241" s="414"/>
      <c r="K241" s="414"/>
      <c r="L241" s="414"/>
      <c r="M241" s="414"/>
      <c r="N241" s="414"/>
      <c r="O241" s="414"/>
      <c r="P241" s="414"/>
      <c r="Q241" s="414"/>
      <c r="R241" s="414"/>
      <c r="S241" s="414"/>
      <c r="T241" s="414"/>
      <c r="U241" s="414"/>
      <c r="V241" s="414"/>
      <c r="W241" s="414"/>
      <c r="X241" s="414"/>
      <c r="Y241" s="414"/>
      <c r="Z241" s="414"/>
    </row>
    <row r="242" ht="15.75" customHeight="1">
      <c r="A242" s="436"/>
      <c r="B242" s="437"/>
      <c r="C242" s="97">
        <f t="shared" ref="C242:E242" si="1">SUM(C11:C240)</f>
        <v>41666</v>
      </c>
      <c r="D242" s="98">
        <f t="shared" si="1"/>
        <v>1148782.46</v>
      </c>
      <c r="E242" s="98">
        <f t="shared" si="1"/>
        <v>1177269.26</v>
      </c>
      <c r="F242" s="438"/>
      <c r="G242" s="414"/>
      <c r="H242" s="414"/>
      <c r="I242" s="414"/>
      <c r="J242" s="414"/>
      <c r="K242" s="414"/>
      <c r="L242" s="414"/>
      <c r="M242" s="414"/>
      <c r="N242" s="414"/>
      <c r="O242" s="414"/>
      <c r="P242" s="414"/>
      <c r="Q242" s="414"/>
      <c r="R242" s="414"/>
      <c r="S242" s="414"/>
      <c r="T242" s="414"/>
      <c r="U242" s="414"/>
      <c r="V242" s="414"/>
      <c r="W242" s="414"/>
      <c r="X242" s="414"/>
      <c r="Y242" s="414"/>
      <c r="Z242" s="414"/>
    </row>
    <row r="243" ht="19.5" customHeight="1">
      <c r="A243" s="48"/>
      <c r="B243" s="49"/>
      <c r="C243" s="50"/>
      <c r="D243" s="45"/>
      <c r="E243" s="443"/>
      <c r="F243" s="51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9.5" customHeight="1">
      <c r="A244" s="48"/>
      <c r="B244" s="49"/>
      <c r="C244" s="50"/>
      <c r="D244" s="45"/>
      <c r="E244" s="443"/>
      <c r="F244" s="51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9.5" customHeight="1">
      <c r="A245" s="48"/>
      <c r="B245" s="49"/>
      <c r="C245" s="50"/>
      <c r="D245" s="45"/>
      <c r="E245" s="443"/>
      <c r="F245" s="51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9.5" customHeight="1">
      <c r="A246" s="48"/>
      <c r="B246" s="49"/>
      <c r="C246" s="50"/>
      <c r="D246" s="45"/>
      <c r="E246" s="443"/>
      <c r="F246" s="51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9.5" customHeight="1">
      <c r="A247" s="48"/>
      <c r="B247" s="49"/>
      <c r="C247" s="50"/>
      <c r="D247" s="45"/>
      <c r="E247" s="443"/>
      <c r="F247" s="51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9.5" customHeight="1">
      <c r="A248" s="48"/>
      <c r="B248" s="49"/>
      <c r="C248" s="50"/>
      <c r="D248" s="45"/>
      <c r="E248" s="443"/>
      <c r="F248" s="51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9.5" customHeight="1">
      <c r="A249" s="48"/>
      <c r="B249" s="49"/>
      <c r="C249" s="50"/>
      <c r="D249" s="45"/>
      <c r="E249" s="443"/>
      <c r="F249" s="51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9.5" customHeight="1">
      <c r="A250" s="48"/>
      <c r="B250" s="49"/>
      <c r="C250" s="50"/>
      <c r="D250" s="45"/>
      <c r="E250" s="443"/>
      <c r="F250" s="51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9.5" customHeight="1">
      <c r="A251" s="48"/>
      <c r="B251" s="49"/>
      <c r="C251" s="50"/>
      <c r="D251" s="45"/>
      <c r="E251" s="443"/>
      <c r="F251" s="51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9.5" customHeight="1">
      <c r="A252" s="48"/>
      <c r="B252" s="49"/>
      <c r="C252" s="50"/>
      <c r="D252" s="45"/>
      <c r="E252" s="443"/>
      <c r="F252" s="51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9.5" customHeight="1">
      <c r="A253" s="48"/>
      <c r="B253" s="49"/>
      <c r="C253" s="50"/>
      <c r="D253" s="45"/>
      <c r="E253" s="443"/>
      <c r="F253" s="51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9.5" customHeight="1">
      <c r="A254" s="48"/>
      <c r="B254" s="49"/>
      <c r="C254" s="50"/>
      <c r="D254" s="45"/>
      <c r="E254" s="443"/>
      <c r="F254" s="51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9.5" customHeight="1">
      <c r="A255" s="48"/>
      <c r="B255" s="49"/>
      <c r="C255" s="50"/>
      <c r="D255" s="45"/>
      <c r="E255" s="443"/>
      <c r="F255" s="51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9.5" customHeight="1">
      <c r="A256" s="48"/>
      <c r="B256" s="49"/>
      <c r="C256" s="50"/>
      <c r="D256" s="45"/>
      <c r="E256" s="443"/>
      <c r="F256" s="51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9.5" customHeight="1">
      <c r="A257" s="48"/>
      <c r="B257" s="49"/>
      <c r="C257" s="50"/>
      <c r="D257" s="45"/>
      <c r="E257" s="443"/>
      <c r="F257" s="51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9.5" customHeight="1">
      <c r="A258" s="48"/>
      <c r="B258" s="49"/>
      <c r="C258" s="50"/>
      <c r="D258" s="45"/>
      <c r="E258" s="443"/>
      <c r="F258" s="51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9.5" customHeight="1">
      <c r="A259" s="48"/>
      <c r="B259" s="49"/>
      <c r="C259" s="50"/>
      <c r="D259" s="45"/>
      <c r="E259" s="443"/>
      <c r="F259" s="51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9.5" customHeight="1">
      <c r="A260" s="48"/>
      <c r="B260" s="49"/>
      <c r="C260" s="50"/>
      <c r="D260" s="45"/>
      <c r="E260" s="443"/>
      <c r="F260" s="51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9.5" customHeight="1">
      <c r="A261" s="48"/>
      <c r="B261" s="49"/>
      <c r="C261" s="50"/>
      <c r="D261" s="45"/>
      <c r="E261" s="443"/>
      <c r="F261" s="51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9.5" customHeight="1">
      <c r="A262" s="48"/>
      <c r="B262" s="49"/>
      <c r="C262" s="50"/>
      <c r="D262" s="45"/>
      <c r="E262" s="443"/>
      <c r="F262" s="51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9.5" customHeight="1">
      <c r="A263" s="48"/>
      <c r="B263" s="49"/>
      <c r="C263" s="50"/>
      <c r="D263" s="45"/>
      <c r="E263" s="443"/>
      <c r="F263" s="51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9.5" customHeight="1">
      <c r="A264" s="48"/>
      <c r="B264" s="49"/>
      <c r="C264" s="50"/>
      <c r="D264" s="45"/>
      <c r="E264" s="443"/>
      <c r="F264" s="51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9.5" customHeight="1">
      <c r="A265" s="48"/>
      <c r="B265" s="49"/>
      <c r="C265" s="50"/>
      <c r="D265" s="45"/>
      <c r="E265" s="443"/>
      <c r="F265" s="51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9.5" customHeight="1">
      <c r="A266" s="48"/>
      <c r="B266" s="49"/>
      <c r="C266" s="50"/>
      <c r="D266" s="45"/>
      <c r="E266" s="443"/>
      <c r="F266" s="51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9.5" customHeight="1">
      <c r="A267" s="48"/>
      <c r="B267" s="49"/>
      <c r="C267" s="50"/>
      <c r="D267" s="45"/>
      <c r="E267" s="443"/>
      <c r="F267" s="51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9.5" customHeight="1">
      <c r="A268" s="48"/>
      <c r="B268" s="49"/>
      <c r="C268" s="50"/>
      <c r="D268" s="45"/>
      <c r="E268" s="443"/>
      <c r="F268" s="51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9.5" customHeight="1">
      <c r="A269" s="48"/>
      <c r="B269" s="49"/>
      <c r="C269" s="50"/>
      <c r="D269" s="45"/>
      <c r="E269" s="443"/>
      <c r="F269" s="51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9.5" customHeight="1">
      <c r="A270" s="48"/>
      <c r="B270" s="49"/>
      <c r="C270" s="50"/>
      <c r="D270" s="45"/>
      <c r="E270" s="443"/>
      <c r="F270" s="51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9.5" customHeight="1">
      <c r="A271" s="48"/>
      <c r="B271" s="49"/>
      <c r="C271" s="50"/>
      <c r="D271" s="45"/>
      <c r="E271" s="443"/>
      <c r="F271" s="51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9.5" customHeight="1">
      <c r="A272" s="48"/>
      <c r="B272" s="49"/>
      <c r="C272" s="50"/>
      <c r="D272" s="45"/>
      <c r="E272" s="443"/>
      <c r="F272" s="51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9.5" customHeight="1">
      <c r="A273" s="48"/>
      <c r="B273" s="49"/>
      <c r="C273" s="50"/>
      <c r="D273" s="45"/>
      <c r="E273" s="443"/>
      <c r="F273" s="51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9.5" customHeight="1">
      <c r="A274" s="48"/>
      <c r="B274" s="49"/>
      <c r="C274" s="50"/>
      <c r="D274" s="45"/>
      <c r="E274" s="443"/>
      <c r="F274" s="51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9.5" customHeight="1">
      <c r="A275" s="48"/>
      <c r="B275" s="49"/>
      <c r="C275" s="50"/>
      <c r="D275" s="45"/>
      <c r="E275" s="443"/>
      <c r="F275" s="51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9.5" customHeight="1">
      <c r="A276" s="48"/>
      <c r="B276" s="49"/>
      <c r="C276" s="50"/>
      <c r="D276" s="45"/>
      <c r="E276" s="443"/>
      <c r="F276" s="51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9.5" customHeight="1">
      <c r="A277" s="48"/>
      <c r="B277" s="49"/>
      <c r="C277" s="50"/>
      <c r="D277" s="45"/>
      <c r="E277" s="443"/>
      <c r="F277" s="51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9.5" customHeight="1">
      <c r="A278" s="48"/>
      <c r="B278" s="49"/>
      <c r="C278" s="50"/>
      <c r="D278" s="45"/>
      <c r="E278" s="443"/>
      <c r="F278" s="51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9.5" customHeight="1">
      <c r="A279" s="48"/>
      <c r="B279" s="49"/>
      <c r="C279" s="50"/>
      <c r="D279" s="45"/>
      <c r="E279" s="443"/>
      <c r="F279" s="51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9.5" customHeight="1">
      <c r="A280" s="48"/>
      <c r="B280" s="49"/>
      <c r="C280" s="50"/>
      <c r="D280" s="45"/>
      <c r="E280" s="443"/>
      <c r="F280" s="51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9.5" customHeight="1">
      <c r="A281" s="48"/>
      <c r="B281" s="49"/>
      <c r="C281" s="50"/>
      <c r="D281" s="45"/>
      <c r="E281" s="443"/>
      <c r="F281" s="51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9.5" customHeight="1">
      <c r="A282" s="48"/>
      <c r="B282" s="49"/>
      <c r="C282" s="50"/>
      <c r="D282" s="45"/>
      <c r="E282" s="443"/>
      <c r="F282" s="51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9.5" customHeight="1">
      <c r="A283" s="48"/>
      <c r="B283" s="49"/>
      <c r="C283" s="50"/>
      <c r="D283" s="45"/>
      <c r="E283" s="443"/>
      <c r="F283" s="51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9.5" customHeight="1">
      <c r="A284" s="48"/>
      <c r="B284" s="49"/>
      <c r="C284" s="50"/>
      <c r="D284" s="45"/>
      <c r="E284" s="443"/>
      <c r="F284" s="51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9.5" customHeight="1">
      <c r="A285" s="48"/>
      <c r="B285" s="49"/>
      <c r="C285" s="50"/>
      <c r="D285" s="45"/>
      <c r="E285" s="443"/>
      <c r="F285" s="51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9.5" customHeight="1">
      <c r="A286" s="48"/>
      <c r="B286" s="49"/>
      <c r="C286" s="50"/>
      <c r="D286" s="45"/>
      <c r="E286" s="443"/>
      <c r="F286" s="51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9.5" customHeight="1">
      <c r="A287" s="48"/>
      <c r="B287" s="49"/>
      <c r="C287" s="50"/>
      <c r="D287" s="45"/>
      <c r="E287" s="443"/>
      <c r="F287" s="51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9.5" customHeight="1">
      <c r="A288" s="48"/>
      <c r="B288" s="49"/>
      <c r="C288" s="50"/>
      <c r="D288" s="45"/>
      <c r="E288" s="443"/>
      <c r="F288" s="51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9.5" customHeight="1">
      <c r="A289" s="48"/>
      <c r="B289" s="49"/>
      <c r="C289" s="50"/>
      <c r="D289" s="45"/>
      <c r="E289" s="443"/>
      <c r="F289" s="51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9.5" customHeight="1">
      <c r="A290" s="48"/>
      <c r="B290" s="49"/>
      <c r="C290" s="50"/>
      <c r="D290" s="45"/>
      <c r="E290" s="443"/>
      <c r="F290" s="51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9.5" customHeight="1">
      <c r="A291" s="48"/>
      <c r="B291" s="49"/>
      <c r="C291" s="50"/>
      <c r="D291" s="45"/>
      <c r="E291" s="443"/>
      <c r="F291" s="51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9.5" customHeight="1">
      <c r="A292" s="48"/>
      <c r="B292" s="49"/>
      <c r="C292" s="50"/>
      <c r="D292" s="45"/>
      <c r="E292" s="443"/>
      <c r="F292" s="51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9.5" customHeight="1">
      <c r="A293" s="48"/>
      <c r="B293" s="49"/>
      <c r="C293" s="50"/>
      <c r="D293" s="45"/>
      <c r="E293" s="443"/>
      <c r="F293" s="51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9.5" customHeight="1">
      <c r="A294" s="48"/>
      <c r="B294" s="49"/>
      <c r="C294" s="50"/>
      <c r="D294" s="45"/>
      <c r="E294" s="443"/>
      <c r="F294" s="51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9.5" customHeight="1">
      <c r="A295" s="48"/>
      <c r="B295" s="49"/>
      <c r="C295" s="50"/>
      <c r="D295" s="45"/>
      <c r="E295" s="443"/>
      <c r="F295" s="51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9.5" customHeight="1">
      <c r="A296" s="48"/>
      <c r="B296" s="49"/>
      <c r="C296" s="50"/>
      <c r="D296" s="45"/>
      <c r="E296" s="443"/>
      <c r="F296" s="51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9.5" customHeight="1">
      <c r="A297" s="48"/>
      <c r="B297" s="49"/>
      <c r="C297" s="50"/>
      <c r="D297" s="45"/>
      <c r="E297" s="443"/>
      <c r="F297" s="51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9.5" customHeight="1">
      <c r="A298" s="48"/>
      <c r="B298" s="49"/>
      <c r="C298" s="50"/>
      <c r="D298" s="45"/>
      <c r="E298" s="443"/>
      <c r="F298" s="51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9.5" customHeight="1">
      <c r="A299" s="48"/>
      <c r="B299" s="49"/>
      <c r="C299" s="50"/>
      <c r="D299" s="45"/>
      <c r="E299" s="443"/>
      <c r="F299" s="51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9.5" customHeight="1">
      <c r="A300" s="48"/>
      <c r="B300" s="49"/>
      <c r="C300" s="50"/>
      <c r="D300" s="45"/>
      <c r="E300" s="443"/>
      <c r="F300" s="51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9.5" customHeight="1">
      <c r="A301" s="48"/>
      <c r="B301" s="49"/>
      <c r="C301" s="50"/>
      <c r="D301" s="45"/>
      <c r="E301" s="443"/>
      <c r="F301" s="51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9.5" customHeight="1">
      <c r="A302" s="48"/>
      <c r="B302" s="49"/>
      <c r="C302" s="50"/>
      <c r="D302" s="45"/>
      <c r="E302" s="443"/>
      <c r="F302" s="51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9.5" customHeight="1">
      <c r="A303" s="48"/>
      <c r="B303" s="49"/>
      <c r="C303" s="50"/>
      <c r="D303" s="45"/>
      <c r="E303" s="443"/>
      <c r="F303" s="51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9.5" customHeight="1">
      <c r="A304" s="48"/>
      <c r="B304" s="49"/>
      <c r="C304" s="50"/>
      <c r="D304" s="45"/>
      <c r="E304" s="443"/>
      <c r="F304" s="51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9.5" customHeight="1">
      <c r="A305" s="48"/>
      <c r="B305" s="49"/>
      <c r="C305" s="50"/>
      <c r="D305" s="45"/>
      <c r="E305" s="443"/>
      <c r="F305" s="51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9.5" customHeight="1">
      <c r="A306" s="48"/>
      <c r="B306" s="49"/>
      <c r="C306" s="50"/>
      <c r="D306" s="45"/>
      <c r="E306" s="443"/>
      <c r="F306" s="51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9.5" customHeight="1">
      <c r="A307" s="48"/>
      <c r="B307" s="49"/>
      <c r="C307" s="50"/>
      <c r="D307" s="45"/>
      <c r="E307" s="443"/>
      <c r="F307" s="51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9.5" customHeight="1">
      <c r="A308" s="48"/>
      <c r="B308" s="49"/>
      <c r="C308" s="50"/>
      <c r="D308" s="45"/>
      <c r="E308" s="443"/>
      <c r="F308" s="51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9.5" customHeight="1">
      <c r="A309" s="48"/>
      <c r="B309" s="49"/>
      <c r="C309" s="50"/>
      <c r="D309" s="45"/>
      <c r="E309" s="443"/>
      <c r="F309" s="51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9.5" customHeight="1">
      <c r="A310" s="48"/>
      <c r="B310" s="49"/>
      <c r="C310" s="50"/>
      <c r="D310" s="45"/>
      <c r="E310" s="443"/>
      <c r="F310" s="51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9.5" customHeight="1">
      <c r="A311" s="48"/>
      <c r="B311" s="49"/>
      <c r="C311" s="50"/>
      <c r="D311" s="45"/>
      <c r="E311" s="443"/>
      <c r="F311" s="51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9.5" customHeight="1">
      <c r="A312" s="48"/>
      <c r="B312" s="49"/>
      <c r="C312" s="50"/>
      <c r="D312" s="45"/>
      <c r="E312" s="443"/>
      <c r="F312" s="51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9.5" customHeight="1">
      <c r="A313" s="48"/>
      <c r="B313" s="49"/>
      <c r="C313" s="50"/>
      <c r="D313" s="45"/>
      <c r="E313" s="443"/>
      <c r="F313" s="51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9.5" customHeight="1">
      <c r="A314" s="48"/>
      <c r="B314" s="49"/>
      <c r="C314" s="50"/>
      <c r="D314" s="45"/>
      <c r="E314" s="443"/>
      <c r="F314" s="51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9.5" customHeight="1">
      <c r="A315" s="48"/>
      <c r="B315" s="49"/>
      <c r="C315" s="50"/>
      <c r="D315" s="45"/>
      <c r="E315" s="443"/>
      <c r="F315" s="51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9.5" customHeight="1">
      <c r="A316" s="48"/>
      <c r="B316" s="49"/>
      <c r="C316" s="50"/>
      <c r="D316" s="45"/>
      <c r="E316" s="443"/>
      <c r="F316" s="51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9.5" customHeight="1">
      <c r="A317" s="48"/>
      <c r="B317" s="49"/>
      <c r="C317" s="50"/>
      <c r="D317" s="45"/>
      <c r="E317" s="443"/>
      <c r="F317" s="51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9.5" customHeight="1">
      <c r="A318" s="48"/>
      <c r="B318" s="49"/>
      <c r="C318" s="50"/>
      <c r="D318" s="45"/>
      <c r="E318" s="443"/>
      <c r="F318" s="51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9.5" customHeight="1">
      <c r="A319" s="48"/>
      <c r="B319" s="49"/>
      <c r="C319" s="50"/>
      <c r="D319" s="45"/>
      <c r="E319" s="443"/>
      <c r="F319" s="51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9.5" customHeight="1">
      <c r="A320" s="48"/>
      <c r="B320" s="49"/>
      <c r="C320" s="50"/>
      <c r="D320" s="45"/>
      <c r="E320" s="443"/>
      <c r="F320" s="51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9.5" customHeight="1">
      <c r="A321" s="48"/>
      <c r="B321" s="49"/>
      <c r="C321" s="50"/>
      <c r="D321" s="45"/>
      <c r="E321" s="443"/>
      <c r="F321" s="51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9.5" customHeight="1">
      <c r="A322" s="48"/>
      <c r="B322" s="49"/>
      <c r="C322" s="50"/>
      <c r="D322" s="45"/>
      <c r="E322" s="443"/>
      <c r="F322" s="51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9.5" customHeight="1">
      <c r="A323" s="48"/>
      <c r="B323" s="49"/>
      <c r="C323" s="50"/>
      <c r="D323" s="45"/>
      <c r="E323" s="443"/>
      <c r="F323" s="51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9.5" customHeight="1">
      <c r="A324" s="48"/>
      <c r="B324" s="49"/>
      <c r="C324" s="50"/>
      <c r="D324" s="45"/>
      <c r="E324" s="443"/>
      <c r="F324" s="51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9.5" customHeight="1">
      <c r="A325" s="48"/>
      <c r="B325" s="49"/>
      <c r="C325" s="50"/>
      <c r="D325" s="45"/>
      <c r="E325" s="443"/>
      <c r="F325" s="51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9.5" customHeight="1">
      <c r="A326" s="48"/>
      <c r="B326" s="49"/>
      <c r="C326" s="50"/>
      <c r="D326" s="45"/>
      <c r="E326" s="443"/>
      <c r="F326" s="51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9.5" customHeight="1">
      <c r="A327" s="48"/>
      <c r="B327" s="49"/>
      <c r="C327" s="50"/>
      <c r="D327" s="45"/>
      <c r="E327" s="443"/>
      <c r="F327" s="51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9.5" customHeight="1">
      <c r="A328" s="48"/>
      <c r="B328" s="49"/>
      <c r="C328" s="50"/>
      <c r="D328" s="45"/>
      <c r="E328" s="443"/>
      <c r="F328" s="51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9.5" customHeight="1">
      <c r="A329" s="48"/>
      <c r="B329" s="49"/>
      <c r="C329" s="50"/>
      <c r="D329" s="45"/>
      <c r="E329" s="443"/>
      <c r="F329" s="51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9.5" customHeight="1">
      <c r="A330" s="48"/>
      <c r="B330" s="49"/>
      <c r="C330" s="50"/>
      <c r="D330" s="45"/>
      <c r="E330" s="443"/>
      <c r="F330" s="51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9.5" customHeight="1">
      <c r="A331" s="48"/>
      <c r="B331" s="49"/>
      <c r="C331" s="50"/>
      <c r="D331" s="45"/>
      <c r="E331" s="443"/>
      <c r="F331" s="51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9.5" customHeight="1">
      <c r="A332" s="48"/>
      <c r="B332" s="49"/>
      <c r="C332" s="50"/>
      <c r="D332" s="45"/>
      <c r="E332" s="443"/>
      <c r="F332" s="51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9.5" customHeight="1">
      <c r="A333" s="48"/>
      <c r="B333" s="49"/>
      <c r="C333" s="50"/>
      <c r="D333" s="45"/>
      <c r="E333" s="443"/>
      <c r="F333" s="51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9.5" customHeight="1">
      <c r="A334" s="48"/>
      <c r="B334" s="49"/>
      <c r="C334" s="50"/>
      <c r="D334" s="45"/>
      <c r="E334" s="443"/>
      <c r="F334" s="51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9.5" customHeight="1">
      <c r="A335" s="48"/>
      <c r="B335" s="49"/>
      <c r="C335" s="50"/>
      <c r="D335" s="45"/>
      <c r="E335" s="443"/>
      <c r="F335" s="51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9.5" customHeight="1">
      <c r="A336" s="48"/>
      <c r="B336" s="49"/>
      <c r="C336" s="50"/>
      <c r="D336" s="45"/>
      <c r="E336" s="443"/>
      <c r="F336" s="51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9.5" customHeight="1">
      <c r="A337" s="48"/>
      <c r="B337" s="49"/>
      <c r="C337" s="50"/>
      <c r="D337" s="45"/>
      <c r="E337" s="443"/>
      <c r="F337" s="51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9.5" customHeight="1">
      <c r="A338" s="48"/>
      <c r="B338" s="49"/>
      <c r="C338" s="50"/>
      <c r="D338" s="45"/>
      <c r="E338" s="443"/>
      <c r="F338" s="51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9.5" customHeight="1">
      <c r="A339" s="48"/>
      <c r="B339" s="49"/>
      <c r="C339" s="50"/>
      <c r="D339" s="45"/>
      <c r="E339" s="443"/>
      <c r="F339" s="51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9.5" customHeight="1">
      <c r="A340" s="48"/>
      <c r="B340" s="49"/>
      <c r="C340" s="50"/>
      <c r="D340" s="45"/>
      <c r="E340" s="443"/>
      <c r="F340" s="51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9.5" customHeight="1">
      <c r="A341" s="48"/>
      <c r="B341" s="49"/>
      <c r="C341" s="50"/>
      <c r="D341" s="45"/>
      <c r="E341" s="443"/>
      <c r="F341" s="51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9.5" customHeight="1">
      <c r="A342" s="48"/>
      <c r="B342" s="49"/>
      <c r="C342" s="50"/>
      <c r="D342" s="45"/>
      <c r="E342" s="443"/>
      <c r="F342" s="51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9.5" customHeight="1">
      <c r="A343" s="48"/>
      <c r="B343" s="49"/>
      <c r="C343" s="50"/>
      <c r="D343" s="45"/>
      <c r="E343" s="443"/>
      <c r="F343" s="51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9.5" customHeight="1">
      <c r="A344" s="48"/>
      <c r="B344" s="49"/>
      <c r="C344" s="50"/>
      <c r="D344" s="45"/>
      <c r="E344" s="443"/>
      <c r="F344" s="51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9.5" customHeight="1">
      <c r="A345" s="48"/>
      <c r="B345" s="49"/>
      <c r="C345" s="50"/>
      <c r="D345" s="45"/>
      <c r="E345" s="443"/>
      <c r="F345" s="51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9.5" customHeight="1">
      <c r="A346" s="48"/>
      <c r="B346" s="49"/>
      <c r="C346" s="50"/>
      <c r="D346" s="45"/>
      <c r="E346" s="443"/>
      <c r="F346" s="51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9.5" customHeight="1">
      <c r="A347" s="48"/>
      <c r="B347" s="49"/>
      <c r="C347" s="50"/>
      <c r="D347" s="45"/>
      <c r="E347" s="443"/>
      <c r="F347" s="51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9.5" customHeight="1">
      <c r="A348" s="48"/>
      <c r="B348" s="49"/>
      <c r="C348" s="50"/>
      <c r="D348" s="45"/>
      <c r="E348" s="443"/>
      <c r="F348" s="51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9.5" customHeight="1">
      <c r="A349" s="48"/>
      <c r="B349" s="49"/>
      <c r="C349" s="50"/>
      <c r="D349" s="45"/>
      <c r="E349" s="443"/>
      <c r="F349" s="51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9.5" customHeight="1">
      <c r="A350" s="48"/>
      <c r="B350" s="49"/>
      <c r="C350" s="50"/>
      <c r="D350" s="45"/>
      <c r="E350" s="443"/>
      <c r="F350" s="51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9.5" customHeight="1">
      <c r="A351" s="48"/>
      <c r="B351" s="49"/>
      <c r="C351" s="50"/>
      <c r="D351" s="45"/>
      <c r="E351" s="443"/>
      <c r="F351" s="51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9.5" customHeight="1">
      <c r="A352" s="48"/>
      <c r="B352" s="49"/>
      <c r="C352" s="50"/>
      <c r="D352" s="45"/>
      <c r="E352" s="443"/>
      <c r="F352" s="51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9.5" customHeight="1">
      <c r="A353" s="48"/>
      <c r="B353" s="49"/>
      <c r="C353" s="50"/>
      <c r="D353" s="45"/>
      <c r="E353" s="443"/>
      <c r="F353" s="51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9.5" customHeight="1">
      <c r="A354" s="48"/>
      <c r="B354" s="49"/>
      <c r="C354" s="50"/>
      <c r="D354" s="45"/>
      <c r="E354" s="443"/>
      <c r="F354" s="51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9.5" customHeight="1">
      <c r="A355" s="48"/>
      <c r="B355" s="49"/>
      <c r="C355" s="50"/>
      <c r="D355" s="45"/>
      <c r="E355" s="443"/>
      <c r="F355" s="51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9.5" customHeight="1">
      <c r="A356" s="48"/>
      <c r="B356" s="49"/>
      <c r="C356" s="50"/>
      <c r="D356" s="45"/>
      <c r="E356" s="443"/>
      <c r="F356" s="51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9.5" customHeight="1">
      <c r="A357" s="48"/>
      <c r="B357" s="49"/>
      <c r="C357" s="50"/>
      <c r="D357" s="45"/>
      <c r="E357" s="443"/>
      <c r="F357" s="51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9.5" customHeight="1">
      <c r="A358" s="48"/>
      <c r="B358" s="49"/>
      <c r="C358" s="50"/>
      <c r="D358" s="45"/>
      <c r="E358" s="443"/>
      <c r="F358" s="51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9.5" customHeight="1">
      <c r="A359" s="48"/>
      <c r="B359" s="49"/>
      <c r="C359" s="50"/>
      <c r="D359" s="45"/>
      <c r="E359" s="443"/>
      <c r="F359" s="51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9.5" customHeight="1">
      <c r="A360" s="48"/>
      <c r="B360" s="49"/>
      <c r="C360" s="50"/>
      <c r="D360" s="45"/>
      <c r="E360" s="443"/>
      <c r="F360" s="51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9.5" customHeight="1">
      <c r="A361" s="48"/>
      <c r="B361" s="49"/>
      <c r="C361" s="50"/>
      <c r="D361" s="45"/>
      <c r="E361" s="443"/>
      <c r="F361" s="51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9.5" customHeight="1">
      <c r="A362" s="48"/>
      <c r="B362" s="49"/>
      <c r="C362" s="50"/>
      <c r="D362" s="45"/>
      <c r="E362" s="443"/>
      <c r="F362" s="51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9.5" customHeight="1">
      <c r="A363" s="48"/>
      <c r="B363" s="49"/>
      <c r="C363" s="50"/>
      <c r="D363" s="45"/>
      <c r="E363" s="443"/>
      <c r="F363" s="51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9.5" customHeight="1">
      <c r="A364" s="48"/>
      <c r="B364" s="49"/>
      <c r="C364" s="50"/>
      <c r="D364" s="45"/>
      <c r="E364" s="443"/>
      <c r="F364" s="51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9.5" customHeight="1">
      <c r="A365" s="48"/>
      <c r="B365" s="49"/>
      <c r="C365" s="50"/>
      <c r="D365" s="45"/>
      <c r="E365" s="443"/>
      <c r="F365" s="51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9.5" customHeight="1">
      <c r="A366" s="48"/>
      <c r="B366" s="49"/>
      <c r="C366" s="50"/>
      <c r="D366" s="45"/>
      <c r="E366" s="443"/>
      <c r="F366" s="51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9.5" customHeight="1">
      <c r="A367" s="48"/>
      <c r="B367" s="49"/>
      <c r="C367" s="50"/>
      <c r="D367" s="45"/>
      <c r="E367" s="443"/>
      <c r="F367" s="51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9.5" customHeight="1">
      <c r="A368" s="48"/>
      <c r="B368" s="49"/>
      <c r="C368" s="50"/>
      <c r="D368" s="45"/>
      <c r="E368" s="443"/>
      <c r="F368" s="51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9.5" customHeight="1">
      <c r="A369" s="48"/>
      <c r="B369" s="49"/>
      <c r="C369" s="50"/>
      <c r="D369" s="45"/>
      <c r="E369" s="443"/>
      <c r="F369" s="51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9.5" customHeight="1">
      <c r="A370" s="48"/>
      <c r="B370" s="49"/>
      <c r="C370" s="50"/>
      <c r="D370" s="45"/>
      <c r="E370" s="443"/>
      <c r="F370" s="51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9.5" customHeight="1">
      <c r="A371" s="48"/>
      <c r="B371" s="49"/>
      <c r="C371" s="50"/>
      <c r="D371" s="45"/>
      <c r="E371" s="443"/>
      <c r="F371" s="51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9.5" customHeight="1">
      <c r="A372" s="48"/>
      <c r="B372" s="49"/>
      <c r="C372" s="50"/>
      <c r="D372" s="45"/>
      <c r="E372" s="443"/>
      <c r="F372" s="51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9.5" customHeight="1">
      <c r="A373" s="48"/>
      <c r="B373" s="49"/>
      <c r="C373" s="50"/>
      <c r="D373" s="45"/>
      <c r="E373" s="443"/>
      <c r="F373" s="51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9.5" customHeight="1">
      <c r="A374" s="48"/>
      <c r="B374" s="49"/>
      <c r="C374" s="50"/>
      <c r="D374" s="45"/>
      <c r="E374" s="443"/>
      <c r="F374" s="51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9.5" customHeight="1">
      <c r="A375" s="48"/>
      <c r="B375" s="49"/>
      <c r="C375" s="50"/>
      <c r="D375" s="45"/>
      <c r="E375" s="443"/>
      <c r="F375" s="51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9.5" customHeight="1">
      <c r="A376" s="48"/>
      <c r="B376" s="49"/>
      <c r="C376" s="50"/>
      <c r="D376" s="45"/>
      <c r="E376" s="443"/>
      <c r="F376" s="51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9.5" customHeight="1">
      <c r="A377" s="48"/>
      <c r="B377" s="49"/>
      <c r="C377" s="50"/>
      <c r="D377" s="45"/>
      <c r="E377" s="443"/>
      <c r="F377" s="51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9.5" customHeight="1">
      <c r="A378" s="48"/>
      <c r="B378" s="49"/>
      <c r="C378" s="50"/>
      <c r="D378" s="45"/>
      <c r="E378" s="443"/>
      <c r="F378" s="51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9.5" customHeight="1">
      <c r="A379" s="48"/>
      <c r="B379" s="49"/>
      <c r="C379" s="50"/>
      <c r="D379" s="45"/>
      <c r="E379" s="443"/>
      <c r="F379" s="51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9.5" customHeight="1">
      <c r="A380" s="48"/>
      <c r="B380" s="49"/>
      <c r="C380" s="50"/>
      <c r="D380" s="45"/>
      <c r="E380" s="443"/>
      <c r="F380" s="51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9.5" customHeight="1">
      <c r="A381" s="48"/>
      <c r="B381" s="49"/>
      <c r="C381" s="50"/>
      <c r="D381" s="45"/>
      <c r="E381" s="443"/>
      <c r="F381" s="51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9.5" customHeight="1">
      <c r="A382" s="48"/>
      <c r="B382" s="49"/>
      <c r="C382" s="50"/>
      <c r="D382" s="45"/>
      <c r="E382" s="443"/>
      <c r="F382" s="51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9.5" customHeight="1">
      <c r="A383" s="48"/>
      <c r="B383" s="49"/>
      <c r="C383" s="50"/>
      <c r="D383" s="45"/>
      <c r="E383" s="443"/>
      <c r="F383" s="51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9.5" customHeight="1">
      <c r="A384" s="48"/>
      <c r="B384" s="49"/>
      <c r="C384" s="50"/>
      <c r="D384" s="45"/>
      <c r="E384" s="443"/>
      <c r="F384" s="51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9.5" customHeight="1">
      <c r="A385" s="48"/>
      <c r="B385" s="49"/>
      <c r="C385" s="50"/>
      <c r="D385" s="45"/>
      <c r="E385" s="443"/>
      <c r="F385" s="51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9.5" customHeight="1">
      <c r="A386" s="48"/>
      <c r="B386" s="49"/>
      <c r="C386" s="50"/>
      <c r="D386" s="45"/>
      <c r="E386" s="443"/>
      <c r="F386" s="51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9.5" customHeight="1">
      <c r="A387" s="48"/>
      <c r="B387" s="49"/>
      <c r="C387" s="50"/>
      <c r="D387" s="45"/>
      <c r="E387" s="443"/>
      <c r="F387" s="51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9.5" customHeight="1">
      <c r="A388" s="48"/>
      <c r="B388" s="49"/>
      <c r="C388" s="50"/>
      <c r="D388" s="45"/>
      <c r="E388" s="443"/>
      <c r="F388" s="51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9.5" customHeight="1">
      <c r="A389" s="48"/>
      <c r="B389" s="49"/>
      <c r="C389" s="50"/>
      <c r="D389" s="45"/>
      <c r="E389" s="443"/>
      <c r="F389" s="51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9.5" customHeight="1">
      <c r="A390" s="48"/>
      <c r="B390" s="49"/>
      <c r="C390" s="50"/>
      <c r="D390" s="45"/>
      <c r="E390" s="443"/>
      <c r="F390" s="51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9.5" customHeight="1">
      <c r="A391" s="48"/>
      <c r="B391" s="49"/>
      <c r="C391" s="50"/>
      <c r="D391" s="45"/>
      <c r="E391" s="443"/>
      <c r="F391" s="51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9.5" customHeight="1">
      <c r="A392" s="48"/>
      <c r="B392" s="49"/>
      <c r="C392" s="50"/>
      <c r="D392" s="45"/>
      <c r="E392" s="443"/>
      <c r="F392" s="51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9.5" customHeight="1">
      <c r="A393" s="48"/>
      <c r="B393" s="49"/>
      <c r="C393" s="50"/>
      <c r="D393" s="45"/>
      <c r="E393" s="443"/>
      <c r="F393" s="51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9.5" customHeight="1">
      <c r="A394" s="48"/>
      <c r="B394" s="49"/>
      <c r="C394" s="50"/>
      <c r="D394" s="45"/>
      <c r="E394" s="443"/>
      <c r="F394" s="51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9.5" customHeight="1">
      <c r="A395" s="48"/>
      <c r="B395" s="49"/>
      <c r="C395" s="50"/>
      <c r="D395" s="45"/>
      <c r="E395" s="443"/>
      <c r="F395" s="51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9.5" customHeight="1">
      <c r="A396" s="48"/>
      <c r="B396" s="49"/>
      <c r="C396" s="50"/>
      <c r="D396" s="45"/>
      <c r="E396" s="443"/>
      <c r="F396" s="51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9.5" customHeight="1">
      <c r="A397" s="48"/>
      <c r="B397" s="49"/>
      <c r="C397" s="50"/>
      <c r="D397" s="45"/>
      <c r="E397" s="443"/>
      <c r="F397" s="51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9.5" customHeight="1">
      <c r="A398" s="48"/>
      <c r="B398" s="49"/>
      <c r="C398" s="50"/>
      <c r="D398" s="45"/>
      <c r="E398" s="443"/>
      <c r="F398" s="51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9.5" customHeight="1">
      <c r="A399" s="48"/>
      <c r="B399" s="49"/>
      <c r="C399" s="50"/>
      <c r="D399" s="45"/>
      <c r="E399" s="443"/>
      <c r="F399" s="51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9.5" customHeight="1">
      <c r="A400" s="48"/>
      <c r="B400" s="49"/>
      <c r="C400" s="50"/>
      <c r="D400" s="45"/>
      <c r="E400" s="443"/>
      <c r="F400" s="51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9.5" customHeight="1">
      <c r="A401" s="48"/>
      <c r="B401" s="49"/>
      <c r="C401" s="50"/>
      <c r="D401" s="45"/>
      <c r="E401" s="443"/>
      <c r="F401" s="51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9.5" customHeight="1">
      <c r="A402" s="48"/>
      <c r="B402" s="49"/>
      <c r="C402" s="50"/>
      <c r="D402" s="45"/>
      <c r="E402" s="443"/>
      <c r="F402" s="51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9.5" customHeight="1">
      <c r="A403" s="48"/>
      <c r="B403" s="49"/>
      <c r="C403" s="50"/>
      <c r="D403" s="45"/>
      <c r="E403" s="443"/>
      <c r="F403" s="51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9.5" customHeight="1">
      <c r="A404" s="48"/>
      <c r="B404" s="49"/>
      <c r="C404" s="50"/>
      <c r="D404" s="45"/>
      <c r="E404" s="443"/>
      <c r="F404" s="51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9.5" customHeight="1">
      <c r="A405" s="48"/>
      <c r="B405" s="49"/>
      <c r="C405" s="50"/>
      <c r="D405" s="45"/>
      <c r="E405" s="443"/>
      <c r="F405" s="51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9.5" customHeight="1">
      <c r="A406" s="48"/>
      <c r="B406" s="49"/>
      <c r="C406" s="50"/>
      <c r="D406" s="45"/>
      <c r="E406" s="443"/>
      <c r="F406" s="51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9.5" customHeight="1">
      <c r="A407" s="48"/>
      <c r="B407" s="49"/>
      <c r="C407" s="50"/>
      <c r="D407" s="45"/>
      <c r="E407" s="443"/>
      <c r="F407" s="51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9.5" customHeight="1">
      <c r="A408" s="48"/>
      <c r="B408" s="49"/>
      <c r="C408" s="50"/>
      <c r="D408" s="45"/>
      <c r="E408" s="443"/>
      <c r="F408" s="51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9.5" customHeight="1">
      <c r="A409" s="48"/>
      <c r="B409" s="49"/>
      <c r="C409" s="50"/>
      <c r="D409" s="45"/>
      <c r="E409" s="443"/>
      <c r="F409" s="51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9.5" customHeight="1">
      <c r="A410" s="48"/>
      <c r="B410" s="49"/>
      <c r="C410" s="50"/>
      <c r="D410" s="45"/>
      <c r="E410" s="443"/>
      <c r="F410" s="51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9.5" customHeight="1">
      <c r="A411" s="48"/>
      <c r="B411" s="49"/>
      <c r="C411" s="50"/>
      <c r="D411" s="45"/>
      <c r="E411" s="443"/>
      <c r="F411" s="51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9.5" customHeight="1">
      <c r="A412" s="48"/>
      <c r="B412" s="49"/>
      <c r="C412" s="50"/>
      <c r="D412" s="45"/>
      <c r="E412" s="443"/>
      <c r="F412" s="51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9.5" customHeight="1">
      <c r="A413" s="48"/>
      <c r="B413" s="49"/>
      <c r="C413" s="50"/>
      <c r="D413" s="45"/>
      <c r="E413" s="443"/>
      <c r="F413" s="51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9.5" customHeight="1">
      <c r="A414" s="48"/>
      <c r="B414" s="49"/>
      <c r="C414" s="50"/>
      <c r="D414" s="45"/>
      <c r="E414" s="443"/>
      <c r="F414" s="51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9.5" customHeight="1">
      <c r="A415" s="48"/>
      <c r="B415" s="49"/>
      <c r="C415" s="50"/>
      <c r="D415" s="45"/>
      <c r="E415" s="443"/>
      <c r="F415" s="51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9.5" customHeight="1">
      <c r="A416" s="48"/>
      <c r="B416" s="49"/>
      <c r="C416" s="50"/>
      <c r="D416" s="45"/>
      <c r="E416" s="443"/>
      <c r="F416" s="51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9.5" customHeight="1">
      <c r="A417" s="48"/>
      <c r="B417" s="49"/>
      <c r="C417" s="50"/>
      <c r="D417" s="45"/>
      <c r="E417" s="443"/>
      <c r="F417" s="51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9.5" customHeight="1">
      <c r="A418" s="48"/>
      <c r="B418" s="49"/>
      <c r="C418" s="50"/>
      <c r="D418" s="45"/>
      <c r="E418" s="443"/>
      <c r="F418" s="51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9.5" customHeight="1">
      <c r="A419" s="48"/>
      <c r="B419" s="49"/>
      <c r="C419" s="50"/>
      <c r="D419" s="45"/>
      <c r="E419" s="443"/>
      <c r="F419" s="51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9.5" customHeight="1">
      <c r="A420" s="48"/>
      <c r="B420" s="49"/>
      <c r="C420" s="50"/>
      <c r="D420" s="45"/>
      <c r="E420" s="443"/>
      <c r="F420" s="51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9.5" customHeight="1">
      <c r="A421" s="48"/>
      <c r="B421" s="49"/>
      <c r="C421" s="50"/>
      <c r="D421" s="45"/>
      <c r="E421" s="443"/>
      <c r="F421" s="51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2.75" customHeight="1">
      <c r="A422" s="89"/>
      <c r="B422" s="90"/>
      <c r="C422" s="91" t="s">
        <v>292</v>
      </c>
      <c r="D422" s="92" t="s">
        <v>292</v>
      </c>
      <c r="E422" s="93" t="s">
        <v>292</v>
      </c>
      <c r="F422" s="9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2.75" customHeight="1">
      <c r="A423" s="95"/>
      <c r="B423" s="96"/>
      <c r="C423" s="97">
        <f t="shared" ref="C423:E423" si="2">SUM(C12:C421)</f>
        <v>83332</v>
      </c>
      <c r="D423" s="98">
        <f t="shared" si="2"/>
        <v>2297564.92</v>
      </c>
      <c r="E423" s="98">
        <f t="shared" si="2"/>
        <v>2354538.52</v>
      </c>
      <c r="F423" s="100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2.75" customHeight="1">
      <c r="A424" s="4"/>
      <c r="B424" s="101"/>
      <c r="C424" s="4"/>
      <c r="D424" s="102"/>
      <c r="E424" s="103"/>
      <c r="F424" s="10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2.75" customHeight="1">
      <c r="A425" s="4"/>
      <c r="B425" s="101"/>
      <c r="C425" s="4"/>
      <c r="D425" s="102"/>
      <c r="E425" s="103"/>
      <c r="F425" s="10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2.75" customHeight="1">
      <c r="A426" s="4"/>
      <c r="B426" s="101"/>
      <c r="C426" s="4"/>
      <c r="D426" s="102"/>
      <c r="E426" s="103"/>
      <c r="F426" s="10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2.75" customHeight="1">
      <c r="A427" s="4"/>
      <c r="B427" s="101"/>
      <c r="C427" s="4"/>
      <c r="D427" s="102"/>
      <c r="E427" s="103"/>
      <c r="F427" s="10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2.75" customHeight="1">
      <c r="A428" s="4"/>
      <c r="B428" s="101"/>
      <c r="C428" s="4"/>
      <c r="D428" s="102"/>
      <c r="E428" s="103"/>
      <c r="F428" s="10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2.75" customHeight="1">
      <c r="A429" s="4"/>
      <c r="B429" s="101"/>
      <c r="C429" s="4"/>
      <c r="D429" s="102"/>
      <c r="E429" s="103"/>
      <c r="F429" s="10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2.75" customHeight="1">
      <c r="A430" s="4"/>
      <c r="B430" s="101"/>
      <c r="C430" s="4"/>
      <c r="D430" s="102"/>
      <c r="E430" s="103"/>
      <c r="F430" s="10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2.75" customHeight="1">
      <c r="A431" s="4"/>
      <c r="B431" s="101"/>
      <c r="C431" s="4"/>
      <c r="D431" s="102"/>
      <c r="E431" s="103"/>
      <c r="F431" s="10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2.75" customHeight="1">
      <c r="A432" s="4"/>
      <c r="B432" s="101"/>
      <c r="C432" s="4"/>
      <c r="D432" s="102"/>
      <c r="E432" s="103"/>
      <c r="F432" s="10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2.75" customHeight="1">
      <c r="A433" s="4"/>
      <c r="B433" s="101"/>
      <c r="C433" s="4"/>
      <c r="D433" s="102"/>
      <c r="E433" s="103"/>
      <c r="F433" s="10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2.75" customHeight="1">
      <c r="A434" s="4"/>
      <c r="B434" s="101"/>
      <c r="C434" s="4"/>
      <c r="D434" s="102"/>
      <c r="E434" s="103"/>
      <c r="F434" s="10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2.75" customHeight="1">
      <c r="A435" s="4"/>
      <c r="B435" s="101"/>
      <c r="C435" s="4"/>
      <c r="D435" s="102"/>
      <c r="E435" s="103"/>
      <c r="F435" s="10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2.75" customHeight="1">
      <c r="A436" s="4"/>
      <c r="B436" s="101"/>
      <c r="C436" s="4"/>
      <c r="D436" s="102"/>
      <c r="E436" s="103"/>
      <c r="F436" s="10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2.75" customHeight="1">
      <c r="A437" s="4"/>
      <c r="B437" s="101"/>
      <c r="C437" s="4"/>
      <c r="D437" s="102"/>
      <c r="E437" s="103"/>
      <c r="F437" s="10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2.75" customHeight="1">
      <c r="A438" s="4"/>
      <c r="B438" s="101"/>
      <c r="C438" s="4"/>
      <c r="D438" s="102"/>
      <c r="E438" s="103"/>
      <c r="F438" s="10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2.75" customHeight="1">
      <c r="A439" s="4"/>
      <c r="B439" s="101"/>
      <c r="C439" s="4"/>
      <c r="D439" s="102"/>
      <c r="E439" s="103"/>
      <c r="F439" s="10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2.75" customHeight="1">
      <c r="A440" s="4"/>
      <c r="B440" s="101"/>
      <c r="C440" s="4"/>
      <c r="D440" s="102"/>
      <c r="E440" s="103"/>
      <c r="F440" s="10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2.75" customHeight="1">
      <c r="A441" s="4"/>
      <c r="B441" s="101"/>
      <c r="C441" s="4"/>
      <c r="D441" s="102"/>
      <c r="E441" s="103"/>
      <c r="F441" s="10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2.75" customHeight="1">
      <c r="A442" s="4"/>
      <c r="B442" s="101"/>
      <c r="C442" s="4"/>
      <c r="D442" s="102"/>
      <c r="E442" s="103"/>
      <c r="F442" s="10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2.75" customHeight="1">
      <c r="A443" s="4"/>
      <c r="B443" s="101"/>
      <c r="C443" s="4"/>
      <c r="D443" s="102"/>
      <c r="E443" s="103"/>
      <c r="F443" s="10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2.75" customHeight="1">
      <c r="A444" s="4"/>
      <c r="B444" s="101"/>
      <c r="C444" s="4"/>
      <c r="D444" s="102"/>
      <c r="E444" s="103"/>
      <c r="F444" s="10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2.75" customHeight="1">
      <c r="A445" s="4"/>
      <c r="B445" s="101"/>
      <c r="C445" s="4"/>
      <c r="D445" s="102"/>
      <c r="E445" s="103"/>
      <c r="F445" s="10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2.75" customHeight="1">
      <c r="A446" s="4"/>
      <c r="B446" s="101"/>
      <c r="C446" s="4"/>
      <c r="D446" s="102"/>
      <c r="E446" s="103"/>
      <c r="F446" s="10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2.75" customHeight="1">
      <c r="A447" s="4"/>
      <c r="B447" s="101"/>
      <c r="C447" s="4"/>
      <c r="D447" s="102"/>
      <c r="E447" s="103"/>
      <c r="F447" s="10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2.75" customHeight="1">
      <c r="A448" s="4"/>
      <c r="B448" s="101"/>
      <c r="C448" s="4"/>
      <c r="D448" s="102"/>
      <c r="E448" s="103"/>
      <c r="F448" s="10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2.75" customHeight="1">
      <c r="A449" s="4"/>
      <c r="B449" s="101"/>
      <c r="C449" s="4"/>
      <c r="D449" s="102"/>
      <c r="E449" s="103"/>
      <c r="F449" s="10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2.75" customHeight="1">
      <c r="A450" s="4"/>
      <c r="B450" s="101"/>
      <c r="C450" s="4"/>
      <c r="D450" s="102"/>
      <c r="E450" s="103"/>
      <c r="F450" s="10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2.75" customHeight="1">
      <c r="A451" s="4"/>
      <c r="B451" s="101"/>
      <c r="C451" s="4"/>
      <c r="D451" s="102"/>
      <c r="E451" s="103"/>
      <c r="F451" s="10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2.75" customHeight="1">
      <c r="A452" s="4"/>
      <c r="B452" s="101"/>
      <c r="C452" s="4"/>
      <c r="D452" s="102"/>
      <c r="E452" s="103"/>
      <c r="F452" s="10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2.75" customHeight="1">
      <c r="A453" s="4"/>
      <c r="B453" s="101"/>
      <c r="C453" s="4"/>
      <c r="D453" s="102"/>
      <c r="E453" s="103"/>
      <c r="F453" s="10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2.75" customHeight="1">
      <c r="A454" s="4"/>
      <c r="B454" s="101"/>
      <c r="C454" s="4"/>
      <c r="D454" s="102"/>
      <c r="E454" s="103"/>
      <c r="F454" s="10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2.75" customHeight="1">
      <c r="A455" s="4"/>
      <c r="B455" s="101"/>
      <c r="C455" s="4"/>
      <c r="D455" s="102"/>
      <c r="E455" s="103"/>
      <c r="F455" s="10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2.75" customHeight="1">
      <c r="A456" s="4"/>
      <c r="B456" s="101"/>
      <c r="C456" s="4"/>
      <c r="D456" s="102"/>
      <c r="E456" s="103"/>
      <c r="F456" s="10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2.75" customHeight="1">
      <c r="A457" s="4"/>
      <c r="B457" s="101"/>
      <c r="C457" s="4"/>
      <c r="D457" s="102"/>
      <c r="E457" s="103"/>
      <c r="F457" s="10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2.75" customHeight="1">
      <c r="A458" s="4"/>
      <c r="B458" s="101"/>
      <c r="C458" s="4"/>
      <c r="D458" s="102"/>
      <c r="E458" s="103"/>
      <c r="F458" s="10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2.75" customHeight="1">
      <c r="A459" s="4"/>
      <c r="B459" s="101"/>
      <c r="C459" s="4"/>
      <c r="D459" s="102"/>
      <c r="E459" s="103"/>
      <c r="F459" s="10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2.75" customHeight="1">
      <c r="A460" s="4"/>
      <c r="B460" s="101"/>
      <c r="C460" s="4"/>
      <c r="D460" s="102"/>
      <c r="E460" s="103"/>
      <c r="F460" s="10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2.75" customHeight="1">
      <c r="A461" s="4"/>
      <c r="B461" s="101"/>
      <c r="C461" s="4"/>
      <c r="D461" s="102"/>
      <c r="E461" s="103"/>
      <c r="F461" s="10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2.75" customHeight="1">
      <c r="A462" s="4"/>
      <c r="B462" s="101"/>
      <c r="C462" s="4"/>
      <c r="D462" s="102"/>
      <c r="E462" s="103"/>
      <c r="F462" s="10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2.75" customHeight="1">
      <c r="A463" s="4"/>
      <c r="B463" s="101"/>
      <c r="C463" s="4"/>
      <c r="D463" s="102"/>
      <c r="E463" s="103"/>
      <c r="F463" s="10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2.75" customHeight="1">
      <c r="A464" s="4"/>
      <c r="B464" s="101"/>
      <c r="C464" s="4"/>
      <c r="D464" s="102"/>
      <c r="E464" s="103"/>
      <c r="F464" s="10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2.75" customHeight="1">
      <c r="A465" s="4"/>
      <c r="B465" s="101"/>
      <c r="C465" s="4"/>
      <c r="D465" s="102"/>
      <c r="E465" s="103"/>
      <c r="F465" s="10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2.75" customHeight="1">
      <c r="A466" s="4"/>
      <c r="B466" s="101"/>
      <c r="C466" s="4"/>
      <c r="D466" s="102"/>
      <c r="E466" s="103"/>
      <c r="F466" s="10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2.75" customHeight="1">
      <c r="A467" s="4"/>
      <c r="B467" s="101"/>
      <c r="C467" s="4"/>
      <c r="D467" s="102"/>
      <c r="E467" s="103"/>
      <c r="F467" s="10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2.75" customHeight="1">
      <c r="A468" s="4"/>
      <c r="B468" s="101"/>
      <c r="C468" s="4"/>
      <c r="D468" s="102"/>
      <c r="E468" s="103"/>
      <c r="F468" s="10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2.75" customHeight="1">
      <c r="A469" s="4"/>
      <c r="B469" s="101"/>
      <c r="C469" s="4"/>
      <c r="D469" s="102"/>
      <c r="E469" s="103"/>
      <c r="F469" s="10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2.75" customHeight="1">
      <c r="A470" s="4"/>
      <c r="B470" s="101"/>
      <c r="C470" s="4"/>
      <c r="D470" s="102"/>
      <c r="E470" s="103"/>
      <c r="F470" s="10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2.75" customHeight="1">
      <c r="A471" s="4"/>
      <c r="B471" s="101"/>
      <c r="C471" s="4"/>
      <c r="D471" s="102"/>
      <c r="E471" s="103"/>
      <c r="F471" s="10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2.75" customHeight="1">
      <c r="A472" s="4"/>
      <c r="B472" s="101"/>
      <c r="C472" s="4"/>
      <c r="D472" s="102"/>
      <c r="E472" s="103"/>
      <c r="F472" s="10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2.75" customHeight="1">
      <c r="A473" s="4"/>
      <c r="B473" s="101"/>
      <c r="C473" s="4"/>
      <c r="D473" s="102"/>
      <c r="E473" s="103"/>
      <c r="F473" s="10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2.75" customHeight="1">
      <c r="A474" s="4"/>
      <c r="B474" s="101"/>
      <c r="C474" s="4"/>
      <c r="D474" s="102"/>
      <c r="E474" s="103"/>
      <c r="F474" s="10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2.75" customHeight="1">
      <c r="A475" s="4"/>
      <c r="B475" s="101"/>
      <c r="C475" s="4"/>
      <c r="D475" s="102"/>
      <c r="E475" s="103"/>
      <c r="F475" s="10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2.75" customHeight="1">
      <c r="A476" s="4"/>
      <c r="B476" s="101"/>
      <c r="C476" s="4"/>
      <c r="D476" s="102"/>
      <c r="E476" s="103"/>
      <c r="F476" s="10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2.75" customHeight="1">
      <c r="A477" s="4"/>
      <c r="B477" s="101"/>
      <c r="C477" s="4"/>
      <c r="D477" s="102"/>
      <c r="E477" s="103"/>
      <c r="F477" s="10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2.75" customHeight="1">
      <c r="A478" s="4"/>
      <c r="B478" s="101"/>
      <c r="C478" s="4"/>
      <c r="D478" s="102"/>
      <c r="E478" s="103"/>
      <c r="F478" s="10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2.75" customHeight="1">
      <c r="A479" s="4"/>
      <c r="B479" s="101"/>
      <c r="C479" s="4"/>
      <c r="D479" s="102"/>
      <c r="E479" s="103"/>
      <c r="F479" s="10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2.75" customHeight="1">
      <c r="A480" s="4"/>
      <c r="B480" s="101"/>
      <c r="C480" s="4"/>
      <c r="D480" s="102"/>
      <c r="E480" s="103"/>
      <c r="F480" s="10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2.75" customHeight="1">
      <c r="A481" s="4"/>
      <c r="B481" s="101"/>
      <c r="C481" s="4"/>
      <c r="D481" s="102"/>
      <c r="E481" s="103"/>
      <c r="F481" s="10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2.75" customHeight="1">
      <c r="A482" s="4"/>
      <c r="B482" s="101"/>
      <c r="C482" s="4"/>
      <c r="D482" s="102"/>
      <c r="E482" s="103"/>
      <c r="F482" s="10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2.75" customHeight="1">
      <c r="A483" s="4"/>
      <c r="B483" s="101"/>
      <c r="C483" s="4"/>
      <c r="D483" s="102"/>
      <c r="E483" s="103"/>
      <c r="F483" s="10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2.75" customHeight="1">
      <c r="A484" s="4"/>
      <c r="B484" s="101"/>
      <c r="C484" s="4"/>
      <c r="D484" s="102"/>
      <c r="E484" s="103"/>
      <c r="F484" s="10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2.75" customHeight="1">
      <c r="A485" s="4"/>
      <c r="B485" s="101"/>
      <c r="C485" s="4"/>
      <c r="D485" s="102"/>
      <c r="E485" s="103"/>
      <c r="F485" s="10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2.75" customHeight="1">
      <c r="A486" s="4"/>
      <c r="B486" s="101"/>
      <c r="C486" s="4"/>
      <c r="D486" s="102"/>
      <c r="E486" s="103"/>
      <c r="F486" s="10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2.75" customHeight="1">
      <c r="A487" s="4"/>
      <c r="B487" s="101"/>
      <c r="C487" s="4"/>
      <c r="D487" s="102"/>
      <c r="E487" s="103"/>
      <c r="F487" s="10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2.75" customHeight="1">
      <c r="A488" s="4"/>
      <c r="B488" s="101"/>
      <c r="C488" s="4"/>
      <c r="D488" s="102"/>
      <c r="E488" s="103"/>
      <c r="F488" s="10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2.75" customHeight="1">
      <c r="A489" s="4"/>
      <c r="B489" s="101"/>
      <c r="C489" s="4"/>
      <c r="D489" s="102"/>
      <c r="E489" s="103"/>
      <c r="F489" s="10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2.75" customHeight="1">
      <c r="A490" s="4"/>
      <c r="B490" s="101"/>
      <c r="C490" s="4"/>
      <c r="D490" s="102"/>
      <c r="E490" s="103"/>
      <c r="F490" s="10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2.75" customHeight="1">
      <c r="A491" s="4"/>
      <c r="B491" s="101"/>
      <c r="C491" s="4"/>
      <c r="D491" s="102"/>
      <c r="E491" s="103"/>
      <c r="F491" s="10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2.75" customHeight="1">
      <c r="A492" s="4"/>
      <c r="B492" s="101"/>
      <c r="C492" s="4"/>
      <c r="D492" s="102"/>
      <c r="E492" s="103"/>
      <c r="F492" s="10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2.75" customHeight="1">
      <c r="A493" s="4"/>
      <c r="B493" s="101"/>
      <c r="C493" s="4"/>
      <c r="D493" s="102"/>
      <c r="E493" s="103"/>
      <c r="F493" s="10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2.75" customHeight="1">
      <c r="A494" s="4"/>
      <c r="B494" s="101"/>
      <c r="C494" s="4"/>
      <c r="D494" s="102"/>
      <c r="E494" s="103"/>
      <c r="F494" s="10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2.75" customHeight="1">
      <c r="A495" s="4"/>
      <c r="B495" s="101"/>
      <c r="C495" s="4"/>
      <c r="D495" s="102"/>
      <c r="E495" s="103"/>
      <c r="F495" s="10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2.75" customHeight="1">
      <c r="A496" s="4"/>
      <c r="B496" s="101"/>
      <c r="C496" s="4"/>
      <c r="D496" s="102"/>
      <c r="E496" s="103"/>
      <c r="F496" s="10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2.75" customHeight="1">
      <c r="A497" s="4"/>
      <c r="B497" s="101"/>
      <c r="C497" s="4"/>
      <c r="D497" s="102"/>
      <c r="E497" s="103"/>
      <c r="F497" s="10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2.75" customHeight="1">
      <c r="A498" s="4"/>
      <c r="B498" s="101"/>
      <c r="C498" s="4"/>
      <c r="D498" s="102"/>
      <c r="E498" s="103"/>
      <c r="F498" s="10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2.75" customHeight="1">
      <c r="A499" s="4"/>
      <c r="B499" s="101"/>
      <c r="C499" s="4"/>
      <c r="D499" s="102"/>
      <c r="E499" s="103"/>
      <c r="F499" s="10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2.75" customHeight="1">
      <c r="A500" s="4"/>
      <c r="B500" s="101"/>
      <c r="C500" s="4"/>
      <c r="D500" s="102"/>
      <c r="E500" s="103"/>
      <c r="F500" s="10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2.75" customHeight="1">
      <c r="A501" s="4"/>
      <c r="B501" s="101"/>
      <c r="C501" s="4"/>
      <c r="D501" s="102"/>
      <c r="E501" s="103"/>
      <c r="F501" s="10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2.75" customHeight="1">
      <c r="A502" s="4"/>
      <c r="B502" s="101"/>
      <c r="C502" s="4"/>
      <c r="D502" s="102"/>
      <c r="E502" s="103"/>
      <c r="F502" s="10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2.75" customHeight="1">
      <c r="A503" s="4"/>
      <c r="B503" s="101"/>
      <c r="C503" s="4"/>
      <c r="D503" s="102"/>
      <c r="E503" s="103"/>
      <c r="F503" s="10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2.75" customHeight="1">
      <c r="A504" s="4"/>
      <c r="B504" s="101"/>
      <c r="C504" s="4"/>
      <c r="D504" s="102"/>
      <c r="E504" s="103"/>
      <c r="F504" s="10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2.75" customHeight="1">
      <c r="A505" s="4"/>
      <c r="B505" s="101"/>
      <c r="C505" s="4"/>
      <c r="D505" s="102"/>
      <c r="E505" s="103"/>
      <c r="F505" s="10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2.75" customHeight="1">
      <c r="A506" s="4"/>
      <c r="B506" s="101"/>
      <c r="C506" s="4"/>
      <c r="D506" s="102"/>
      <c r="E506" s="103"/>
      <c r="F506" s="10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2.75" customHeight="1">
      <c r="A507" s="4"/>
      <c r="B507" s="101"/>
      <c r="C507" s="4"/>
      <c r="D507" s="102"/>
      <c r="E507" s="103"/>
      <c r="F507" s="10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2.75" customHeight="1">
      <c r="A508" s="4"/>
      <c r="B508" s="101"/>
      <c r="C508" s="4"/>
      <c r="D508" s="102"/>
      <c r="E508" s="103"/>
      <c r="F508" s="10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2.75" customHeight="1">
      <c r="A509" s="4"/>
      <c r="B509" s="101"/>
      <c r="C509" s="4"/>
      <c r="D509" s="102"/>
      <c r="E509" s="103"/>
      <c r="F509" s="10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2.75" customHeight="1">
      <c r="A510" s="4"/>
      <c r="B510" s="101"/>
      <c r="C510" s="4"/>
      <c r="D510" s="102"/>
      <c r="E510" s="103"/>
      <c r="F510" s="10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2.75" customHeight="1">
      <c r="A511" s="4"/>
      <c r="B511" s="101"/>
      <c r="C511" s="4"/>
      <c r="D511" s="102"/>
      <c r="E511" s="103"/>
      <c r="F511" s="10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2.75" customHeight="1">
      <c r="A512" s="4"/>
      <c r="B512" s="101"/>
      <c r="C512" s="4"/>
      <c r="D512" s="102"/>
      <c r="E512" s="103"/>
      <c r="F512" s="10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2.75" customHeight="1">
      <c r="A513" s="4"/>
      <c r="B513" s="101"/>
      <c r="C513" s="4"/>
      <c r="D513" s="102"/>
      <c r="E513" s="103"/>
      <c r="F513" s="10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2.75" customHeight="1">
      <c r="A514" s="4"/>
      <c r="B514" s="101"/>
      <c r="C514" s="4"/>
      <c r="D514" s="102"/>
      <c r="E514" s="103"/>
      <c r="F514" s="10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2.75" customHeight="1">
      <c r="A515" s="4"/>
      <c r="B515" s="101"/>
      <c r="C515" s="4"/>
      <c r="D515" s="102"/>
      <c r="E515" s="103"/>
      <c r="F515" s="10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2.75" customHeight="1">
      <c r="A516" s="4"/>
      <c r="B516" s="101"/>
      <c r="C516" s="4"/>
      <c r="D516" s="102"/>
      <c r="E516" s="103"/>
      <c r="F516" s="10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2.75" customHeight="1">
      <c r="A517" s="4"/>
      <c r="B517" s="101"/>
      <c r="C517" s="4"/>
      <c r="D517" s="102"/>
      <c r="E517" s="103"/>
      <c r="F517" s="10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2.75" customHeight="1">
      <c r="A518" s="4"/>
      <c r="B518" s="101"/>
      <c r="C518" s="4"/>
      <c r="D518" s="102"/>
      <c r="E518" s="103"/>
      <c r="F518" s="10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2.75" customHeight="1">
      <c r="A519" s="4"/>
      <c r="B519" s="101"/>
      <c r="C519" s="4"/>
      <c r="D519" s="102"/>
      <c r="E519" s="103"/>
      <c r="F519" s="10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2.75" customHeight="1">
      <c r="A520" s="4"/>
      <c r="B520" s="101"/>
      <c r="C520" s="4"/>
      <c r="D520" s="102"/>
      <c r="E520" s="103"/>
      <c r="F520" s="10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2.75" customHeight="1">
      <c r="A521" s="4"/>
      <c r="B521" s="101"/>
      <c r="C521" s="4"/>
      <c r="D521" s="102"/>
      <c r="E521" s="103"/>
      <c r="F521" s="10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2.75" customHeight="1">
      <c r="A522" s="4"/>
      <c r="B522" s="101"/>
      <c r="C522" s="4"/>
      <c r="D522" s="102"/>
      <c r="E522" s="103"/>
      <c r="F522" s="10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2.75" customHeight="1">
      <c r="A523" s="4"/>
      <c r="B523" s="101"/>
      <c r="C523" s="4"/>
      <c r="D523" s="102"/>
      <c r="E523" s="103"/>
      <c r="F523" s="10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2.75" customHeight="1">
      <c r="A524" s="4"/>
      <c r="B524" s="101"/>
      <c r="C524" s="4"/>
      <c r="D524" s="102"/>
      <c r="E524" s="103"/>
      <c r="F524" s="10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2.75" customHeight="1">
      <c r="A525" s="4"/>
      <c r="B525" s="101"/>
      <c r="C525" s="4"/>
      <c r="D525" s="102"/>
      <c r="E525" s="103"/>
      <c r="F525" s="10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2.75" customHeight="1">
      <c r="A526" s="4"/>
      <c r="B526" s="101"/>
      <c r="C526" s="4"/>
      <c r="D526" s="102"/>
      <c r="E526" s="103"/>
      <c r="F526" s="10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2.75" customHeight="1">
      <c r="A527" s="4"/>
      <c r="B527" s="101"/>
      <c r="C527" s="4"/>
      <c r="D527" s="102"/>
      <c r="E527" s="103"/>
      <c r="F527" s="10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2.75" customHeight="1">
      <c r="A528" s="4"/>
      <c r="B528" s="101"/>
      <c r="C528" s="4"/>
      <c r="D528" s="102"/>
      <c r="E528" s="103"/>
      <c r="F528" s="10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2.75" customHeight="1">
      <c r="A529" s="4"/>
      <c r="B529" s="101"/>
      <c r="C529" s="4"/>
      <c r="D529" s="102"/>
      <c r="E529" s="103"/>
      <c r="F529" s="10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2.75" customHeight="1">
      <c r="A530" s="4"/>
      <c r="B530" s="101"/>
      <c r="C530" s="4"/>
      <c r="D530" s="102"/>
      <c r="E530" s="103"/>
      <c r="F530" s="10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2.75" customHeight="1">
      <c r="A531" s="4"/>
      <c r="B531" s="101"/>
      <c r="C531" s="4"/>
      <c r="D531" s="102"/>
      <c r="E531" s="103"/>
      <c r="F531" s="10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2.75" customHeight="1">
      <c r="A532" s="4"/>
      <c r="B532" s="101"/>
      <c r="C532" s="4"/>
      <c r="D532" s="102"/>
      <c r="E532" s="103"/>
      <c r="F532" s="10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2.75" customHeight="1">
      <c r="A533" s="4"/>
      <c r="B533" s="101"/>
      <c r="C533" s="4"/>
      <c r="D533" s="102"/>
      <c r="E533" s="103"/>
      <c r="F533" s="10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2.75" customHeight="1">
      <c r="A534" s="4"/>
      <c r="B534" s="101"/>
      <c r="C534" s="4"/>
      <c r="D534" s="102"/>
      <c r="E534" s="103"/>
      <c r="F534" s="10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2.75" customHeight="1">
      <c r="A535" s="4"/>
      <c r="B535" s="101"/>
      <c r="C535" s="4"/>
      <c r="D535" s="102"/>
      <c r="E535" s="103"/>
      <c r="F535" s="10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2.75" customHeight="1">
      <c r="A536" s="4"/>
      <c r="B536" s="101"/>
      <c r="C536" s="4"/>
      <c r="D536" s="102"/>
      <c r="E536" s="103"/>
      <c r="F536" s="10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2.75" customHeight="1">
      <c r="A537" s="4"/>
      <c r="B537" s="101"/>
      <c r="C537" s="4"/>
      <c r="D537" s="102"/>
      <c r="E537" s="103"/>
      <c r="F537" s="10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2.75" customHeight="1">
      <c r="A538" s="4"/>
      <c r="B538" s="101"/>
      <c r="C538" s="4"/>
      <c r="D538" s="102"/>
      <c r="E538" s="103"/>
      <c r="F538" s="10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2.75" customHeight="1">
      <c r="A539" s="4"/>
      <c r="B539" s="101"/>
      <c r="C539" s="4"/>
      <c r="D539" s="102"/>
      <c r="E539" s="103"/>
      <c r="F539" s="10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2.75" customHeight="1">
      <c r="A540" s="4"/>
      <c r="B540" s="101"/>
      <c r="C540" s="4"/>
      <c r="D540" s="102"/>
      <c r="E540" s="103"/>
      <c r="F540" s="10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2.75" customHeight="1">
      <c r="A541" s="4"/>
      <c r="B541" s="101"/>
      <c r="C541" s="4"/>
      <c r="D541" s="102"/>
      <c r="E541" s="103"/>
      <c r="F541" s="10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2.75" customHeight="1">
      <c r="A542" s="4"/>
      <c r="B542" s="101"/>
      <c r="C542" s="4"/>
      <c r="D542" s="102"/>
      <c r="E542" s="103"/>
      <c r="F542" s="10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2.75" customHeight="1">
      <c r="A543" s="4"/>
      <c r="B543" s="101"/>
      <c r="C543" s="4"/>
      <c r="D543" s="102"/>
      <c r="E543" s="103"/>
      <c r="F543" s="10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2.75" customHeight="1">
      <c r="A544" s="4"/>
      <c r="B544" s="101"/>
      <c r="C544" s="4"/>
      <c r="D544" s="102"/>
      <c r="E544" s="103"/>
      <c r="F544" s="10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2.75" customHeight="1">
      <c r="A545" s="4"/>
      <c r="B545" s="101"/>
      <c r="C545" s="4"/>
      <c r="D545" s="102"/>
      <c r="E545" s="103"/>
      <c r="F545" s="10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2.75" customHeight="1">
      <c r="A546" s="4"/>
      <c r="B546" s="101"/>
      <c r="C546" s="4"/>
      <c r="D546" s="102"/>
      <c r="E546" s="103"/>
      <c r="F546" s="10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2.75" customHeight="1">
      <c r="A547" s="4"/>
      <c r="B547" s="101"/>
      <c r="C547" s="4"/>
      <c r="D547" s="102"/>
      <c r="E547" s="103"/>
      <c r="F547" s="10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2.75" customHeight="1">
      <c r="A548" s="4"/>
      <c r="B548" s="101"/>
      <c r="C548" s="4"/>
      <c r="D548" s="102"/>
      <c r="E548" s="103"/>
      <c r="F548" s="10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2.75" customHeight="1">
      <c r="A549" s="4"/>
      <c r="B549" s="101"/>
      <c r="C549" s="4"/>
      <c r="D549" s="102"/>
      <c r="E549" s="103"/>
      <c r="F549" s="10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2.75" customHeight="1">
      <c r="A550" s="4"/>
      <c r="B550" s="101"/>
      <c r="C550" s="4"/>
      <c r="D550" s="102"/>
      <c r="E550" s="103"/>
      <c r="F550" s="10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2.75" customHeight="1">
      <c r="A551" s="4"/>
      <c r="B551" s="101"/>
      <c r="C551" s="4"/>
      <c r="D551" s="102"/>
      <c r="E551" s="103"/>
      <c r="F551" s="10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2.75" customHeight="1">
      <c r="A552" s="4"/>
      <c r="B552" s="101"/>
      <c r="C552" s="4"/>
      <c r="D552" s="102"/>
      <c r="E552" s="103"/>
      <c r="F552" s="10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2.75" customHeight="1">
      <c r="A553" s="4"/>
      <c r="B553" s="101"/>
      <c r="C553" s="4"/>
      <c r="D553" s="102"/>
      <c r="E553" s="103"/>
      <c r="F553" s="10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2.75" customHeight="1">
      <c r="A554" s="4"/>
      <c r="B554" s="101"/>
      <c r="C554" s="4"/>
      <c r="D554" s="102"/>
      <c r="E554" s="103"/>
      <c r="F554" s="10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2.75" customHeight="1">
      <c r="A555" s="4"/>
      <c r="B555" s="101"/>
      <c r="C555" s="4"/>
      <c r="D555" s="102"/>
      <c r="E555" s="103"/>
      <c r="F555" s="10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2.75" customHeight="1">
      <c r="A556" s="4"/>
      <c r="B556" s="101"/>
      <c r="C556" s="4"/>
      <c r="D556" s="102"/>
      <c r="E556" s="103"/>
      <c r="F556" s="10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2.75" customHeight="1">
      <c r="A557" s="4"/>
      <c r="B557" s="101"/>
      <c r="C557" s="4"/>
      <c r="D557" s="102"/>
      <c r="E557" s="103"/>
      <c r="F557" s="10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2.75" customHeight="1">
      <c r="A558" s="4"/>
      <c r="B558" s="101"/>
      <c r="C558" s="4"/>
      <c r="D558" s="102"/>
      <c r="E558" s="103"/>
      <c r="F558" s="10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2.75" customHeight="1">
      <c r="A559" s="4"/>
      <c r="B559" s="101"/>
      <c r="C559" s="4"/>
      <c r="D559" s="102"/>
      <c r="E559" s="103"/>
      <c r="F559" s="10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2.75" customHeight="1">
      <c r="A560" s="4"/>
      <c r="B560" s="101"/>
      <c r="C560" s="4"/>
      <c r="D560" s="102"/>
      <c r="E560" s="103"/>
      <c r="F560" s="10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2.75" customHeight="1">
      <c r="A561" s="4"/>
      <c r="B561" s="101"/>
      <c r="C561" s="4"/>
      <c r="D561" s="102"/>
      <c r="E561" s="103"/>
      <c r="F561" s="10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2.75" customHeight="1">
      <c r="A562" s="4"/>
      <c r="B562" s="101"/>
      <c r="C562" s="4"/>
      <c r="D562" s="102"/>
      <c r="E562" s="103"/>
      <c r="F562" s="10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2.75" customHeight="1">
      <c r="A563" s="4"/>
      <c r="B563" s="101"/>
      <c r="C563" s="4"/>
      <c r="D563" s="102"/>
      <c r="E563" s="103"/>
      <c r="F563" s="10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2.75" customHeight="1">
      <c r="A564" s="4"/>
      <c r="B564" s="101"/>
      <c r="C564" s="4"/>
      <c r="D564" s="102"/>
      <c r="E564" s="103"/>
      <c r="F564" s="10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2.75" customHeight="1">
      <c r="A565" s="4"/>
      <c r="B565" s="101"/>
      <c r="C565" s="4"/>
      <c r="D565" s="102"/>
      <c r="E565" s="103"/>
      <c r="F565" s="10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2.75" customHeight="1">
      <c r="A566" s="4"/>
      <c r="B566" s="101"/>
      <c r="C566" s="4"/>
      <c r="D566" s="102"/>
      <c r="E566" s="103"/>
      <c r="F566" s="10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2.75" customHeight="1">
      <c r="A567" s="4"/>
      <c r="B567" s="101"/>
      <c r="C567" s="4"/>
      <c r="D567" s="102"/>
      <c r="E567" s="103"/>
      <c r="F567" s="10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2.75" customHeight="1">
      <c r="A568" s="4"/>
      <c r="B568" s="101"/>
      <c r="C568" s="4"/>
      <c r="D568" s="102"/>
      <c r="E568" s="103"/>
      <c r="F568" s="10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2.75" customHeight="1">
      <c r="A569" s="4"/>
      <c r="B569" s="101"/>
      <c r="C569" s="4"/>
      <c r="D569" s="102"/>
      <c r="E569" s="103"/>
      <c r="F569" s="10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2.75" customHeight="1">
      <c r="A570" s="4"/>
      <c r="B570" s="101"/>
      <c r="C570" s="4"/>
      <c r="D570" s="102"/>
      <c r="E570" s="103"/>
      <c r="F570" s="10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2.75" customHeight="1">
      <c r="A571" s="4"/>
      <c r="B571" s="101"/>
      <c r="C571" s="4"/>
      <c r="D571" s="102"/>
      <c r="E571" s="103"/>
      <c r="F571" s="10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2.75" customHeight="1">
      <c r="A572" s="4"/>
      <c r="B572" s="101"/>
      <c r="C572" s="4"/>
      <c r="D572" s="102"/>
      <c r="E572" s="103"/>
      <c r="F572" s="10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2.75" customHeight="1">
      <c r="A573" s="4"/>
      <c r="B573" s="101"/>
      <c r="C573" s="4"/>
      <c r="D573" s="102"/>
      <c r="E573" s="103"/>
      <c r="F573" s="10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2.75" customHeight="1">
      <c r="A574" s="4"/>
      <c r="B574" s="101"/>
      <c r="C574" s="4"/>
      <c r="D574" s="102"/>
      <c r="E574" s="103"/>
      <c r="F574" s="10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2.75" customHeight="1">
      <c r="A575" s="4"/>
      <c r="B575" s="101"/>
      <c r="C575" s="4"/>
      <c r="D575" s="102"/>
      <c r="E575" s="103"/>
      <c r="F575" s="10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2.75" customHeight="1">
      <c r="A576" s="4"/>
      <c r="B576" s="101"/>
      <c r="C576" s="4"/>
      <c r="D576" s="102"/>
      <c r="E576" s="103"/>
      <c r="F576" s="10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2.75" customHeight="1">
      <c r="A577" s="4"/>
      <c r="B577" s="101"/>
      <c r="C577" s="4"/>
      <c r="D577" s="102"/>
      <c r="E577" s="103"/>
      <c r="F577" s="10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2.75" customHeight="1">
      <c r="A578" s="4"/>
      <c r="B578" s="101"/>
      <c r="C578" s="4"/>
      <c r="D578" s="102"/>
      <c r="E578" s="103"/>
      <c r="F578" s="10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2.75" customHeight="1">
      <c r="A579" s="4"/>
      <c r="B579" s="101"/>
      <c r="C579" s="4"/>
      <c r="D579" s="102"/>
      <c r="E579" s="103"/>
      <c r="F579" s="10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2.75" customHeight="1">
      <c r="A580" s="4"/>
      <c r="B580" s="101"/>
      <c r="C580" s="4"/>
      <c r="D580" s="102"/>
      <c r="E580" s="103"/>
      <c r="F580" s="10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2.75" customHeight="1">
      <c r="A581" s="4"/>
      <c r="B581" s="101"/>
      <c r="C581" s="4"/>
      <c r="D581" s="102"/>
      <c r="E581" s="103"/>
      <c r="F581" s="10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2.75" customHeight="1">
      <c r="A582" s="4"/>
      <c r="B582" s="101"/>
      <c r="C582" s="4"/>
      <c r="D582" s="102"/>
      <c r="E582" s="103"/>
      <c r="F582" s="10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2.75" customHeight="1">
      <c r="A583" s="4"/>
      <c r="B583" s="101"/>
      <c r="C583" s="4"/>
      <c r="D583" s="102"/>
      <c r="E583" s="103"/>
      <c r="F583" s="10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2.75" customHeight="1">
      <c r="A584" s="4"/>
      <c r="B584" s="101"/>
      <c r="C584" s="4"/>
      <c r="D584" s="102"/>
      <c r="E584" s="103"/>
      <c r="F584" s="10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2.75" customHeight="1">
      <c r="A585" s="4"/>
      <c r="B585" s="101"/>
      <c r="C585" s="4"/>
      <c r="D585" s="102"/>
      <c r="E585" s="103"/>
      <c r="F585" s="10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2.75" customHeight="1">
      <c r="A586" s="4"/>
      <c r="B586" s="101"/>
      <c r="C586" s="4"/>
      <c r="D586" s="102"/>
      <c r="E586" s="103"/>
      <c r="F586" s="10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2.75" customHeight="1">
      <c r="A587" s="4"/>
      <c r="B587" s="101"/>
      <c r="C587" s="4"/>
      <c r="D587" s="102"/>
      <c r="E587" s="103"/>
      <c r="F587" s="10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2.75" customHeight="1">
      <c r="A588" s="4"/>
      <c r="B588" s="101"/>
      <c r="C588" s="4"/>
      <c r="D588" s="102"/>
      <c r="E588" s="103"/>
      <c r="F588" s="10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2.75" customHeight="1">
      <c r="A589" s="4"/>
      <c r="B589" s="101"/>
      <c r="C589" s="4"/>
      <c r="D589" s="102"/>
      <c r="E589" s="103"/>
      <c r="F589" s="10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2.75" customHeight="1">
      <c r="A590" s="4"/>
      <c r="B590" s="101"/>
      <c r="C590" s="4"/>
      <c r="D590" s="102"/>
      <c r="E590" s="103"/>
      <c r="F590" s="10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2.75" customHeight="1">
      <c r="A591" s="4"/>
      <c r="B591" s="101"/>
      <c r="C591" s="4"/>
      <c r="D591" s="102"/>
      <c r="E591" s="103"/>
      <c r="F591" s="10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2.75" customHeight="1">
      <c r="A592" s="4"/>
      <c r="B592" s="101"/>
      <c r="C592" s="4"/>
      <c r="D592" s="102"/>
      <c r="E592" s="103"/>
      <c r="F592" s="10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2.75" customHeight="1">
      <c r="A593" s="4"/>
      <c r="B593" s="101"/>
      <c r="C593" s="4"/>
      <c r="D593" s="102"/>
      <c r="E593" s="103"/>
      <c r="F593" s="10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2.75" customHeight="1">
      <c r="A594" s="4"/>
      <c r="B594" s="101"/>
      <c r="C594" s="4"/>
      <c r="D594" s="102"/>
      <c r="E594" s="103"/>
      <c r="F594" s="10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2.75" customHeight="1">
      <c r="A595" s="4"/>
      <c r="B595" s="101"/>
      <c r="C595" s="4"/>
      <c r="D595" s="102"/>
      <c r="E595" s="103"/>
      <c r="F595" s="10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2.75" customHeight="1">
      <c r="A596" s="4"/>
      <c r="B596" s="101"/>
      <c r="C596" s="4"/>
      <c r="D596" s="102"/>
      <c r="E596" s="103"/>
      <c r="F596" s="10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2.75" customHeight="1">
      <c r="A597" s="4"/>
      <c r="B597" s="101"/>
      <c r="C597" s="4"/>
      <c r="D597" s="102"/>
      <c r="E597" s="103"/>
      <c r="F597" s="10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2.75" customHeight="1">
      <c r="A598" s="4"/>
      <c r="B598" s="101"/>
      <c r="C598" s="4"/>
      <c r="D598" s="102"/>
      <c r="E598" s="103"/>
      <c r="F598" s="10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2.75" customHeight="1">
      <c r="A599" s="4"/>
      <c r="B599" s="101"/>
      <c r="C599" s="4"/>
      <c r="D599" s="102"/>
      <c r="E599" s="103"/>
      <c r="F599" s="10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2.75" customHeight="1">
      <c r="A600" s="4"/>
      <c r="B600" s="101"/>
      <c r="C600" s="4"/>
      <c r="D600" s="102"/>
      <c r="E600" s="103"/>
      <c r="F600" s="10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2.75" customHeight="1">
      <c r="A601" s="4"/>
      <c r="B601" s="101"/>
      <c r="C601" s="4"/>
      <c r="D601" s="102"/>
      <c r="E601" s="103"/>
      <c r="F601" s="10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2.75" customHeight="1">
      <c r="A602" s="4"/>
      <c r="B602" s="101"/>
      <c r="C602" s="4"/>
      <c r="D602" s="102"/>
      <c r="E602" s="103"/>
      <c r="F602" s="10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2.75" customHeight="1">
      <c r="A603" s="4"/>
      <c r="B603" s="101"/>
      <c r="C603" s="4"/>
      <c r="D603" s="102"/>
      <c r="E603" s="103"/>
      <c r="F603" s="10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2.75" customHeight="1">
      <c r="A604" s="4"/>
      <c r="B604" s="101"/>
      <c r="C604" s="4"/>
      <c r="D604" s="102"/>
      <c r="E604" s="103"/>
      <c r="F604" s="10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2.75" customHeight="1">
      <c r="A605" s="4"/>
      <c r="B605" s="101"/>
      <c r="C605" s="4"/>
      <c r="D605" s="102"/>
      <c r="E605" s="103"/>
      <c r="F605" s="10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2.75" customHeight="1">
      <c r="A606" s="4"/>
      <c r="B606" s="101"/>
      <c r="C606" s="4"/>
      <c r="D606" s="102"/>
      <c r="E606" s="103"/>
      <c r="F606" s="10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2.75" customHeight="1">
      <c r="A607" s="4"/>
      <c r="B607" s="101"/>
      <c r="C607" s="4"/>
      <c r="D607" s="102"/>
      <c r="E607" s="103"/>
      <c r="F607" s="10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2.75" customHeight="1">
      <c r="A608" s="4"/>
      <c r="B608" s="101"/>
      <c r="C608" s="4"/>
      <c r="D608" s="102"/>
      <c r="E608" s="103"/>
      <c r="F608" s="10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2.75" customHeight="1">
      <c r="A609" s="4"/>
      <c r="B609" s="101"/>
      <c r="C609" s="4"/>
      <c r="D609" s="102"/>
      <c r="E609" s="103"/>
      <c r="F609" s="10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2.75" customHeight="1">
      <c r="A610" s="4"/>
      <c r="B610" s="101"/>
      <c r="C610" s="4"/>
      <c r="D610" s="102"/>
      <c r="E610" s="103"/>
      <c r="F610" s="10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2.75" customHeight="1">
      <c r="A611" s="4"/>
      <c r="B611" s="101"/>
      <c r="C611" s="4"/>
      <c r="D611" s="102"/>
      <c r="E611" s="103"/>
      <c r="F611" s="10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2.75" customHeight="1">
      <c r="A612" s="4"/>
      <c r="B612" s="101"/>
      <c r="C612" s="4"/>
      <c r="D612" s="102"/>
      <c r="E612" s="103"/>
      <c r="F612" s="10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2.75" customHeight="1">
      <c r="A613" s="4"/>
      <c r="B613" s="101"/>
      <c r="C613" s="4"/>
      <c r="D613" s="102"/>
      <c r="E613" s="103"/>
      <c r="F613" s="10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2.75" customHeight="1">
      <c r="A614" s="4"/>
      <c r="B614" s="101"/>
      <c r="C614" s="4"/>
      <c r="D614" s="102"/>
      <c r="E614" s="103"/>
      <c r="F614" s="10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2.75" customHeight="1">
      <c r="A615" s="4"/>
      <c r="B615" s="101"/>
      <c r="C615" s="4"/>
      <c r="D615" s="102"/>
      <c r="E615" s="103"/>
      <c r="F615" s="10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2.75" customHeight="1">
      <c r="A616" s="4"/>
      <c r="B616" s="101"/>
      <c r="C616" s="4"/>
      <c r="D616" s="102"/>
      <c r="E616" s="103"/>
      <c r="F616" s="10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2.75" customHeight="1">
      <c r="A617" s="4"/>
      <c r="B617" s="101"/>
      <c r="C617" s="4"/>
      <c r="D617" s="102"/>
      <c r="E617" s="103"/>
      <c r="F617" s="10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2.75" customHeight="1">
      <c r="A618" s="4"/>
      <c r="B618" s="101"/>
      <c r="C618" s="4"/>
      <c r="D618" s="102"/>
      <c r="E618" s="103"/>
      <c r="F618" s="10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2.75" customHeight="1">
      <c r="A619" s="4"/>
      <c r="B619" s="101"/>
      <c r="C619" s="4"/>
      <c r="D619" s="102"/>
      <c r="E619" s="103"/>
      <c r="F619" s="10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2.75" customHeight="1">
      <c r="A620" s="4"/>
      <c r="B620" s="101"/>
      <c r="C620" s="4"/>
      <c r="D620" s="102"/>
      <c r="E620" s="103"/>
      <c r="F620" s="10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2.75" customHeight="1">
      <c r="A621" s="4"/>
      <c r="B621" s="101"/>
      <c r="C621" s="4"/>
      <c r="D621" s="102"/>
      <c r="E621" s="103"/>
      <c r="F621" s="10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2.75" customHeight="1">
      <c r="A622" s="4"/>
      <c r="B622" s="101"/>
      <c r="C622" s="4"/>
      <c r="D622" s="102"/>
      <c r="E622" s="103"/>
      <c r="F622" s="10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2.75" customHeight="1">
      <c r="A623" s="4"/>
      <c r="B623" s="101"/>
      <c r="C623" s="4"/>
      <c r="D623" s="102"/>
      <c r="E623" s="103"/>
      <c r="F623" s="10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8">
    <mergeCell ref="A101:B101"/>
    <mergeCell ref="A102:B102"/>
    <mergeCell ref="A106:B106"/>
    <mergeCell ref="A107:B107"/>
    <mergeCell ref="A111:B111"/>
    <mergeCell ref="A112:B112"/>
    <mergeCell ref="A116:B116"/>
    <mergeCell ref="A117:B117"/>
    <mergeCell ref="A121:B121"/>
    <mergeCell ref="A122:B122"/>
    <mergeCell ref="A126:B126"/>
    <mergeCell ref="A127:B127"/>
    <mergeCell ref="A131:B131"/>
    <mergeCell ref="A132:B132"/>
    <mergeCell ref="A141:B141"/>
    <mergeCell ref="A142:B142"/>
    <mergeCell ref="A146:B146"/>
    <mergeCell ref="A147:B147"/>
    <mergeCell ref="A151:B151"/>
    <mergeCell ref="A152:B152"/>
    <mergeCell ref="A156:B156"/>
    <mergeCell ref="A157:B157"/>
    <mergeCell ref="A161:B161"/>
    <mergeCell ref="A162:B162"/>
    <mergeCell ref="A166:B166"/>
    <mergeCell ref="A167:B167"/>
    <mergeCell ref="A171:B171"/>
    <mergeCell ref="A172:B172"/>
    <mergeCell ref="A176:B176"/>
    <mergeCell ref="A177:B177"/>
    <mergeCell ref="A181:B181"/>
    <mergeCell ref="A182:B182"/>
    <mergeCell ref="A186:B186"/>
    <mergeCell ref="A187:B187"/>
    <mergeCell ref="A191:B191"/>
    <mergeCell ref="A192:B192"/>
    <mergeCell ref="A196:B196"/>
    <mergeCell ref="A197:B197"/>
    <mergeCell ref="A201:B201"/>
    <mergeCell ref="A202:B202"/>
    <mergeCell ref="A206:B206"/>
    <mergeCell ref="A207:B207"/>
    <mergeCell ref="A227:B227"/>
    <mergeCell ref="A231:B231"/>
    <mergeCell ref="A232:B232"/>
    <mergeCell ref="A236:B236"/>
    <mergeCell ref="A237:B237"/>
    <mergeCell ref="A211:B211"/>
    <mergeCell ref="A212:B212"/>
    <mergeCell ref="A216:B216"/>
    <mergeCell ref="A217:B217"/>
    <mergeCell ref="A221:B221"/>
    <mergeCell ref="A222:B222"/>
    <mergeCell ref="A226:B226"/>
    <mergeCell ref="A1:F1"/>
    <mergeCell ref="A2:F2"/>
    <mergeCell ref="A3:F3"/>
    <mergeCell ref="A4:F4"/>
    <mergeCell ref="D7:E7"/>
    <mergeCell ref="A9:F9"/>
    <mergeCell ref="A11:B11"/>
    <mergeCell ref="A12:B12"/>
    <mergeCell ref="A16:B16"/>
    <mergeCell ref="A17:B17"/>
    <mergeCell ref="A21:B21"/>
    <mergeCell ref="A22:B22"/>
    <mergeCell ref="A26:B26"/>
    <mergeCell ref="A27:B27"/>
    <mergeCell ref="A31:B31"/>
    <mergeCell ref="A32:B32"/>
    <mergeCell ref="A36:B36"/>
    <mergeCell ref="A37:B37"/>
    <mergeCell ref="A41:B41"/>
    <mergeCell ref="A42:B42"/>
    <mergeCell ref="A46:B46"/>
    <mergeCell ref="A47:B47"/>
    <mergeCell ref="A51:B51"/>
    <mergeCell ref="A52:B52"/>
    <mergeCell ref="A56:B56"/>
    <mergeCell ref="A57:B57"/>
    <mergeCell ref="A61:B61"/>
    <mergeCell ref="A62:B62"/>
    <mergeCell ref="A66:B66"/>
    <mergeCell ref="A67:B67"/>
    <mergeCell ref="A71:B71"/>
    <mergeCell ref="A72:B72"/>
    <mergeCell ref="A76:B76"/>
    <mergeCell ref="A77:B77"/>
    <mergeCell ref="A81:B81"/>
    <mergeCell ref="A82:B82"/>
    <mergeCell ref="A86:B86"/>
    <mergeCell ref="A87:B87"/>
    <mergeCell ref="A91:B91"/>
    <mergeCell ref="A92:B92"/>
    <mergeCell ref="A96:B96"/>
    <mergeCell ref="A97:B97"/>
    <mergeCell ref="A136:B136"/>
    <mergeCell ref="A137:B137"/>
  </mergeCells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2.63" defaultRowHeight="15.0"/>
  <cols>
    <col customWidth="1" min="1" max="1" width="61.63"/>
    <col customWidth="1" min="2" max="2" width="62.88"/>
    <col customWidth="1" min="3" max="3" width="14.88"/>
    <col customWidth="1" min="4" max="4" width="21.0"/>
    <col customWidth="1" min="5" max="5" width="21.63"/>
    <col customWidth="1" min="6" max="6" width="73.38"/>
    <col customWidth="1" min="7" max="7" width="50.13"/>
    <col customWidth="1" min="8" max="26" width="8.0"/>
  </cols>
  <sheetData>
    <row r="1" ht="12.75" customHeight="1">
      <c r="A1" s="1" t="s">
        <v>293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2.75" customHeight="1">
      <c r="A2" s="5" t="s">
        <v>707</v>
      </c>
      <c r="B2" s="6"/>
      <c r="C2" s="6"/>
      <c r="D2" s="6"/>
      <c r="E2" s="6"/>
      <c r="F2" s="7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2.75" customHeight="1">
      <c r="A3" s="5" t="s">
        <v>2</v>
      </c>
      <c r="B3" s="6"/>
      <c r="C3" s="6"/>
      <c r="D3" s="6"/>
      <c r="E3" s="6"/>
      <c r="F3" s="7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2.75" customHeight="1">
      <c r="A4" s="5" t="s">
        <v>3</v>
      </c>
      <c r="B4" s="6"/>
      <c r="C4" s="6"/>
      <c r="D4" s="6"/>
      <c r="E4" s="6"/>
      <c r="F4" s="7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2.75" customHeight="1">
      <c r="A5" s="8"/>
      <c r="B5" s="9"/>
      <c r="C5" s="10"/>
      <c r="D5" s="11"/>
      <c r="E5" s="11"/>
      <c r="F5" s="12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2.75" customHeight="1">
      <c r="A6" s="13"/>
      <c r="B6" s="9"/>
      <c r="C6" s="10"/>
      <c r="D6" s="14"/>
      <c r="E6" s="14"/>
      <c r="F6" s="15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30.0" customHeight="1">
      <c r="A7" s="16"/>
      <c r="B7" s="9"/>
      <c r="C7" s="17"/>
      <c r="D7" s="18"/>
      <c r="E7" s="19"/>
      <c r="F7" s="15" t="s">
        <v>2838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0.0" customHeight="1">
      <c r="A8" s="20" t="s">
        <v>296</v>
      </c>
      <c r="B8" s="21"/>
      <c r="C8" s="22"/>
      <c r="D8" s="23"/>
      <c r="E8" s="23"/>
      <c r="F8" s="2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7.75" customHeight="1">
      <c r="A9" s="25" t="s">
        <v>2839</v>
      </c>
      <c r="B9" s="26"/>
      <c r="C9" s="26"/>
      <c r="D9" s="26"/>
      <c r="E9" s="26"/>
      <c r="F9" s="27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8.5" customHeight="1">
      <c r="A10" s="105"/>
      <c r="B10" s="106"/>
      <c r="C10" s="107"/>
      <c r="D10" s="108"/>
      <c r="E10" s="108"/>
      <c r="F10" s="109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</row>
    <row r="11" ht="42.0" customHeight="1">
      <c r="A11" s="281" t="s">
        <v>2840</v>
      </c>
      <c r="B11" s="282"/>
      <c r="C11" s="112" t="s">
        <v>299</v>
      </c>
      <c r="D11" s="113" t="s">
        <v>9</v>
      </c>
      <c r="E11" s="284" t="s">
        <v>10</v>
      </c>
      <c r="F11" s="311" t="s">
        <v>11</v>
      </c>
      <c r="G11" s="52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9.5" customHeight="1">
      <c r="A12" s="194" t="s">
        <v>319</v>
      </c>
      <c r="B12" s="286"/>
      <c r="C12" s="287"/>
      <c r="D12" s="183"/>
      <c r="E12" s="183"/>
      <c r="F12" s="290" t="s">
        <v>2841</v>
      </c>
      <c r="G12" s="52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2.75" customHeight="1">
      <c r="A13" s="122" t="s">
        <v>303</v>
      </c>
      <c r="B13" s="123" t="s">
        <v>304</v>
      </c>
      <c r="C13" s="292"/>
      <c r="D13" s="186"/>
      <c r="E13" s="186"/>
      <c r="F13" s="300" t="s">
        <v>2842</v>
      </c>
      <c r="G13" s="52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2.75" customHeight="1">
      <c r="A14" s="128" t="s">
        <v>308</v>
      </c>
      <c r="B14" s="129" t="s">
        <v>309</v>
      </c>
      <c r="C14" s="297">
        <v>123.0</v>
      </c>
      <c r="D14" s="132">
        <v>3165.3</v>
      </c>
      <c r="E14" s="298">
        <v>3317.658</v>
      </c>
      <c r="F14" s="300" t="s">
        <v>2843</v>
      </c>
      <c r="G14" s="52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2.75" customHeight="1">
      <c r="A15" s="302" t="s">
        <v>1086</v>
      </c>
      <c r="B15" s="201" t="s">
        <v>15</v>
      </c>
      <c r="C15" s="297">
        <v>22626.0</v>
      </c>
      <c r="D15" s="132">
        <v>582204.61</v>
      </c>
      <c r="E15" s="298">
        <v>607081.5</v>
      </c>
      <c r="F15" s="525" t="s">
        <v>2844</v>
      </c>
      <c r="G15" s="52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2.75" customHeight="1">
      <c r="A16" s="200" t="s">
        <v>712</v>
      </c>
      <c r="B16" s="129" t="s">
        <v>15</v>
      </c>
      <c r="C16" s="297">
        <v>2067.0</v>
      </c>
      <c r="D16" s="132">
        <v>56252.65</v>
      </c>
      <c r="E16" s="298">
        <v>58879.25</v>
      </c>
      <c r="F16" s="295" t="s">
        <v>2845</v>
      </c>
      <c r="G16" s="52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2.75" customHeight="1">
      <c r="A17" s="128" t="s">
        <v>1372</v>
      </c>
      <c r="B17" s="129" t="s">
        <v>1226</v>
      </c>
      <c r="C17" s="297">
        <v>1044.0</v>
      </c>
      <c r="D17" s="132">
        <v>27529.18</v>
      </c>
      <c r="E17" s="298">
        <v>28690.99</v>
      </c>
      <c r="F17" s="295" t="s">
        <v>2846</v>
      </c>
      <c r="G17" s="52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2.75" customHeight="1">
      <c r="A18" s="128" t="s">
        <v>1332</v>
      </c>
      <c r="B18" s="129" t="s">
        <v>1333</v>
      </c>
      <c r="C18" s="297">
        <v>1201.0</v>
      </c>
      <c r="D18" s="132">
        <v>25956.01</v>
      </c>
      <c r="E18" s="132">
        <v>27243.66</v>
      </c>
      <c r="F18" s="316" t="s">
        <v>2847</v>
      </c>
      <c r="G18" s="52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2.75" customHeight="1">
      <c r="A19" s="302"/>
      <c r="B19" s="198"/>
      <c r="C19" s="297"/>
      <c r="D19" s="132"/>
      <c r="E19" s="132"/>
      <c r="F19" s="316"/>
      <c r="G19" s="52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2.75" customHeight="1">
      <c r="A20" s="302" t="s">
        <v>2848</v>
      </c>
      <c r="B20" s="301" t="s">
        <v>2849</v>
      </c>
      <c r="C20" s="297"/>
      <c r="D20" s="132"/>
      <c r="E20" s="132"/>
      <c r="F20" s="316"/>
      <c r="G20" s="52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2.75" customHeight="1">
      <c r="A21" s="302" t="s">
        <v>2850</v>
      </c>
      <c r="B21" s="247" t="s">
        <v>2851</v>
      </c>
      <c r="C21" s="297"/>
      <c r="D21" s="132"/>
      <c r="E21" s="132"/>
      <c r="F21" s="316"/>
      <c r="G21" s="52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2.75" customHeight="1">
      <c r="A22" s="302" t="s">
        <v>2852</v>
      </c>
      <c r="B22" s="247" t="s">
        <v>2853</v>
      </c>
      <c r="C22" s="297"/>
      <c r="D22" s="132"/>
      <c r="E22" s="132"/>
      <c r="F22" s="295"/>
      <c r="G22" s="52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2.75" customHeight="1">
      <c r="A23" s="302" t="s">
        <v>2854</v>
      </c>
      <c r="B23" s="247" t="s">
        <v>2855</v>
      </c>
      <c r="C23" s="297"/>
      <c r="D23" s="132"/>
      <c r="E23" s="132"/>
      <c r="F23" s="295"/>
      <c r="G23" s="52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2.75" customHeight="1">
      <c r="A24" s="302" t="s">
        <v>2856</v>
      </c>
      <c r="B24" s="301" t="s">
        <v>2857</v>
      </c>
      <c r="C24" s="297"/>
      <c r="D24" s="132"/>
      <c r="E24" s="132"/>
      <c r="F24" s="295"/>
      <c r="G24" s="52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2.75" customHeight="1">
      <c r="A25" s="302" t="s">
        <v>2858</v>
      </c>
      <c r="B25" s="247" t="s">
        <v>2859</v>
      </c>
      <c r="C25" s="297"/>
      <c r="D25" s="132"/>
      <c r="E25" s="132"/>
      <c r="F25" s="295"/>
      <c r="G25" s="52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2.75" customHeight="1">
      <c r="A26" s="302" t="s">
        <v>2860</v>
      </c>
      <c r="B26" s="247" t="s">
        <v>2861</v>
      </c>
      <c r="C26" s="297"/>
      <c r="D26" s="132"/>
      <c r="E26" s="132"/>
      <c r="F26" s="295"/>
      <c r="G26" s="52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2.75" customHeight="1">
      <c r="A27" s="200" t="s">
        <v>2862</v>
      </c>
      <c r="B27" s="247" t="s">
        <v>2863</v>
      </c>
      <c r="C27" s="297"/>
      <c r="D27" s="132"/>
      <c r="E27" s="132"/>
      <c r="F27" s="316"/>
      <c r="G27" s="52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2.75" customHeight="1">
      <c r="A28" s="200" t="s">
        <v>2864</v>
      </c>
      <c r="B28" s="301" t="s">
        <v>2865</v>
      </c>
      <c r="C28" s="297"/>
      <c r="D28" s="132"/>
      <c r="E28" s="132"/>
      <c r="F28" s="316"/>
      <c r="G28" s="52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2.75" customHeight="1">
      <c r="A29" s="302" t="s">
        <v>2866</v>
      </c>
      <c r="B29" s="247" t="s">
        <v>2867</v>
      </c>
      <c r="C29" s="297"/>
      <c r="D29" s="132"/>
      <c r="E29" s="132"/>
      <c r="F29" s="316"/>
      <c r="G29" s="52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2.75" customHeight="1">
      <c r="A30" s="302" t="s">
        <v>2868</v>
      </c>
      <c r="B30" s="247" t="s">
        <v>2869</v>
      </c>
      <c r="C30" s="297"/>
      <c r="D30" s="132"/>
      <c r="E30" s="132"/>
      <c r="F30" s="316"/>
      <c r="G30" s="52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2.75" customHeight="1">
      <c r="A31" s="302" t="s">
        <v>2870</v>
      </c>
      <c r="B31" s="247" t="s">
        <v>2871</v>
      </c>
      <c r="C31" s="297"/>
      <c r="D31" s="132"/>
      <c r="E31" s="132"/>
      <c r="F31" s="316"/>
      <c r="G31" s="52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2.75" customHeight="1">
      <c r="A32" s="402" t="s">
        <v>2872</v>
      </c>
      <c r="B32" s="247" t="s">
        <v>2873</v>
      </c>
      <c r="C32" s="297"/>
      <c r="D32" s="132"/>
      <c r="E32" s="132"/>
      <c r="F32" s="316"/>
      <c r="G32" s="52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2.75" customHeight="1">
      <c r="A33" s="291"/>
      <c r="B33" s="123"/>
      <c r="C33" s="297"/>
      <c r="D33" s="132"/>
      <c r="E33" s="132"/>
      <c r="F33" s="316"/>
      <c r="G33" s="52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2.75" customHeight="1">
      <c r="A34" s="135" t="s">
        <v>1143</v>
      </c>
      <c r="B34" s="123"/>
      <c r="C34" s="297"/>
      <c r="D34" s="132"/>
      <c r="E34" s="132"/>
      <c r="F34" s="316"/>
      <c r="G34" s="52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2.75" customHeight="1">
      <c r="A35" s="142"/>
      <c r="B35" s="143"/>
      <c r="C35" s="361">
        <f t="shared" ref="C35:E35" si="1">SUM(C12:C34)</f>
        <v>27061</v>
      </c>
      <c r="D35" s="146">
        <f t="shared" si="1"/>
        <v>695107.75</v>
      </c>
      <c r="E35" s="146">
        <f t="shared" si="1"/>
        <v>725213.058</v>
      </c>
      <c r="F35" s="358"/>
      <c r="G35" s="52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37.5" customHeight="1">
      <c r="A36" s="179" t="s">
        <v>2874</v>
      </c>
      <c r="B36" s="149"/>
      <c r="C36" s="112" t="s">
        <v>299</v>
      </c>
      <c r="D36" s="113" t="s">
        <v>9</v>
      </c>
      <c r="E36" s="284" t="s">
        <v>10</v>
      </c>
      <c r="F36" s="311" t="s">
        <v>11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2.75" customHeight="1">
      <c r="A37" s="194" t="s">
        <v>440</v>
      </c>
      <c r="B37" s="195"/>
      <c r="C37" s="287"/>
      <c r="D37" s="132"/>
      <c r="E37" s="183"/>
      <c r="F37" s="290" t="s">
        <v>2875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2.75" customHeight="1">
      <c r="A38" s="122" t="s">
        <v>303</v>
      </c>
      <c r="B38" s="123" t="s">
        <v>304</v>
      </c>
      <c r="C38" s="292"/>
      <c r="D38" s="132"/>
      <c r="E38" s="186"/>
      <c r="F38" s="300" t="s">
        <v>2876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2.75" customHeight="1">
      <c r="A39" s="128" t="s">
        <v>308</v>
      </c>
      <c r="B39" s="129" t="s">
        <v>309</v>
      </c>
      <c r="C39" s="297">
        <v>4232.0</v>
      </c>
      <c r="D39" s="132">
        <v>109682.55</v>
      </c>
      <c r="E39" s="298">
        <v>115210.85</v>
      </c>
      <c r="F39" s="300" t="s">
        <v>2877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2.75" customHeight="1">
      <c r="A40" s="302" t="s">
        <v>1086</v>
      </c>
      <c r="B40" s="201" t="s">
        <v>15</v>
      </c>
      <c r="C40" s="297">
        <v>15972.0</v>
      </c>
      <c r="D40" s="132">
        <v>419663.2</v>
      </c>
      <c r="E40" s="132">
        <v>435923.33</v>
      </c>
      <c r="F40" s="525" t="s">
        <v>2878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2.75" customHeight="1">
      <c r="A41" s="128" t="s">
        <v>1225</v>
      </c>
      <c r="B41" s="129" t="s">
        <v>1226</v>
      </c>
      <c r="C41" s="297">
        <v>1036.0</v>
      </c>
      <c r="D41" s="132">
        <v>27000.56</v>
      </c>
      <c r="E41" s="132">
        <v>28176.63</v>
      </c>
      <c r="F41" s="295" t="s">
        <v>2879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2.75" customHeight="1">
      <c r="A42" s="200"/>
      <c r="B42" s="291"/>
      <c r="C42" s="297"/>
      <c r="D42" s="132"/>
      <c r="E42" s="132"/>
      <c r="F42" s="295" t="s">
        <v>2880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2.75" customHeight="1">
      <c r="A43" s="200" t="s">
        <v>2881</v>
      </c>
      <c r="B43" s="291" t="s">
        <v>2882</v>
      </c>
      <c r="C43" s="297"/>
      <c r="D43" s="132"/>
      <c r="E43" s="132"/>
      <c r="F43" s="526" t="s">
        <v>2883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2.75" customHeight="1">
      <c r="A44" s="200" t="s">
        <v>2884</v>
      </c>
      <c r="B44" s="291" t="s">
        <v>2885</v>
      </c>
      <c r="C44" s="297"/>
      <c r="D44" s="132"/>
      <c r="E44" s="132"/>
      <c r="F44" s="316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2.75" customHeight="1">
      <c r="A45" s="200" t="s">
        <v>2886</v>
      </c>
      <c r="B45" s="291" t="s">
        <v>2887</v>
      </c>
      <c r="C45" s="297"/>
      <c r="D45" s="132"/>
      <c r="E45" s="132"/>
      <c r="F45" s="316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2.75" customHeight="1">
      <c r="A46" s="200" t="s">
        <v>2888</v>
      </c>
      <c r="B46" s="291" t="s">
        <v>2889</v>
      </c>
      <c r="C46" s="297"/>
      <c r="D46" s="132"/>
      <c r="E46" s="132"/>
      <c r="F46" s="316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2.75" customHeight="1">
      <c r="A47" s="200" t="s">
        <v>2890</v>
      </c>
      <c r="B47" s="291" t="s">
        <v>2891</v>
      </c>
      <c r="C47" s="297"/>
      <c r="D47" s="132"/>
      <c r="E47" s="132"/>
      <c r="F47" s="316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2.75" customHeight="1">
      <c r="A48" s="200" t="s">
        <v>2892</v>
      </c>
      <c r="B48" s="291" t="s">
        <v>2893</v>
      </c>
      <c r="C48" s="297"/>
      <c r="D48" s="132"/>
      <c r="E48" s="132"/>
      <c r="F48" s="316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2.75" customHeight="1">
      <c r="A49" s="200" t="s">
        <v>2894</v>
      </c>
      <c r="B49" s="291" t="s">
        <v>2895</v>
      </c>
      <c r="C49" s="297"/>
      <c r="D49" s="132"/>
      <c r="E49" s="132"/>
      <c r="F49" s="316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2.75" customHeight="1">
      <c r="A50" s="200" t="s">
        <v>2896</v>
      </c>
      <c r="B50" s="301" t="s">
        <v>2897</v>
      </c>
      <c r="C50" s="297"/>
      <c r="D50" s="132"/>
      <c r="E50" s="132"/>
      <c r="F50" s="316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2.75" customHeight="1">
      <c r="A51" s="200" t="s">
        <v>2898</v>
      </c>
      <c r="B51" s="301" t="s">
        <v>2899</v>
      </c>
      <c r="C51" s="297"/>
      <c r="D51" s="132"/>
      <c r="E51" s="132"/>
      <c r="F51" s="316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75" customHeight="1">
      <c r="A52" s="200" t="s">
        <v>2900</v>
      </c>
      <c r="B52" s="291" t="s">
        <v>2901</v>
      </c>
      <c r="C52" s="297"/>
      <c r="D52" s="132"/>
      <c r="E52" s="132"/>
      <c r="F52" s="316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2.75" customHeight="1">
      <c r="A53" s="128"/>
      <c r="B53" s="198"/>
      <c r="C53" s="297"/>
      <c r="D53" s="132"/>
      <c r="E53" s="132"/>
      <c r="F53" s="316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2.75" customHeight="1">
      <c r="A54" s="128" t="s">
        <v>316</v>
      </c>
      <c r="B54" s="198"/>
      <c r="C54" s="297"/>
      <c r="D54" s="132"/>
      <c r="E54" s="132"/>
      <c r="F54" s="316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8.75" customHeight="1">
      <c r="A55" s="142"/>
      <c r="B55" s="143"/>
      <c r="C55" s="361">
        <f t="shared" ref="C55:E55" si="2">SUM(C37:C44)</f>
        <v>21240</v>
      </c>
      <c r="D55" s="146">
        <f t="shared" si="2"/>
        <v>556346.31</v>
      </c>
      <c r="E55" s="146">
        <f t="shared" si="2"/>
        <v>579310.81</v>
      </c>
      <c r="F55" s="39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34.5" customHeight="1">
      <c r="A56" s="179" t="s">
        <v>2902</v>
      </c>
      <c r="B56" s="149"/>
      <c r="C56" s="362" t="s">
        <v>299</v>
      </c>
      <c r="D56" s="113" t="s">
        <v>9</v>
      </c>
      <c r="E56" s="284" t="s">
        <v>10</v>
      </c>
      <c r="F56" s="311" t="s">
        <v>11</v>
      </c>
      <c r="G56" s="52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36" t="s">
        <v>523</v>
      </c>
      <c r="B57" s="151"/>
      <c r="C57" s="345"/>
      <c r="D57" s="120"/>
      <c r="E57" s="120"/>
      <c r="F57" s="290" t="s">
        <v>2903</v>
      </c>
      <c r="G57" s="52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122" t="s">
        <v>303</v>
      </c>
      <c r="B58" s="123" t="s">
        <v>304</v>
      </c>
      <c r="C58" s="364"/>
      <c r="D58" s="297"/>
      <c r="E58" s="126"/>
      <c r="F58" s="300" t="s">
        <v>2904</v>
      </c>
      <c r="G58" s="52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2.75" customHeight="1">
      <c r="A59" s="128" t="s">
        <v>308</v>
      </c>
      <c r="B59" s="129" t="s">
        <v>309</v>
      </c>
      <c r="C59" s="297">
        <v>1642.0</v>
      </c>
      <c r="D59" s="298">
        <v>42259.29</v>
      </c>
      <c r="E59" s="298">
        <v>44142.0</v>
      </c>
      <c r="F59" s="300" t="s">
        <v>2905</v>
      </c>
      <c r="G59" s="52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2.75" customHeight="1">
      <c r="A60" s="302" t="s">
        <v>1086</v>
      </c>
      <c r="B60" s="201" t="s">
        <v>15</v>
      </c>
      <c r="C60" s="297">
        <v>9211.0</v>
      </c>
      <c r="D60" s="298">
        <v>233310.51</v>
      </c>
      <c r="E60" s="298">
        <v>243570.0</v>
      </c>
      <c r="F60" s="525" t="s">
        <v>2906</v>
      </c>
      <c r="G60" s="52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2.75" customHeight="1">
      <c r="A61" s="128" t="s">
        <v>1372</v>
      </c>
      <c r="B61" s="129" t="s">
        <v>1226</v>
      </c>
      <c r="C61" s="297">
        <v>2127.0</v>
      </c>
      <c r="D61" s="132">
        <v>55450.64</v>
      </c>
      <c r="E61" s="132">
        <v>57822.5</v>
      </c>
      <c r="F61" s="295" t="s">
        <v>2907</v>
      </c>
      <c r="G61" s="52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2.75" customHeight="1">
      <c r="A62" s="128" t="s">
        <v>1332</v>
      </c>
      <c r="B62" s="129" t="s">
        <v>1333</v>
      </c>
      <c r="C62" s="297">
        <v>2834.0</v>
      </c>
      <c r="D62" s="132">
        <v>65121.304</v>
      </c>
      <c r="E62" s="132">
        <v>68172.246</v>
      </c>
      <c r="F62" s="295" t="s">
        <v>2908</v>
      </c>
      <c r="G62" s="52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2.75" customHeight="1">
      <c r="A63" s="302"/>
      <c r="B63" s="198"/>
      <c r="C63" s="297"/>
      <c r="D63" s="132"/>
      <c r="E63" s="132"/>
      <c r="F63" s="316" t="s">
        <v>2909</v>
      </c>
      <c r="G63" s="52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2.75" customHeight="1">
      <c r="A64" s="302" t="s">
        <v>2910</v>
      </c>
      <c r="B64" s="198" t="s">
        <v>2911</v>
      </c>
      <c r="C64" s="297"/>
      <c r="D64" s="132"/>
      <c r="E64" s="132"/>
      <c r="F64" s="295"/>
      <c r="G64" s="52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2.75" customHeight="1">
      <c r="A65" s="302" t="s">
        <v>2912</v>
      </c>
      <c r="B65" s="301" t="s">
        <v>2913</v>
      </c>
      <c r="C65" s="297"/>
      <c r="D65" s="132"/>
      <c r="E65" s="132"/>
      <c r="F65" s="295"/>
      <c r="G65" s="52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2.75" customHeight="1">
      <c r="A66" s="169" t="s">
        <v>2914</v>
      </c>
      <c r="B66" s="198" t="s">
        <v>2915</v>
      </c>
      <c r="C66" s="297"/>
      <c r="D66" s="132"/>
      <c r="E66" s="132"/>
      <c r="F66" s="295"/>
      <c r="G66" s="52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2.75" customHeight="1">
      <c r="A67" s="169" t="s">
        <v>2916</v>
      </c>
      <c r="B67" s="123" t="s">
        <v>2917</v>
      </c>
      <c r="C67" s="132"/>
      <c r="D67" s="132"/>
      <c r="E67" s="132"/>
      <c r="F67" s="295"/>
      <c r="G67" s="52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2.75" customHeight="1">
      <c r="A68" s="291" t="s">
        <v>2918</v>
      </c>
      <c r="B68" s="198" t="s">
        <v>2919</v>
      </c>
      <c r="C68" s="297"/>
      <c r="D68" s="132"/>
      <c r="E68" s="132"/>
      <c r="F68" s="295"/>
      <c r="G68" s="52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2.75" customHeight="1">
      <c r="A69" s="302" t="s">
        <v>2920</v>
      </c>
      <c r="B69" s="247" t="s">
        <v>2921</v>
      </c>
      <c r="C69" s="297"/>
      <c r="D69" s="132"/>
      <c r="E69" s="132"/>
      <c r="F69" s="295"/>
      <c r="G69" s="52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2.75" customHeight="1">
      <c r="A70" s="301" t="s">
        <v>2922</v>
      </c>
      <c r="B70" s="301" t="s">
        <v>2923</v>
      </c>
      <c r="C70" s="297"/>
      <c r="D70" s="132"/>
      <c r="E70" s="132"/>
      <c r="F70" s="295"/>
      <c r="G70" s="52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2.75" customHeight="1">
      <c r="A71" s="301" t="s">
        <v>2924</v>
      </c>
      <c r="B71" s="198" t="s">
        <v>2925</v>
      </c>
      <c r="C71" s="297"/>
      <c r="D71" s="132"/>
      <c r="E71" s="132"/>
      <c r="F71" s="295"/>
      <c r="G71" s="52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75" customHeight="1">
      <c r="A72" s="128"/>
      <c r="B72" s="135"/>
      <c r="C72" s="297"/>
      <c r="D72" s="132"/>
      <c r="E72" s="132"/>
      <c r="F72" s="295"/>
      <c r="G72" s="52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.75" customHeight="1">
      <c r="A73" s="128" t="s">
        <v>316</v>
      </c>
      <c r="B73" s="135"/>
      <c r="C73" s="297"/>
      <c r="D73" s="132"/>
      <c r="E73" s="132"/>
      <c r="F73" s="295"/>
      <c r="G73" s="52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8.75" customHeight="1">
      <c r="A74" s="142"/>
      <c r="B74" s="143"/>
      <c r="C74" s="361">
        <f t="shared" ref="C74:E74" si="3">SUM(C57:C73)</f>
        <v>15814</v>
      </c>
      <c r="D74" s="146">
        <f t="shared" si="3"/>
        <v>396141.744</v>
      </c>
      <c r="E74" s="146">
        <f t="shared" si="3"/>
        <v>413706.746</v>
      </c>
      <c r="F74" s="307"/>
      <c r="G74" s="52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37.5" customHeight="1">
      <c r="A75" s="179" t="s">
        <v>2926</v>
      </c>
      <c r="B75" s="149"/>
      <c r="C75" s="370" t="s">
        <v>299</v>
      </c>
      <c r="D75" s="113" t="s">
        <v>9</v>
      </c>
      <c r="E75" s="284" t="s">
        <v>10</v>
      </c>
      <c r="F75" s="354" t="s">
        <v>11</v>
      </c>
      <c r="G75" s="52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2.75" customHeight="1">
      <c r="A76" s="116" t="s">
        <v>572</v>
      </c>
      <c r="B76" s="404"/>
      <c r="C76" s="527"/>
      <c r="D76" s="132"/>
      <c r="E76" s="183"/>
      <c r="F76" s="290" t="s">
        <v>2927</v>
      </c>
      <c r="G76" s="52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75" customHeight="1">
      <c r="A77" s="122" t="s">
        <v>303</v>
      </c>
      <c r="B77" s="106" t="s">
        <v>304</v>
      </c>
      <c r="C77" s="297"/>
      <c r="D77" s="132"/>
      <c r="E77" s="186"/>
      <c r="F77" s="300" t="s">
        <v>2928</v>
      </c>
      <c r="G77" s="52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2.75" customHeight="1">
      <c r="A78" s="128" t="s">
        <v>308</v>
      </c>
      <c r="B78" s="407" t="s">
        <v>309</v>
      </c>
      <c r="C78" s="528">
        <v>977.0</v>
      </c>
      <c r="D78" s="132">
        <v>25091.89</v>
      </c>
      <c r="E78" s="132">
        <v>26025.0</v>
      </c>
      <c r="F78" s="325" t="s">
        <v>2929</v>
      </c>
      <c r="G78" s="52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2.75" customHeight="1">
      <c r="A79" s="302" t="s">
        <v>1086</v>
      </c>
      <c r="B79" s="296" t="s">
        <v>15</v>
      </c>
      <c r="C79" s="528">
        <v>8889.0</v>
      </c>
      <c r="D79" s="132">
        <v>222356.34</v>
      </c>
      <c r="E79" s="132">
        <v>233342.0</v>
      </c>
      <c r="F79" s="525" t="s">
        <v>2930</v>
      </c>
      <c r="G79" s="52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2.75" customHeight="1">
      <c r="A80" s="128" t="s">
        <v>1332</v>
      </c>
      <c r="B80" s="129" t="s">
        <v>1333</v>
      </c>
      <c r="C80" s="528">
        <v>4329.0</v>
      </c>
      <c r="D80" s="132">
        <v>92827.556</v>
      </c>
      <c r="E80" s="132">
        <v>97773.686</v>
      </c>
      <c r="F80" s="295" t="s">
        <v>2931</v>
      </c>
      <c r="G80" s="52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2.75" customHeight="1">
      <c r="A81" s="200"/>
      <c r="B81" s="291"/>
      <c r="C81" s="297"/>
      <c r="D81" s="132"/>
      <c r="E81" s="132"/>
      <c r="F81" s="295" t="s">
        <v>2932</v>
      </c>
      <c r="G81" s="52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2.75" customHeight="1">
      <c r="A82" s="200" t="s">
        <v>2933</v>
      </c>
      <c r="B82" s="291" t="s">
        <v>2934</v>
      </c>
      <c r="C82" s="297"/>
      <c r="D82" s="132"/>
      <c r="E82" s="132"/>
      <c r="F82" s="526" t="s">
        <v>2935</v>
      </c>
      <c r="G82" s="52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2.75" customHeight="1">
      <c r="A83" s="200" t="s">
        <v>2936</v>
      </c>
      <c r="B83" s="198" t="s">
        <v>2937</v>
      </c>
      <c r="C83" s="297"/>
      <c r="D83" s="132"/>
      <c r="E83" s="132"/>
      <c r="F83" s="316"/>
      <c r="G83" s="52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2.75" customHeight="1">
      <c r="A84" s="200" t="s">
        <v>2938</v>
      </c>
      <c r="B84" s="291" t="s">
        <v>2939</v>
      </c>
      <c r="C84" s="297"/>
      <c r="D84" s="132"/>
      <c r="E84" s="132"/>
      <c r="F84" s="316"/>
      <c r="G84" s="52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2.75" customHeight="1">
      <c r="A85" s="200" t="s">
        <v>2940</v>
      </c>
      <c r="B85" s="291" t="s">
        <v>2941</v>
      </c>
      <c r="C85" s="297"/>
      <c r="D85" s="132"/>
      <c r="E85" s="132"/>
      <c r="F85" s="316"/>
      <c r="G85" s="52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2.75" customHeight="1">
      <c r="A86" s="200" t="s">
        <v>2942</v>
      </c>
      <c r="B86" s="291" t="s">
        <v>2943</v>
      </c>
      <c r="C86" s="297"/>
      <c r="D86" s="132"/>
      <c r="E86" s="132"/>
      <c r="F86" s="316"/>
      <c r="G86" s="52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2.75" customHeight="1">
      <c r="A87" s="200" t="s">
        <v>2944</v>
      </c>
      <c r="B87" s="291" t="s">
        <v>2945</v>
      </c>
      <c r="C87" s="297"/>
      <c r="D87" s="132"/>
      <c r="E87" s="132"/>
      <c r="F87" s="316"/>
      <c r="G87" s="52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2.75" customHeight="1">
      <c r="A88" s="291" t="s">
        <v>2946</v>
      </c>
      <c r="B88" s="291" t="s">
        <v>2947</v>
      </c>
      <c r="C88" s="297"/>
      <c r="D88" s="132"/>
      <c r="E88" s="132"/>
      <c r="F88" s="316"/>
      <c r="G88" s="52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2.75" customHeight="1">
      <c r="A89" s="200"/>
      <c r="B89" s="291"/>
      <c r="C89" s="297"/>
      <c r="D89" s="132"/>
      <c r="E89" s="132"/>
      <c r="F89" s="316"/>
      <c r="G89" s="52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2.75" customHeight="1">
      <c r="A90" s="128" t="s">
        <v>316</v>
      </c>
      <c r="B90" s="291"/>
      <c r="C90" s="297"/>
      <c r="D90" s="132"/>
      <c r="E90" s="132"/>
      <c r="F90" s="316"/>
      <c r="G90" s="52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8.75" customHeight="1">
      <c r="A91" s="142"/>
      <c r="B91" s="382"/>
      <c r="C91" s="361">
        <f t="shared" ref="C91:E91" si="4">SUM(C76:C90)</f>
        <v>14195</v>
      </c>
      <c r="D91" s="146">
        <f t="shared" si="4"/>
        <v>340275.786</v>
      </c>
      <c r="E91" s="146">
        <f t="shared" si="4"/>
        <v>357140.686</v>
      </c>
      <c r="F91" s="307"/>
      <c r="G91" s="52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40.5" customHeight="1">
      <c r="A92" s="110" t="s">
        <v>2948</v>
      </c>
      <c r="B92" s="111"/>
      <c r="C92" s="112" t="s">
        <v>299</v>
      </c>
      <c r="D92" s="113" t="s">
        <v>9</v>
      </c>
      <c r="E92" s="284" t="s">
        <v>10</v>
      </c>
      <c r="F92" s="311" t="s">
        <v>11</v>
      </c>
      <c r="G92" s="52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2.75" customHeight="1">
      <c r="A93" s="116" t="s">
        <v>637</v>
      </c>
      <c r="B93" s="117"/>
      <c r="C93" s="189"/>
      <c r="D93" s="183"/>
      <c r="E93" s="183"/>
      <c r="F93" s="290" t="s">
        <v>2949</v>
      </c>
      <c r="G93" s="52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2.75" customHeight="1">
      <c r="A94" s="197" t="s">
        <v>303</v>
      </c>
      <c r="B94" s="198" t="s">
        <v>304</v>
      </c>
      <c r="C94" s="191"/>
      <c r="D94" s="186"/>
      <c r="E94" s="186"/>
      <c r="F94" s="300" t="s">
        <v>2950</v>
      </c>
      <c r="G94" s="52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2.75" customHeight="1">
      <c r="A95" s="128" t="s">
        <v>308</v>
      </c>
      <c r="B95" s="129" t="s">
        <v>309</v>
      </c>
      <c r="C95" s="192">
        <v>72.0</v>
      </c>
      <c r="D95" s="298">
        <v>1677.8</v>
      </c>
      <c r="E95" s="298">
        <v>1762.15</v>
      </c>
      <c r="F95" s="300" t="s">
        <v>2951</v>
      </c>
      <c r="G95" s="52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2.75" customHeight="1">
      <c r="A96" s="302" t="s">
        <v>1086</v>
      </c>
      <c r="B96" s="201" t="s">
        <v>15</v>
      </c>
      <c r="C96" s="192">
        <v>4531.0</v>
      </c>
      <c r="D96" s="298">
        <v>105707.91</v>
      </c>
      <c r="E96" s="298">
        <v>111009.14</v>
      </c>
      <c r="F96" s="525" t="s">
        <v>2952</v>
      </c>
      <c r="G96" s="52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2.75" customHeight="1">
      <c r="A97" s="128" t="s">
        <v>1225</v>
      </c>
      <c r="B97" s="129" t="s">
        <v>1226</v>
      </c>
      <c r="C97" s="192">
        <v>1002.0</v>
      </c>
      <c r="D97" s="298">
        <v>23366.65</v>
      </c>
      <c r="E97" s="298">
        <v>24543.52</v>
      </c>
      <c r="F97" s="295" t="s">
        <v>2953</v>
      </c>
      <c r="G97" s="52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2.75" customHeight="1">
      <c r="A98" s="200"/>
      <c r="B98" s="198"/>
      <c r="C98" s="192"/>
      <c r="D98" s="132"/>
      <c r="E98" s="132"/>
      <c r="F98" s="295" t="s">
        <v>2954</v>
      </c>
      <c r="G98" s="52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0" customHeight="1">
      <c r="A99" s="302" t="s">
        <v>2955</v>
      </c>
      <c r="B99" s="198" t="s">
        <v>2956</v>
      </c>
      <c r="C99" s="192"/>
      <c r="D99" s="132"/>
      <c r="E99" s="132"/>
      <c r="F99" s="316" t="s">
        <v>2957</v>
      </c>
      <c r="G99" s="52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302" t="s">
        <v>2958</v>
      </c>
      <c r="B100" s="198" t="s">
        <v>2959</v>
      </c>
      <c r="C100" s="192"/>
      <c r="D100" s="132"/>
      <c r="E100" s="132"/>
      <c r="F100" s="316"/>
      <c r="G100" s="52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0" customHeight="1">
      <c r="A101" s="291" t="s">
        <v>2960</v>
      </c>
      <c r="B101" s="198" t="s">
        <v>2961</v>
      </c>
      <c r="C101" s="192"/>
      <c r="D101" s="132"/>
      <c r="E101" s="132"/>
      <c r="F101" s="316"/>
      <c r="G101" s="52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0" customHeight="1">
      <c r="A102" s="200"/>
      <c r="B102" s="198"/>
      <c r="C102" s="192"/>
      <c r="D102" s="132"/>
      <c r="E102" s="132"/>
      <c r="F102" s="316"/>
      <c r="G102" s="52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0" customHeight="1">
      <c r="A103" s="128" t="s">
        <v>316</v>
      </c>
      <c r="B103" s="395"/>
      <c r="C103" s="192"/>
      <c r="D103" s="132"/>
      <c r="E103" s="132"/>
      <c r="F103" s="316"/>
      <c r="G103" s="52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8.75" customHeight="1">
      <c r="A104" s="142"/>
      <c r="B104" s="143"/>
      <c r="C104" s="355">
        <f t="shared" ref="C104:E104" si="5">SUM(C93:C103)</f>
        <v>5605</v>
      </c>
      <c r="D104" s="146">
        <f t="shared" si="5"/>
        <v>130752.36</v>
      </c>
      <c r="E104" s="146">
        <f t="shared" si="5"/>
        <v>137314.81</v>
      </c>
      <c r="F104" s="307"/>
      <c r="G104" s="52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40.5" customHeight="1">
      <c r="A105" s="179" t="s">
        <v>2962</v>
      </c>
      <c r="B105" s="149"/>
      <c r="C105" s="112" t="s">
        <v>299</v>
      </c>
      <c r="D105" s="113" t="s">
        <v>9</v>
      </c>
      <c r="E105" s="284" t="s">
        <v>10</v>
      </c>
      <c r="F105" s="311" t="s">
        <v>11</v>
      </c>
      <c r="G105" s="52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0" customHeight="1">
      <c r="A106" s="116" t="s">
        <v>486</v>
      </c>
      <c r="B106" s="117"/>
      <c r="C106" s="189"/>
      <c r="D106" s="183"/>
      <c r="E106" s="183"/>
      <c r="F106" s="290" t="s">
        <v>2963</v>
      </c>
      <c r="G106" s="52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0" customHeight="1">
      <c r="A107" s="122" t="s">
        <v>303</v>
      </c>
      <c r="B107" s="123" t="s">
        <v>304</v>
      </c>
      <c r="C107" s="297"/>
      <c r="D107" s="186"/>
      <c r="E107" s="186"/>
      <c r="F107" s="300" t="s">
        <v>2964</v>
      </c>
      <c r="G107" s="52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0" customHeight="1">
      <c r="A108" s="302" t="s">
        <v>1086</v>
      </c>
      <c r="B108" s="201" t="s">
        <v>15</v>
      </c>
      <c r="C108" s="192">
        <v>3152.0</v>
      </c>
      <c r="D108" s="298">
        <v>83148.95</v>
      </c>
      <c r="E108" s="298">
        <v>86772.95</v>
      </c>
      <c r="F108" s="300" t="s">
        <v>2965</v>
      </c>
      <c r="G108" s="52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4.25" customHeight="1">
      <c r="A109" s="302"/>
      <c r="B109" s="202"/>
      <c r="C109" s="297"/>
      <c r="D109" s="132"/>
      <c r="E109" s="132"/>
      <c r="F109" s="525" t="s">
        <v>2966</v>
      </c>
      <c r="G109" s="52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6.5" customHeight="1">
      <c r="A110" s="200" t="s">
        <v>2967</v>
      </c>
      <c r="B110" s="247" t="s">
        <v>2968</v>
      </c>
      <c r="C110" s="297"/>
      <c r="D110" s="132"/>
      <c r="E110" s="132"/>
      <c r="F110" s="295" t="s">
        <v>2969</v>
      </c>
      <c r="G110" s="52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0" customHeight="1">
      <c r="A111" s="200" t="s">
        <v>2970</v>
      </c>
      <c r="B111" s="198"/>
      <c r="C111" s="297"/>
      <c r="D111" s="132"/>
      <c r="E111" s="132"/>
      <c r="F111" s="295" t="s">
        <v>2971</v>
      </c>
      <c r="G111" s="52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2.75" customHeight="1">
      <c r="A112" s="200"/>
      <c r="B112" s="202"/>
      <c r="C112" s="297"/>
      <c r="D112" s="132"/>
      <c r="E112" s="132"/>
      <c r="F112" s="526" t="s">
        <v>2972</v>
      </c>
      <c r="G112" s="52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3.5" customHeight="1">
      <c r="A113" s="137" t="s">
        <v>316</v>
      </c>
      <c r="B113" s="134"/>
      <c r="C113" s="297"/>
      <c r="D113" s="132"/>
      <c r="E113" s="132"/>
      <c r="F113" s="316"/>
      <c r="G113" s="52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21.75" customHeight="1">
      <c r="A114" s="142"/>
      <c r="B114" s="143"/>
      <c r="C114" s="361">
        <f t="shared" ref="C114:E114" si="6">SUM(C106:C113)</f>
        <v>3152</v>
      </c>
      <c r="D114" s="146">
        <f t="shared" si="6"/>
        <v>83148.95</v>
      </c>
      <c r="E114" s="146">
        <f t="shared" si="6"/>
        <v>86772.95</v>
      </c>
      <c r="F114" s="316"/>
      <c r="G114" s="52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29.25" customHeight="1">
      <c r="A115" s="110" t="s">
        <v>2973</v>
      </c>
      <c r="B115" s="111"/>
      <c r="C115" s="112" t="s">
        <v>299</v>
      </c>
      <c r="D115" s="113" t="s">
        <v>9</v>
      </c>
      <c r="E115" s="284" t="s">
        <v>10</v>
      </c>
      <c r="F115" s="311" t="s">
        <v>11</v>
      </c>
      <c r="G115" s="52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0" customHeight="1">
      <c r="A116" s="194" t="s">
        <v>385</v>
      </c>
      <c r="B116" s="195"/>
      <c r="C116" s="189"/>
      <c r="D116" s="183"/>
      <c r="E116" s="183"/>
      <c r="F116" s="290" t="s">
        <v>2974</v>
      </c>
      <c r="G116" s="52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0" customHeight="1">
      <c r="A117" s="197" t="s">
        <v>303</v>
      </c>
      <c r="B117" s="198" t="s">
        <v>304</v>
      </c>
      <c r="C117" s="191"/>
      <c r="D117" s="186"/>
      <c r="E117" s="186"/>
      <c r="F117" s="300" t="s">
        <v>2975</v>
      </c>
      <c r="G117" s="52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0" customHeight="1">
      <c r="A118" s="302" t="s">
        <v>1086</v>
      </c>
      <c r="B118" s="201" t="s">
        <v>15</v>
      </c>
      <c r="C118" s="192">
        <v>2230.0</v>
      </c>
      <c r="D118" s="132">
        <v>55867.64</v>
      </c>
      <c r="E118" s="132">
        <v>58265.0</v>
      </c>
      <c r="F118" s="300" t="s">
        <v>2976</v>
      </c>
      <c r="G118" s="52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0" customHeight="1">
      <c r="A119" s="128" t="s">
        <v>1332</v>
      </c>
      <c r="B119" s="129" t="s">
        <v>1333</v>
      </c>
      <c r="C119" s="192">
        <v>2892.0</v>
      </c>
      <c r="D119" s="132">
        <v>61490.584</v>
      </c>
      <c r="E119" s="132">
        <v>64757.19</v>
      </c>
      <c r="F119" s="525" t="s">
        <v>2977</v>
      </c>
      <c r="G119" s="52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0" customHeight="1">
      <c r="A120" s="128" t="s">
        <v>1372</v>
      </c>
      <c r="B120" s="129" t="s">
        <v>1226</v>
      </c>
      <c r="C120" s="192">
        <v>1084.0</v>
      </c>
      <c r="D120" s="132">
        <v>28100.0</v>
      </c>
      <c r="E120" s="132">
        <v>29487.382</v>
      </c>
      <c r="F120" s="295" t="s">
        <v>2978</v>
      </c>
      <c r="G120" s="52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0" customHeight="1">
      <c r="A121" s="136"/>
      <c r="B121" s="198"/>
      <c r="C121" s="192"/>
      <c r="D121" s="192"/>
      <c r="E121" s="192"/>
      <c r="F121" s="295" t="s">
        <v>2979</v>
      </c>
      <c r="G121" s="52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0" customHeight="1">
      <c r="A122" s="200" t="s">
        <v>2980</v>
      </c>
      <c r="B122" s="202" t="s">
        <v>2981</v>
      </c>
      <c r="C122" s="192"/>
      <c r="D122" s="132"/>
      <c r="E122" s="132"/>
      <c r="F122" s="526" t="s">
        <v>2982</v>
      </c>
      <c r="G122" s="52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0" customHeight="1">
      <c r="A123" s="200" t="s">
        <v>2983</v>
      </c>
      <c r="B123" s="198" t="s">
        <v>2984</v>
      </c>
      <c r="C123" s="192"/>
      <c r="D123" s="132"/>
      <c r="E123" s="132"/>
      <c r="F123" s="316"/>
      <c r="G123" s="52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0" customHeight="1">
      <c r="A124" s="200" t="s">
        <v>2985</v>
      </c>
      <c r="B124" s="198" t="s">
        <v>2986</v>
      </c>
      <c r="C124" s="192"/>
      <c r="D124" s="132"/>
      <c r="E124" s="132"/>
      <c r="F124" s="316"/>
      <c r="G124" s="52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0" customHeight="1">
      <c r="A125" s="136" t="s">
        <v>2987</v>
      </c>
      <c r="B125" s="198"/>
      <c r="C125" s="192"/>
      <c r="D125" s="132"/>
      <c r="E125" s="132"/>
      <c r="F125" s="316"/>
      <c r="G125" s="52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0" customHeight="1">
      <c r="A126" s="200"/>
      <c r="B126" s="198"/>
      <c r="C126" s="192"/>
      <c r="D126" s="132"/>
      <c r="E126" s="132"/>
      <c r="F126" s="316"/>
      <c r="G126" s="52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0" customHeight="1">
      <c r="A127" s="128" t="s">
        <v>316</v>
      </c>
      <c r="B127" s="202"/>
      <c r="C127" s="192"/>
      <c r="D127" s="132"/>
      <c r="E127" s="132"/>
      <c r="F127" s="316"/>
      <c r="G127" s="52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8.0" customHeight="1">
      <c r="A128" s="203"/>
      <c r="B128" s="143"/>
      <c r="C128" s="355">
        <f t="shared" ref="C128:E128" si="7">SUM(C116:C127)</f>
        <v>6206</v>
      </c>
      <c r="D128" s="146">
        <f t="shared" si="7"/>
        <v>145458.224</v>
      </c>
      <c r="E128" s="146">
        <f t="shared" si="7"/>
        <v>152509.572</v>
      </c>
      <c r="F128" s="316"/>
      <c r="G128" s="52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42.0" customHeight="1">
      <c r="A129" s="281" t="s">
        <v>2988</v>
      </c>
      <c r="B129" s="282"/>
      <c r="C129" s="403" t="s">
        <v>299</v>
      </c>
      <c r="D129" s="113" t="s">
        <v>9</v>
      </c>
      <c r="E129" s="284" t="s">
        <v>10</v>
      </c>
      <c r="F129" s="311" t="s">
        <v>11</v>
      </c>
      <c r="G129" s="52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9.5" customHeight="1">
      <c r="A130" s="194" t="s">
        <v>302</v>
      </c>
      <c r="B130" s="286"/>
      <c r="C130" s="287"/>
      <c r="D130" s="183"/>
      <c r="E130" s="183"/>
      <c r="F130" s="290" t="s">
        <v>2989</v>
      </c>
      <c r="G130" s="52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2.75" customHeight="1">
      <c r="A131" s="122" t="s">
        <v>303</v>
      </c>
      <c r="B131" s="123" t="s">
        <v>304</v>
      </c>
      <c r="C131" s="292"/>
      <c r="D131" s="186"/>
      <c r="E131" s="186"/>
      <c r="F131" s="300" t="s">
        <v>2990</v>
      </c>
      <c r="G131" s="52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2.75" customHeight="1">
      <c r="A132" s="128" t="s">
        <v>308</v>
      </c>
      <c r="B132" s="129" t="s">
        <v>309</v>
      </c>
      <c r="C132" s="297">
        <v>2390.0</v>
      </c>
      <c r="D132" s="298">
        <v>60941.88</v>
      </c>
      <c r="E132" s="298">
        <v>63333.06</v>
      </c>
      <c r="F132" s="300" t="s">
        <v>2991</v>
      </c>
      <c r="G132" s="52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2.75" customHeight="1">
      <c r="A133" s="302" t="s">
        <v>1086</v>
      </c>
      <c r="B133" s="201" t="s">
        <v>15</v>
      </c>
      <c r="C133" s="297">
        <v>1951.0</v>
      </c>
      <c r="D133" s="298">
        <v>49201.99</v>
      </c>
      <c r="E133" s="298">
        <v>51325.06</v>
      </c>
      <c r="F133" s="525" t="s">
        <v>2992</v>
      </c>
      <c r="G133" s="52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75" customHeight="1">
      <c r="A134" s="128" t="s">
        <v>1372</v>
      </c>
      <c r="B134" s="129" t="s">
        <v>1226</v>
      </c>
      <c r="C134" s="297">
        <v>1004.0</v>
      </c>
      <c r="D134" s="132">
        <v>26548.63</v>
      </c>
      <c r="E134" s="132">
        <v>27608.63</v>
      </c>
      <c r="F134" s="295" t="s">
        <v>2993</v>
      </c>
      <c r="G134" s="52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75" customHeight="1">
      <c r="A135" s="302"/>
      <c r="B135" s="198"/>
      <c r="C135" s="297"/>
      <c r="D135" s="132"/>
      <c r="E135" s="132"/>
      <c r="F135" s="295" t="s">
        <v>2994</v>
      </c>
      <c r="G135" s="52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.75" customHeight="1">
      <c r="A136" s="291" t="s">
        <v>2995</v>
      </c>
      <c r="B136" s="291" t="s">
        <v>2996</v>
      </c>
      <c r="C136" s="297"/>
      <c r="D136" s="132"/>
      <c r="E136" s="132"/>
      <c r="F136" s="526" t="s">
        <v>2997</v>
      </c>
      <c r="G136" s="52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.75" customHeight="1">
      <c r="A137" s="291" t="s">
        <v>2998</v>
      </c>
      <c r="B137" s="301" t="s">
        <v>2999</v>
      </c>
      <c r="C137" s="297"/>
      <c r="D137" s="132"/>
      <c r="E137" s="132"/>
      <c r="F137" s="316"/>
      <c r="G137" s="52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2.75" customHeight="1">
      <c r="A138" s="200" t="s">
        <v>3000</v>
      </c>
      <c r="C138" s="297"/>
      <c r="D138" s="132"/>
      <c r="E138" s="132"/>
      <c r="F138" s="316"/>
      <c r="G138" s="52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2.75" customHeight="1">
      <c r="C139" s="297"/>
      <c r="D139" s="132"/>
      <c r="E139" s="132"/>
      <c r="F139" s="316"/>
      <c r="G139" s="52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2.75" customHeight="1">
      <c r="A140" s="135" t="s">
        <v>1143</v>
      </c>
      <c r="C140" s="297"/>
      <c r="D140" s="132"/>
      <c r="E140" s="132"/>
      <c r="F140" s="316"/>
      <c r="G140" s="52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2.75" customHeight="1">
      <c r="A141" s="142"/>
      <c r="B141" s="143"/>
      <c r="C141" s="361">
        <f t="shared" ref="C141:E141" si="8">SUM(C130:C140)</f>
        <v>5345</v>
      </c>
      <c r="D141" s="146">
        <f t="shared" si="8"/>
        <v>136692.5</v>
      </c>
      <c r="E141" s="146">
        <f t="shared" si="8"/>
        <v>142266.75</v>
      </c>
      <c r="F141" s="358"/>
      <c r="G141" s="52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8.75" customHeight="1">
      <c r="A142" s="203"/>
      <c r="B142" s="143"/>
      <c r="C142" s="144"/>
      <c r="D142" s="145"/>
      <c r="E142" s="146"/>
      <c r="F142" s="147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8.0" customHeight="1">
      <c r="A143" s="266"/>
      <c r="B143" s="267"/>
      <c r="C143" s="268" t="s">
        <v>292</v>
      </c>
      <c r="D143" s="269" t="s">
        <v>292</v>
      </c>
      <c r="E143" s="270" t="s">
        <v>292</v>
      </c>
      <c r="F143" s="271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8.75" customHeight="1">
      <c r="A144" s="272"/>
      <c r="B144" s="273"/>
      <c r="C144" s="274">
        <f t="shared" ref="C144:E144" si="9">SUM(C141,C128,C114,C104,C91,C74,C55,C35)</f>
        <v>98618</v>
      </c>
      <c r="D144" s="98">
        <f t="shared" si="9"/>
        <v>2483923.624</v>
      </c>
      <c r="E144" s="98">
        <f t="shared" si="9"/>
        <v>2594235.382</v>
      </c>
      <c r="F144" s="277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.75" customHeight="1">
      <c r="A145" s="4"/>
      <c r="B145" s="101"/>
      <c r="C145" s="4"/>
      <c r="D145" s="102"/>
      <c r="E145" s="102"/>
      <c r="F145" s="10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2.75" customHeight="1">
      <c r="A146" s="4"/>
      <c r="B146" s="101"/>
      <c r="C146" s="4"/>
      <c r="D146" s="102"/>
      <c r="E146" s="102"/>
      <c r="F146" s="10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F1"/>
    <mergeCell ref="A2:F2"/>
    <mergeCell ref="A3:F3"/>
    <mergeCell ref="A4:F4"/>
    <mergeCell ref="D7:E7"/>
    <mergeCell ref="A9:F9"/>
    <mergeCell ref="A11:B11"/>
    <mergeCell ref="A129:B129"/>
  </mergeCells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2.63" defaultRowHeight="15.0"/>
  <cols>
    <col customWidth="1" min="1" max="1" width="61.63"/>
    <col customWidth="1" min="2" max="2" width="65.5"/>
    <col customWidth="1" min="3" max="3" width="14.88"/>
    <col customWidth="1" min="4" max="4" width="21.0"/>
    <col customWidth="1" min="5" max="5" width="21.63"/>
    <col customWidth="1" min="6" max="6" width="73.38"/>
    <col customWidth="1" min="7" max="7" width="50.13"/>
    <col customWidth="1" min="8" max="26" width="8.0"/>
  </cols>
  <sheetData>
    <row r="1" ht="12.75" customHeight="1">
      <c r="A1" s="1" t="s">
        <v>293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2.75" customHeight="1">
      <c r="A2" s="5" t="s">
        <v>707</v>
      </c>
      <c r="B2" s="6"/>
      <c r="C2" s="6"/>
      <c r="D2" s="6"/>
      <c r="E2" s="6"/>
      <c r="F2" s="7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2.75" customHeight="1">
      <c r="A3" s="5" t="s">
        <v>2</v>
      </c>
      <c r="B3" s="6"/>
      <c r="C3" s="6"/>
      <c r="D3" s="6"/>
      <c r="E3" s="6"/>
      <c r="F3" s="7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2.75" customHeight="1">
      <c r="A4" s="5" t="s">
        <v>3</v>
      </c>
      <c r="B4" s="6"/>
      <c r="C4" s="6"/>
      <c r="D4" s="6"/>
      <c r="E4" s="6"/>
      <c r="F4" s="7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2.75" customHeight="1">
      <c r="A5" s="8"/>
      <c r="B5" s="9"/>
      <c r="C5" s="10"/>
      <c r="D5" s="11"/>
      <c r="E5" s="11"/>
      <c r="F5" s="12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2.75" customHeight="1">
      <c r="A6" s="13"/>
      <c r="B6" s="9"/>
      <c r="C6" s="10"/>
      <c r="D6" s="14"/>
      <c r="E6" s="14"/>
      <c r="F6" s="15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30.0" customHeight="1">
      <c r="A7" s="16"/>
      <c r="B7" s="9"/>
      <c r="C7" s="17"/>
      <c r="D7" s="18"/>
      <c r="E7" s="19"/>
      <c r="F7" s="15" t="s">
        <v>3001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0.0" customHeight="1">
      <c r="A8" s="20" t="s">
        <v>296</v>
      </c>
      <c r="B8" s="21"/>
      <c r="C8" s="22"/>
      <c r="D8" s="23"/>
      <c r="E8" s="23"/>
      <c r="F8" s="2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7.75" customHeight="1">
      <c r="A9" s="25" t="s">
        <v>297</v>
      </c>
      <c r="B9" s="26"/>
      <c r="C9" s="26"/>
      <c r="D9" s="26"/>
      <c r="E9" s="26"/>
      <c r="F9" s="27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8.5" customHeight="1">
      <c r="A10" s="105"/>
      <c r="B10" s="106"/>
      <c r="C10" s="107"/>
      <c r="D10" s="108"/>
      <c r="E10" s="108"/>
      <c r="F10" s="109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</row>
    <row r="11" ht="42.0" customHeight="1">
      <c r="A11" s="281" t="s">
        <v>3002</v>
      </c>
      <c r="B11" s="282"/>
      <c r="C11" s="309" t="s">
        <v>299</v>
      </c>
      <c r="D11" s="114" t="s">
        <v>9</v>
      </c>
      <c r="E11" s="284" t="s">
        <v>10</v>
      </c>
      <c r="F11" s="311" t="s">
        <v>11</v>
      </c>
      <c r="G11" s="52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9.5" customHeight="1">
      <c r="A12" s="194" t="s">
        <v>319</v>
      </c>
      <c r="B12" s="286"/>
      <c r="C12" s="287"/>
      <c r="D12" s="183"/>
      <c r="E12" s="183"/>
      <c r="F12" s="290" t="s">
        <v>3003</v>
      </c>
      <c r="G12" s="52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2.75" customHeight="1">
      <c r="A13" s="122" t="s">
        <v>303</v>
      </c>
      <c r="B13" s="123" t="s">
        <v>304</v>
      </c>
      <c r="C13" s="292"/>
      <c r="D13" s="186"/>
      <c r="E13" s="186"/>
      <c r="F13" s="300" t="s">
        <v>3004</v>
      </c>
      <c r="G13" s="52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2.75" customHeight="1">
      <c r="A14" s="302" t="s">
        <v>1086</v>
      </c>
      <c r="B14" s="201" t="s">
        <v>15</v>
      </c>
      <c r="C14" s="297">
        <v>13015.0</v>
      </c>
      <c r="D14" s="132">
        <v>337162.49</v>
      </c>
      <c r="E14" s="298">
        <v>351760.88</v>
      </c>
      <c r="F14" s="300" t="s">
        <v>3005</v>
      </c>
      <c r="G14" s="52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2.75" customHeight="1">
      <c r="A15" s="128" t="s">
        <v>1332</v>
      </c>
      <c r="B15" s="129" t="s">
        <v>1333</v>
      </c>
      <c r="C15" s="297">
        <v>2387.0</v>
      </c>
      <c r="D15" s="298">
        <v>54764.76</v>
      </c>
      <c r="E15" s="132">
        <v>57327.12</v>
      </c>
      <c r="F15" s="525" t="s">
        <v>3006</v>
      </c>
      <c r="G15" s="52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2.75" customHeight="1">
      <c r="A16" s="302"/>
      <c r="B16" s="198"/>
      <c r="C16" s="297"/>
      <c r="D16" s="298"/>
      <c r="E16" s="298"/>
      <c r="F16" s="295" t="s">
        <v>3007</v>
      </c>
      <c r="G16" s="52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2.75" customHeight="1">
      <c r="A17" s="302" t="s">
        <v>3008</v>
      </c>
      <c r="B17" s="301" t="s">
        <v>3009</v>
      </c>
      <c r="C17" s="377"/>
      <c r="D17" s="132"/>
      <c r="E17" s="298"/>
      <c r="F17" s="295" t="s">
        <v>3010</v>
      </c>
      <c r="G17" s="52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2.75" customHeight="1">
      <c r="A18" s="302" t="s">
        <v>3011</v>
      </c>
      <c r="B18" s="301" t="s">
        <v>3012</v>
      </c>
      <c r="C18" s="377"/>
      <c r="D18" s="132"/>
      <c r="E18" s="132"/>
      <c r="F18" s="316" t="s">
        <v>3013</v>
      </c>
      <c r="G18" s="52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2.75" customHeight="1">
      <c r="A19" s="302" t="s">
        <v>3014</v>
      </c>
      <c r="B19" s="301" t="s">
        <v>3015</v>
      </c>
      <c r="C19" s="377"/>
      <c r="D19" s="132"/>
      <c r="E19" s="132"/>
      <c r="F19" s="316"/>
      <c r="G19" s="52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2.75" customHeight="1">
      <c r="A20" s="302" t="s">
        <v>3016</v>
      </c>
      <c r="B20" s="301" t="s">
        <v>3017</v>
      </c>
      <c r="C20" s="377"/>
      <c r="D20" s="132"/>
      <c r="E20" s="132"/>
      <c r="F20" s="316"/>
      <c r="G20" s="52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2.75" customHeight="1">
      <c r="A21" s="302" t="s">
        <v>3018</v>
      </c>
      <c r="B21" s="247" t="s">
        <v>3019</v>
      </c>
      <c r="C21" s="297"/>
      <c r="D21" s="132"/>
      <c r="E21" s="132"/>
      <c r="F21" s="316"/>
      <c r="G21" s="52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2.75" customHeight="1">
      <c r="A22" s="302" t="s">
        <v>3020</v>
      </c>
      <c r="B22" s="247" t="s">
        <v>3021</v>
      </c>
      <c r="C22" s="297"/>
      <c r="D22" s="132"/>
      <c r="E22" s="132"/>
      <c r="F22" s="295"/>
      <c r="G22" s="52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2.75" customHeight="1">
      <c r="A23" s="302" t="s">
        <v>3022</v>
      </c>
      <c r="B23" s="247" t="s">
        <v>3023</v>
      </c>
      <c r="C23" s="297"/>
      <c r="D23" s="132"/>
      <c r="E23" s="132"/>
      <c r="F23" s="295"/>
      <c r="G23" s="52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2.75" customHeight="1">
      <c r="A24" s="302" t="s">
        <v>3024</v>
      </c>
      <c r="B24" s="301"/>
      <c r="C24" s="297"/>
      <c r="D24" s="132"/>
      <c r="E24" s="132"/>
      <c r="F24" s="295"/>
      <c r="G24" s="52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2.75" customHeight="1">
      <c r="A25" s="302"/>
      <c r="B25" s="247"/>
      <c r="C25" s="297"/>
      <c r="D25" s="132"/>
      <c r="E25" s="132"/>
      <c r="F25" s="295"/>
      <c r="G25" s="52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2.75" customHeight="1">
      <c r="A26" s="135" t="s">
        <v>1143</v>
      </c>
      <c r="B26" s="123"/>
      <c r="C26" s="297"/>
      <c r="D26" s="132"/>
      <c r="E26" s="132"/>
      <c r="F26" s="316"/>
      <c r="G26" s="52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2.75" customHeight="1">
      <c r="A27" s="142"/>
      <c r="B27" s="143"/>
      <c r="C27" s="361">
        <f t="shared" ref="C27:E27" si="1">SUM(C12:C26)</f>
        <v>15402</v>
      </c>
      <c r="D27" s="146">
        <f t="shared" si="1"/>
        <v>391927.25</v>
      </c>
      <c r="E27" s="146">
        <f t="shared" si="1"/>
        <v>409088</v>
      </c>
      <c r="F27" s="358"/>
      <c r="G27" s="52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42.0" customHeight="1">
      <c r="A28" s="281" t="s">
        <v>3025</v>
      </c>
      <c r="B28" s="282"/>
      <c r="C28" s="112" t="s">
        <v>299</v>
      </c>
      <c r="D28" s="113" t="s">
        <v>9</v>
      </c>
      <c r="E28" s="284" t="s">
        <v>10</v>
      </c>
      <c r="F28" s="311" t="s">
        <v>11</v>
      </c>
      <c r="G28" s="52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9.5" customHeight="1">
      <c r="A29" s="194" t="s">
        <v>319</v>
      </c>
      <c r="B29" s="286"/>
      <c r="C29" s="287"/>
      <c r="D29" s="183"/>
      <c r="E29" s="183"/>
      <c r="F29" s="290" t="s">
        <v>3003</v>
      </c>
      <c r="G29" s="52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2.75" customHeight="1">
      <c r="A30" s="122" t="s">
        <v>303</v>
      </c>
      <c r="B30" s="123" t="s">
        <v>304</v>
      </c>
      <c r="C30" s="292"/>
      <c r="D30" s="186"/>
      <c r="E30" s="186"/>
      <c r="F30" s="300" t="s">
        <v>3026</v>
      </c>
      <c r="G30" s="52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2.75" customHeight="1">
      <c r="A31" s="128" t="s">
        <v>1372</v>
      </c>
      <c r="B31" s="129" t="s">
        <v>1226</v>
      </c>
      <c r="C31" s="297">
        <v>2122.0</v>
      </c>
      <c r="D31" s="132">
        <v>56021.42</v>
      </c>
      <c r="E31" s="298">
        <v>58388.82</v>
      </c>
      <c r="F31" s="300" t="s">
        <v>3027</v>
      </c>
      <c r="G31" s="52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2.75" customHeight="1">
      <c r="A32" s="200"/>
      <c r="B32" s="291"/>
      <c r="C32" s="297"/>
      <c r="D32" s="132"/>
      <c r="E32" s="298"/>
      <c r="F32" s="525" t="s">
        <v>3028</v>
      </c>
      <c r="G32" s="52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2.75" customHeight="1">
      <c r="A33" s="302" t="s">
        <v>3029</v>
      </c>
      <c r="B33" s="301" t="s">
        <v>3030</v>
      </c>
      <c r="C33" s="297"/>
      <c r="D33" s="132"/>
      <c r="E33" s="298"/>
      <c r="F33" s="295" t="s">
        <v>3031</v>
      </c>
      <c r="G33" s="52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2.75" customHeight="1">
      <c r="A34" s="200"/>
      <c r="B34" s="291"/>
      <c r="C34" s="297"/>
      <c r="D34" s="132"/>
      <c r="E34" s="298"/>
      <c r="F34" s="295" t="s">
        <v>3032</v>
      </c>
      <c r="G34" s="52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2.75" customHeight="1">
      <c r="A35" s="135" t="s">
        <v>1143</v>
      </c>
      <c r="B35" s="291"/>
      <c r="C35" s="297"/>
      <c r="D35" s="132"/>
      <c r="E35" s="132"/>
      <c r="F35" s="316" t="s">
        <v>3033</v>
      </c>
      <c r="G35" s="52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8.75" customHeight="1">
      <c r="A36" s="142"/>
      <c r="B36" s="143"/>
      <c r="C36" s="361">
        <f t="shared" ref="C36:E36" si="2">SUM(C29:C35)</f>
        <v>2122</v>
      </c>
      <c r="D36" s="146">
        <f t="shared" si="2"/>
        <v>56021.42</v>
      </c>
      <c r="E36" s="146">
        <f t="shared" si="2"/>
        <v>58388.82</v>
      </c>
      <c r="F36" s="39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37.5" customHeight="1">
      <c r="A37" s="179" t="s">
        <v>3034</v>
      </c>
      <c r="B37" s="149"/>
      <c r="C37" s="112" t="s">
        <v>299</v>
      </c>
      <c r="D37" s="113" t="s">
        <v>9</v>
      </c>
      <c r="E37" s="284" t="s">
        <v>10</v>
      </c>
      <c r="F37" s="311" t="s">
        <v>11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2.75" customHeight="1">
      <c r="A38" s="194" t="s">
        <v>440</v>
      </c>
      <c r="B38" s="195"/>
      <c r="C38" s="287"/>
      <c r="D38" s="132"/>
      <c r="E38" s="183"/>
      <c r="F38" s="290" t="s">
        <v>3003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2.75" customHeight="1">
      <c r="A39" s="122" t="s">
        <v>303</v>
      </c>
      <c r="B39" s="123" t="s">
        <v>304</v>
      </c>
      <c r="C39" s="292"/>
      <c r="D39" s="132"/>
      <c r="E39" s="186"/>
      <c r="F39" s="300" t="s">
        <v>3035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2.75" customHeight="1">
      <c r="A40" s="302" t="s">
        <v>1086</v>
      </c>
      <c r="B40" s="201" t="s">
        <v>15</v>
      </c>
      <c r="C40" s="297">
        <v>8512.0</v>
      </c>
      <c r="D40" s="132">
        <v>223056.93</v>
      </c>
      <c r="E40" s="298">
        <v>232076.93</v>
      </c>
      <c r="F40" s="300" t="s">
        <v>3036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2.75" customHeight="1">
      <c r="A41" s="200"/>
      <c r="B41" s="291"/>
      <c r="C41" s="297"/>
      <c r="D41" s="132"/>
      <c r="E41" s="132"/>
      <c r="F41" s="525" t="s">
        <v>3037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2.75" customHeight="1">
      <c r="A42" s="200" t="s">
        <v>3038</v>
      </c>
      <c r="B42" s="291" t="s">
        <v>3039</v>
      </c>
      <c r="C42" s="297"/>
      <c r="D42" s="132"/>
      <c r="E42" s="132"/>
      <c r="F42" s="295" t="s">
        <v>3040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2.75" customHeight="1">
      <c r="A43" s="200" t="s">
        <v>3041</v>
      </c>
      <c r="B43" s="291" t="s">
        <v>3042</v>
      </c>
      <c r="C43" s="297"/>
      <c r="D43" s="132"/>
      <c r="E43" s="132"/>
      <c r="F43" s="295" t="s">
        <v>3043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2.75" customHeight="1">
      <c r="A44" s="200" t="s">
        <v>3044</v>
      </c>
      <c r="B44" s="247" t="s">
        <v>3045</v>
      </c>
      <c r="C44" s="297"/>
      <c r="D44" s="132"/>
      <c r="E44" s="132"/>
      <c r="F44" s="316" t="s">
        <v>3046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2.75" customHeight="1">
      <c r="A45" s="200" t="s">
        <v>3047</v>
      </c>
      <c r="B45" s="247" t="s">
        <v>3048</v>
      </c>
      <c r="C45" s="297"/>
      <c r="D45" s="132"/>
      <c r="E45" s="132"/>
      <c r="F45" s="316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2.75" customHeight="1">
      <c r="A46" s="128"/>
      <c r="B46" s="198"/>
      <c r="C46" s="297"/>
      <c r="D46" s="132"/>
      <c r="E46" s="132"/>
      <c r="F46" s="316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2.75" customHeight="1">
      <c r="A47" s="128" t="s">
        <v>316</v>
      </c>
      <c r="B47" s="198"/>
      <c r="C47" s="297"/>
      <c r="D47" s="132"/>
      <c r="E47" s="132"/>
      <c r="F47" s="316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8.75" customHeight="1">
      <c r="A48" s="142"/>
      <c r="B48" s="143"/>
      <c r="C48" s="361">
        <f t="shared" ref="C48:E48" si="3">SUM(C38:C45)</f>
        <v>8512</v>
      </c>
      <c r="D48" s="146">
        <f t="shared" si="3"/>
        <v>223056.93</v>
      </c>
      <c r="E48" s="146">
        <f t="shared" si="3"/>
        <v>232076.93</v>
      </c>
      <c r="F48" s="39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37.5" customHeight="1">
      <c r="A49" s="179" t="s">
        <v>3049</v>
      </c>
      <c r="B49" s="149"/>
      <c r="C49" s="112" t="s">
        <v>299</v>
      </c>
      <c r="D49" s="113" t="s">
        <v>9</v>
      </c>
      <c r="E49" s="284" t="s">
        <v>10</v>
      </c>
      <c r="F49" s="311" t="s">
        <v>11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2.75" customHeight="1">
      <c r="A50" s="194" t="s">
        <v>440</v>
      </c>
      <c r="B50" s="195"/>
      <c r="C50" s="529"/>
      <c r="D50" s="132"/>
      <c r="E50" s="530"/>
      <c r="F50" s="290" t="s">
        <v>3003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2.75" customHeight="1">
      <c r="A51" s="122" t="s">
        <v>303</v>
      </c>
      <c r="B51" s="123" t="s">
        <v>304</v>
      </c>
      <c r="C51" s="297"/>
      <c r="D51" s="132"/>
      <c r="E51" s="132"/>
      <c r="F51" s="300" t="s">
        <v>3050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75" customHeight="1">
      <c r="A52" s="128" t="s">
        <v>1225</v>
      </c>
      <c r="B52" s="129" t="s">
        <v>1226</v>
      </c>
      <c r="C52" s="297">
        <v>3250.0</v>
      </c>
      <c r="D52" s="132">
        <v>84087.4</v>
      </c>
      <c r="E52" s="298">
        <v>87501.9</v>
      </c>
      <c r="F52" s="300" t="s">
        <v>3051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2.75" customHeight="1">
      <c r="A53" s="200"/>
      <c r="B53" s="291"/>
      <c r="C53" s="297"/>
      <c r="D53" s="132"/>
      <c r="E53" s="132"/>
      <c r="F53" s="525" t="s">
        <v>3052</v>
      </c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2.75" customHeight="1">
      <c r="A54" s="200" t="s">
        <v>3053</v>
      </c>
      <c r="B54" s="291" t="s">
        <v>3054</v>
      </c>
      <c r="C54" s="297"/>
      <c r="D54" s="132"/>
      <c r="E54" s="132"/>
      <c r="F54" s="295" t="s">
        <v>3055</v>
      </c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2.75" customHeight="1">
      <c r="A55" s="200" t="s">
        <v>3056</v>
      </c>
      <c r="B55" s="291"/>
      <c r="C55" s="297"/>
      <c r="D55" s="132"/>
      <c r="E55" s="132"/>
      <c r="F55" s="295" t="s">
        <v>3057</v>
      </c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2.75" customHeight="1">
      <c r="A56" s="200"/>
      <c r="B56" s="291"/>
      <c r="C56" s="297"/>
      <c r="D56" s="132"/>
      <c r="E56" s="132"/>
      <c r="F56" s="316" t="s">
        <v>3058</v>
      </c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2.75" customHeight="1">
      <c r="A57" s="169" t="s">
        <v>316</v>
      </c>
      <c r="B57" s="198"/>
      <c r="C57" s="297"/>
      <c r="D57" s="132"/>
      <c r="E57" s="132"/>
      <c r="F57" s="316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8.75" customHeight="1">
      <c r="A58" s="142"/>
      <c r="B58" s="143"/>
      <c r="C58" s="361">
        <f t="shared" ref="C58:E58" si="4">SUM(C50:C56)</f>
        <v>3250</v>
      </c>
      <c r="D58" s="146">
        <f t="shared" si="4"/>
        <v>84087.4</v>
      </c>
      <c r="E58" s="146">
        <f t="shared" si="4"/>
        <v>87501.9</v>
      </c>
      <c r="F58" s="39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34.5" customHeight="1">
      <c r="A59" s="179" t="s">
        <v>3059</v>
      </c>
      <c r="B59" s="149"/>
      <c r="C59" s="362" t="s">
        <v>299</v>
      </c>
      <c r="D59" s="113" t="s">
        <v>9</v>
      </c>
      <c r="E59" s="284" t="s">
        <v>10</v>
      </c>
      <c r="F59" s="311" t="s">
        <v>11</v>
      </c>
      <c r="G59" s="52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36" t="s">
        <v>523</v>
      </c>
      <c r="B60" s="151"/>
      <c r="C60" s="345"/>
      <c r="D60" s="120"/>
      <c r="E60" s="120"/>
      <c r="F60" s="290" t="s">
        <v>3003</v>
      </c>
      <c r="G60" s="52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122" t="s">
        <v>303</v>
      </c>
      <c r="B61" s="123" t="s">
        <v>304</v>
      </c>
      <c r="C61" s="364"/>
      <c r="D61" s="297"/>
      <c r="E61" s="126"/>
      <c r="F61" s="300" t="s">
        <v>3060</v>
      </c>
      <c r="G61" s="52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2.75" customHeight="1">
      <c r="A62" s="302" t="s">
        <v>1086</v>
      </c>
      <c r="B62" s="201" t="s">
        <v>15</v>
      </c>
      <c r="C62" s="297">
        <v>1980.0</v>
      </c>
      <c r="D62" s="298">
        <v>54554.3</v>
      </c>
      <c r="E62" s="298">
        <v>56699.06</v>
      </c>
      <c r="F62" s="300" t="s">
        <v>3061</v>
      </c>
      <c r="G62" s="52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2.75" customHeight="1">
      <c r="A63" s="128" t="s">
        <v>1332</v>
      </c>
      <c r="B63" s="129" t="s">
        <v>1333</v>
      </c>
      <c r="C63" s="297">
        <v>1130.0</v>
      </c>
      <c r="D63" s="298">
        <v>26813.73</v>
      </c>
      <c r="E63" s="298">
        <v>27971.47</v>
      </c>
      <c r="F63" s="525" t="s">
        <v>3062</v>
      </c>
      <c r="G63" s="52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2.75" customHeight="1">
      <c r="A64" s="128"/>
      <c r="B64" s="135"/>
      <c r="C64" s="297"/>
      <c r="D64" s="132"/>
      <c r="E64" s="132"/>
      <c r="F64" s="295" t="s">
        <v>3063</v>
      </c>
      <c r="G64" s="52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2.75" customHeight="1">
      <c r="A65" s="302" t="s">
        <v>3064</v>
      </c>
      <c r="B65" s="198" t="s">
        <v>3065</v>
      </c>
      <c r="C65" s="297"/>
      <c r="D65" s="132"/>
      <c r="E65" s="132"/>
      <c r="F65" s="295" t="s">
        <v>3066</v>
      </c>
      <c r="G65" s="52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2.75" customHeight="1">
      <c r="A66" s="302" t="s">
        <v>3067</v>
      </c>
      <c r="B66" s="198"/>
      <c r="C66" s="297"/>
      <c r="D66" s="132"/>
      <c r="E66" s="132"/>
      <c r="F66" s="316" t="s">
        <v>3068</v>
      </c>
      <c r="G66" s="52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2.75" customHeight="1">
      <c r="A67" s="169"/>
      <c r="B67" s="135"/>
      <c r="C67" s="297"/>
      <c r="D67" s="132"/>
      <c r="E67" s="132"/>
      <c r="F67" s="295"/>
      <c r="G67" s="52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2.75" customHeight="1">
      <c r="A68" s="128" t="s">
        <v>316</v>
      </c>
      <c r="B68" s="135"/>
      <c r="C68" s="297"/>
      <c r="D68" s="132"/>
      <c r="E68" s="132"/>
      <c r="F68" s="295"/>
      <c r="G68" s="52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8.75" customHeight="1">
      <c r="A69" s="142"/>
      <c r="B69" s="143"/>
      <c r="C69" s="361">
        <f t="shared" ref="C69:E69" si="5">SUM(C60:C68)</f>
        <v>3110</v>
      </c>
      <c r="D69" s="146">
        <f t="shared" si="5"/>
        <v>81368.03</v>
      </c>
      <c r="E69" s="146">
        <f t="shared" si="5"/>
        <v>84670.53</v>
      </c>
      <c r="F69" s="307"/>
      <c r="G69" s="52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34.5" customHeight="1">
      <c r="A70" s="179" t="s">
        <v>3069</v>
      </c>
      <c r="B70" s="149"/>
      <c r="C70" s="362" t="s">
        <v>299</v>
      </c>
      <c r="D70" s="113" t="s">
        <v>9</v>
      </c>
      <c r="E70" s="284" t="s">
        <v>10</v>
      </c>
      <c r="F70" s="311" t="s">
        <v>11</v>
      </c>
      <c r="G70" s="52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36" t="s">
        <v>523</v>
      </c>
      <c r="B71" s="151"/>
      <c r="C71" s="345"/>
      <c r="D71" s="120"/>
      <c r="E71" s="120"/>
      <c r="F71" s="290" t="s">
        <v>3003</v>
      </c>
      <c r="G71" s="52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122" t="s">
        <v>303</v>
      </c>
      <c r="B72" s="123" t="s">
        <v>304</v>
      </c>
      <c r="C72" s="364"/>
      <c r="D72" s="297"/>
      <c r="E72" s="126"/>
      <c r="F72" s="300" t="s">
        <v>3070</v>
      </c>
      <c r="G72" s="52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.75" customHeight="1">
      <c r="A73" s="128" t="s">
        <v>1225</v>
      </c>
      <c r="B73" s="129" t="s">
        <v>1226</v>
      </c>
      <c r="C73" s="297">
        <v>3304.0</v>
      </c>
      <c r="D73" s="298">
        <v>87869.24</v>
      </c>
      <c r="E73" s="298">
        <v>91125.65</v>
      </c>
      <c r="F73" s="300" t="s">
        <v>3071</v>
      </c>
      <c r="G73" s="52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2.75" customHeight="1">
      <c r="A74" s="128" t="s">
        <v>3072</v>
      </c>
      <c r="B74" s="129" t="s">
        <v>1226</v>
      </c>
      <c r="C74" s="297">
        <v>434.0</v>
      </c>
      <c r="D74" s="298">
        <v>11378.68</v>
      </c>
      <c r="E74" s="298">
        <v>11832.92</v>
      </c>
      <c r="F74" s="525" t="s">
        <v>3073</v>
      </c>
      <c r="G74" s="52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75" customHeight="1">
      <c r="A75" s="128"/>
      <c r="B75" s="198"/>
      <c r="C75" s="297"/>
      <c r="D75" s="132"/>
      <c r="E75" s="132"/>
      <c r="F75" s="295" t="s">
        <v>3063</v>
      </c>
      <c r="G75" s="52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2.75" customHeight="1">
      <c r="A76" s="200" t="s">
        <v>3074</v>
      </c>
      <c r="B76" s="198" t="s">
        <v>3075</v>
      </c>
      <c r="C76" s="297"/>
      <c r="D76" s="132"/>
      <c r="E76" s="132"/>
      <c r="F76" s="295" t="s">
        <v>3076</v>
      </c>
      <c r="G76" s="52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75" customHeight="1">
      <c r="A77" s="200" t="s">
        <v>3077</v>
      </c>
      <c r="B77" s="198" t="s">
        <v>3078</v>
      </c>
      <c r="C77" s="297"/>
      <c r="D77" s="132"/>
      <c r="E77" s="132"/>
      <c r="F77" s="316" t="s">
        <v>3079</v>
      </c>
      <c r="G77" s="52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2.75" customHeight="1">
      <c r="A78" s="128"/>
      <c r="B78" s="135"/>
      <c r="C78" s="297"/>
      <c r="D78" s="132"/>
      <c r="E78" s="132"/>
      <c r="F78" s="295"/>
      <c r="G78" s="52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2.75" customHeight="1">
      <c r="A79" s="128" t="s">
        <v>316</v>
      </c>
      <c r="B79" s="135"/>
      <c r="C79" s="297"/>
      <c r="D79" s="132"/>
      <c r="E79" s="132"/>
      <c r="F79" s="295"/>
      <c r="G79" s="52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8.75" customHeight="1">
      <c r="A80" s="142"/>
      <c r="B80" s="143"/>
      <c r="C80" s="361">
        <f t="shared" ref="C80:E80" si="6">SUM(C71:C79)</f>
        <v>3738</v>
      </c>
      <c r="D80" s="146">
        <f t="shared" si="6"/>
        <v>99247.92</v>
      </c>
      <c r="E80" s="146">
        <f t="shared" si="6"/>
        <v>102958.57</v>
      </c>
      <c r="F80" s="307"/>
      <c r="G80" s="52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35.25" customHeight="1">
      <c r="A81" s="179" t="s">
        <v>3080</v>
      </c>
      <c r="B81" s="149"/>
      <c r="C81" s="344" t="s">
        <v>299</v>
      </c>
      <c r="D81" s="114" t="s">
        <v>9</v>
      </c>
      <c r="E81" s="284" t="s">
        <v>10</v>
      </c>
      <c r="F81" s="354" t="s">
        <v>11</v>
      </c>
      <c r="G81" s="52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2.75" customHeight="1">
      <c r="A82" s="116" t="s">
        <v>572</v>
      </c>
      <c r="B82" s="404"/>
      <c r="C82" s="527"/>
      <c r="D82" s="132"/>
      <c r="E82" s="183"/>
      <c r="F82" s="290" t="s">
        <v>3003</v>
      </c>
      <c r="G82" s="52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2.75" customHeight="1">
      <c r="A83" s="122" t="s">
        <v>303</v>
      </c>
      <c r="B83" s="106" t="s">
        <v>304</v>
      </c>
      <c r="C83" s="297"/>
      <c r="D83" s="132"/>
      <c r="E83" s="186"/>
      <c r="F83" s="300" t="s">
        <v>3081</v>
      </c>
      <c r="G83" s="52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2.75" customHeight="1">
      <c r="A84" s="302" t="s">
        <v>1086</v>
      </c>
      <c r="B84" s="296" t="s">
        <v>15</v>
      </c>
      <c r="C84" s="528">
        <v>4367.0</v>
      </c>
      <c r="D84" s="132">
        <v>109958.88</v>
      </c>
      <c r="E84" s="132">
        <v>114664.624</v>
      </c>
      <c r="F84" s="300" t="s">
        <v>3082</v>
      </c>
      <c r="G84" s="52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2.75" customHeight="1">
      <c r="A85" s="128" t="s">
        <v>1332</v>
      </c>
      <c r="B85" s="129" t="s">
        <v>1333</v>
      </c>
      <c r="C85" s="528">
        <v>11316.0</v>
      </c>
      <c r="D85" s="132">
        <v>250163.303</v>
      </c>
      <c r="E85" s="132">
        <v>261894.459</v>
      </c>
      <c r="F85" s="525" t="s">
        <v>3083</v>
      </c>
      <c r="G85" s="52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2.75" customHeight="1">
      <c r="A86" s="200"/>
      <c r="B86" s="291"/>
      <c r="C86" s="528"/>
      <c r="D86" s="132"/>
      <c r="E86" s="132"/>
      <c r="F86" s="295" t="s">
        <v>3084</v>
      </c>
      <c r="G86" s="52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2.75" customHeight="1">
      <c r="A87" s="302" t="s">
        <v>3085</v>
      </c>
      <c r="B87" s="247" t="s">
        <v>3086</v>
      </c>
      <c r="C87" s="297"/>
      <c r="D87" s="132"/>
      <c r="E87" s="132"/>
      <c r="F87" s="295" t="s">
        <v>3087</v>
      </c>
      <c r="G87" s="52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2.75" customHeight="1">
      <c r="A88" s="302" t="s">
        <v>3088</v>
      </c>
      <c r="B88" s="247" t="s">
        <v>3089</v>
      </c>
      <c r="C88" s="297"/>
      <c r="D88" s="132"/>
      <c r="E88" s="132"/>
      <c r="F88" s="316" t="s">
        <v>3090</v>
      </c>
      <c r="G88" s="52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2.75" customHeight="1">
      <c r="A89" s="302" t="s">
        <v>3091</v>
      </c>
      <c r="B89" s="247" t="s">
        <v>3092</v>
      </c>
      <c r="C89" s="297"/>
      <c r="D89" s="132"/>
      <c r="E89" s="132"/>
      <c r="F89" s="316"/>
      <c r="G89" s="52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2.75" customHeight="1">
      <c r="A90" s="302" t="s">
        <v>3093</v>
      </c>
      <c r="B90" s="247" t="s">
        <v>3094</v>
      </c>
      <c r="C90" s="297"/>
      <c r="D90" s="132"/>
      <c r="E90" s="132"/>
      <c r="F90" s="316"/>
      <c r="G90" s="52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2.75" customHeight="1">
      <c r="A91" s="302" t="s">
        <v>3095</v>
      </c>
      <c r="B91" s="247" t="s">
        <v>3096</v>
      </c>
      <c r="C91" s="297"/>
      <c r="D91" s="132"/>
      <c r="E91" s="132"/>
      <c r="F91" s="316"/>
      <c r="G91" s="52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2.75" customHeight="1">
      <c r="A92" s="302" t="s">
        <v>3097</v>
      </c>
      <c r="B92" s="247" t="s">
        <v>3098</v>
      </c>
      <c r="C92" s="297"/>
      <c r="D92" s="132"/>
      <c r="E92" s="132"/>
      <c r="F92" s="316"/>
      <c r="G92" s="52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2.75" customHeight="1">
      <c r="A93" s="302" t="s">
        <v>3099</v>
      </c>
      <c r="B93" s="247" t="s">
        <v>3100</v>
      </c>
      <c r="C93" s="297"/>
      <c r="D93" s="132"/>
      <c r="E93" s="132"/>
      <c r="F93" s="316"/>
      <c r="G93" s="52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2.75" customHeight="1">
      <c r="A94" s="302" t="s">
        <v>3101</v>
      </c>
      <c r="B94" s="247"/>
      <c r="C94" s="297"/>
      <c r="D94" s="132"/>
      <c r="E94" s="132"/>
      <c r="F94" s="316"/>
      <c r="G94" s="52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2.75" customHeight="1">
      <c r="A95" s="302"/>
      <c r="B95" s="301"/>
      <c r="C95" s="297"/>
      <c r="D95" s="132"/>
      <c r="E95" s="132"/>
      <c r="F95" s="316"/>
      <c r="G95" s="52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2.75" customHeight="1">
      <c r="A96" s="128" t="s">
        <v>316</v>
      </c>
      <c r="B96" s="291"/>
      <c r="C96" s="297"/>
      <c r="D96" s="132"/>
      <c r="E96" s="132"/>
      <c r="F96" s="316"/>
      <c r="G96" s="52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8.75" customHeight="1">
      <c r="A97" s="142"/>
      <c r="B97" s="382"/>
      <c r="C97" s="361">
        <f t="shared" ref="C97:E97" si="7">SUM(C82:C96)</f>
        <v>15683</v>
      </c>
      <c r="D97" s="146">
        <f t="shared" si="7"/>
        <v>360122.183</v>
      </c>
      <c r="E97" s="146">
        <f t="shared" si="7"/>
        <v>376559.083</v>
      </c>
      <c r="F97" s="307"/>
      <c r="G97" s="52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40.5" customHeight="1">
      <c r="A98" s="110" t="s">
        <v>3102</v>
      </c>
      <c r="B98" s="111"/>
      <c r="C98" s="309" t="s">
        <v>299</v>
      </c>
      <c r="D98" s="114" t="s">
        <v>9</v>
      </c>
      <c r="E98" s="284" t="s">
        <v>10</v>
      </c>
      <c r="F98" s="311" t="s">
        <v>11</v>
      </c>
      <c r="G98" s="52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75" customHeight="1">
      <c r="A99" s="116" t="s">
        <v>637</v>
      </c>
      <c r="B99" s="117"/>
      <c r="C99" s="189"/>
      <c r="D99" s="183"/>
      <c r="E99" s="183"/>
      <c r="F99" s="290" t="s">
        <v>3003</v>
      </c>
      <c r="G99" s="52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.75" customHeight="1">
      <c r="A100" s="197" t="s">
        <v>303</v>
      </c>
      <c r="B100" s="198" t="s">
        <v>304</v>
      </c>
      <c r="C100" s="191"/>
      <c r="D100" s="186"/>
      <c r="E100" s="186"/>
      <c r="F100" s="300" t="s">
        <v>3103</v>
      </c>
      <c r="G100" s="52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2.75" customHeight="1">
      <c r="A101" s="302" t="s">
        <v>1086</v>
      </c>
      <c r="B101" s="201" t="s">
        <v>15</v>
      </c>
      <c r="C101" s="192">
        <v>1186.0</v>
      </c>
      <c r="D101" s="298">
        <v>27883.21</v>
      </c>
      <c r="E101" s="298">
        <v>29035.81</v>
      </c>
      <c r="F101" s="300" t="s">
        <v>3104</v>
      </c>
      <c r="G101" s="52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75" customHeight="1">
      <c r="A102" s="200"/>
      <c r="B102" s="198"/>
      <c r="C102" s="192"/>
      <c r="D102" s="298"/>
      <c r="E102" s="298"/>
      <c r="F102" s="525" t="s">
        <v>3105</v>
      </c>
      <c r="G102" s="52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.75" customHeight="1">
      <c r="A103" s="200" t="s">
        <v>3106</v>
      </c>
      <c r="B103" s="198"/>
      <c r="C103" s="192"/>
      <c r="D103" s="298"/>
      <c r="E103" s="298"/>
      <c r="F103" s="295" t="s">
        <v>3107</v>
      </c>
      <c r="G103" s="52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2.75" customHeight="1">
      <c r="A104" s="200"/>
      <c r="B104" s="198"/>
      <c r="C104" s="192"/>
      <c r="D104" s="132"/>
      <c r="E104" s="132"/>
      <c r="F104" s="295" t="s">
        <v>3108</v>
      </c>
      <c r="G104" s="52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0" customHeight="1">
      <c r="A105" s="302"/>
      <c r="B105" s="198"/>
      <c r="C105" s="192"/>
      <c r="D105" s="132"/>
      <c r="E105" s="132"/>
      <c r="F105" s="316" t="s">
        <v>3109</v>
      </c>
      <c r="G105" s="52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0" customHeight="1">
      <c r="A106" s="128" t="s">
        <v>316</v>
      </c>
      <c r="B106" s="395"/>
      <c r="C106" s="192"/>
      <c r="D106" s="132"/>
      <c r="E106" s="132"/>
      <c r="F106" s="316"/>
      <c r="G106" s="52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8.75" customHeight="1">
      <c r="A107" s="142"/>
      <c r="B107" s="143"/>
      <c r="C107" s="355">
        <f t="shared" ref="C107:E107" si="8">SUM(C99:C106)</f>
        <v>1186</v>
      </c>
      <c r="D107" s="146">
        <f t="shared" si="8"/>
        <v>27883.21</v>
      </c>
      <c r="E107" s="146">
        <f t="shared" si="8"/>
        <v>29035.81</v>
      </c>
      <c r="F107" s="307"/>
      <c r="G107" s="52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40.5" customHeight="1">
      <c r="A108" s="110" t="s">
        <v>3110</v>
      </c>
      <c r="B108" s="111"/>
      <c r="C108" s="309" t="s">
        <v>299</v>
      </c>
      <c r="D108" s="114" t="s">
        <v>9</v>
      </c>
      <c r="E108" s="284" t="s">
        <v>10</v>
      </c>
      <c r="F108" s="311" t="s">
        <v>11</v>
      </c>
      <c r="G108" s="52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0" customHeight="1">
      <c r="A109" s="116" t="s">
        <v>637</v>
      </c>
      <c r="B109" s="117"/>
      <c r="C109" s="189"/>
      <c r="D109" s="183"/>
      <c r="E109" s="183"/>
      <c r="F109" s="290" t="s">
        <v>3003</v>
      </c>
      <c r="G109" s="52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0" customHeight="1">
      <c r="A110" s="197" t="s">
        <v>303</v>
      </c>
      <c r="B110" s="198" t="s">
        <v>304</v>
      </c>
      <c r="C110" s="191"/>
      <c r="D110" s="186"/>
      <c r="E110" s="186"/>
      <c r="F110" s="300" t="s">
        <v>3111</v>
      </c>
      <c r="G110" s="52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0" customHeight="1">
      <c r="A111" s="128" t="s">
        <v>1225</v>
      </c>
      <c r="B111" s="129" t="s">
        <v>1226</v>
      </c>
      <c r="C111" s="192">
        <v>2380.0</v>
      </c>
      <c r="D111" s="298">
        <v>55931.72</v>
      </c>
      <c r="E111" s="298">
        <v>58241.72</v>
      </c>
      <c r="F111" s="300" t="s">
        <v>3112</v>
      </c>
      <c r="G111" s="52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customHeight="1">
      <c r="A112" s="200"/>
      <c r="B112" s="198"/>
      <c r="C112" s="192"/>
      <c r="D112" s="298"/>
      <c r="E112" s="298"/>
      <c r="F112" s="525" t="s">
        <v>3113</v>
      </c>
      <c r="G112" s="52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6.5" customHeight="1">
      <c r="A113" s="200" t="s">
        <v>3114</v>
      </c>
      <c r="B113" s="198" t="s">
        <v>3115</v>
      </c>
      <c r="C113" s="192"/>
      <c r="D113" s="298"/>
      <c r="E113" s="298"/>
      <c r="F113" s="295" t="s">
        <v>3031</v>
      </c>
      <c r="G113" s="52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0" customHeight="1">
      <c r="A114" s="200"/>
      <c r="B114" s="198"/>
      <c r="C114" s="192"/>
      <c r="D114" s="132"/>
      <c r="E114" s="132"/>
      <c r="F114" s="295" t="s">
        <v>3116</v>
      </c>
      <c r="G114" s="52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2.75" customHeight="1">
      <c r="A115" s="128" t="s">
        <v>316</v>
      </c>
      <c r="B115" s="198"/>
      <c r="C115" s="192"/>
      <c r="D115" s="132"/>
      <c r="E115" s="132"/>
      <c r="F115" s="316" t="s">
        <v>3117</v>
      </c>
      <c r="G115" s="52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21.75" customHeight="1">
      <c r="A116" s="142"/>
      <c r="B116" s="143"/>
      <c r="C116" s="355">
        <f t="shared" ref="C116:E116" si="9">SUM(C109:C115)</f>
        <v>2380</v>
      </c>
      <c r="D116" s="146">
        <f t="shared" si="9"/>
        <v>55931.72</v>
      </c>
      <c r="E116" s="146">
        <f t="shared" si="9"/>
        <v>58241.72</v>
      </c>
      <c r="F116" s="307"/>
      <c r="G116" s="52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2.75" customHeight="1">
      <c r="A117" s="110" t="s">
        <v>3118</v>
      </c>
      <c r="B117" s="111"/>
      <c r="C117" s="112" t="s">
        <v>299</v>
      </c>
      <c r="D117" s="113" t="s">
        <v>9</v>
      </c>
      <c r="E117" s="284" t="s">
        <v>10</v>
      </c>
      <c r="F117" s="311" t="s">
        <v>11</v>
      </c>
      <c r="G117" s="52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2.75" customHeight="1">
      <c r="A118" s="194" t="s">
        <v>385</v>
      </c>
      <c r="B118" s="195"/>
      <c r="C118" s="189"/>
      <c r="D118" s="183"/>
      <c r="E118" s="183"/>
      <c r="F118" s="290" t="s">
        <v>3003</v>
      </c>
      <c r="G118" s="52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2.75" customHeight="1">
      <c r="A119" s="197" t="s">
        <v>303</v>
      </c>
      <c r="B119" s="198" t="s">
        <v>304</v>
      </c>
      <c r="C119" s="191"/>
      <c r="D119" s="186"/>
      <c r="E119" s="186"/>
      <c r="F119" s="300" t="s">
        <v>3119</v>
      </c>
      <c r="G119" s="52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2.75" customHeight="1">
      <c r="A120" s="128" t="s">
        <v>1332</v>
      </c>
      <c r="B120" s="129" t="s">
        <v>1333</v>
      </c>
      <c r="C120" s="192">
        <v>2310.0</v>
      </c>
      <c r="D120" s="132">
        <v>49685.82</v>
      </c>
      <c r="E120" s="132">
        <v>52591.62</v>
      </c>
      <c r="F120" s="300" t="s">
        <v>3120</v>
      </c>
      <c r="G120" s="52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136"/>
      <c r="B121" s="198"/>
      <c r="C121" s="192"/>
      <c r="D121" s="132"/>
      <c r="E121" s="132"/>
      <c r="F121" s="525" t="s">
        <v>3121</v>
      </c>
      <c r="G121" s="52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8.0" customHeight="1">
      <c r="A122" s="200" t="s">
        <v>3122</v>
      </c>
      <c r="B122" s="198" t="s">
        <v>3123</v>
      </c>
      <c r="C122" s="192"/>
      <c r="D122" s="132"/>
      <c r="E122" s="132"/>
      <c r="F122" s="295" t="s">
        <v>3031</v>
      </c>
      <c r="G122" s="52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8.75" customHeight="1">
      <c r="A123" s="136"/>
      <c r="B123" s="198"/>
      <c r="C123" s="192"/>
      <c r="D123" s="192"/>
      <c r="E123" s="192"/>
      <c r="F123" s="295" t="s">
        <v>3124</v>
      </c>
      <c r="G123" s="52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8.75" customHeight="1">
      <c r="A124" s="128" t="s">
        <v>316</v>
      </c>
      <c r="B124" s="202"/>
      <c r="C124" s="192"/>
      <c r="D124" s="132"/>
      <c r="E124" s="132"/>
      <c r="F124" s="316" t="s">
        <v>3125</v>
      </c>
      <c r="G124" s="52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8.75" customHeight="1">
      <c r="A125" s="203"/>
      <c r="B125" s="143"/>
      <c r="C125" s="355">
        <f t="shared" ref="C125:E125" si="10">SUM(C118:C124)</f>
        <v>2310</v>
      </c>
      <c r="D125" s="146">
        <f t="shared" si="10"/>
        <v>49685.82</v>
      </c>
      <c r="E125" s="146">
        <f t="shared" si="10"/>
        <v>52591.62</v>
      </c>
      <c r="F125" s="316"/>
      <c r="G125" s="52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24.0" customHeight="1">
      <c r="A126" s="281" t="s">
        <v>3126</v>
      </c>
      <c r="B126" s="282"/>
      <c r="C126" s="403" t="s">
        <v>299</v>
      </c>
      <c r="D126" s="113" t="s">
        <v>9</v>
      </c>
      <c r="E126" s="284" t="s">
        <v>10</v>
      </c>
      <c r="F126" s="311" t="s">
        <v>11</v>
      </c>
      <c r="G126" s="52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7.25" customHeight="1">
      <c r="A127" s="194" t="s">
        <v>302</v>
      </c>
      <c r="B127" s="286"/>
      <c r="C127" s="287"/>
      <c r="D127" s="183"/>
      <c r="E127" s="183"/>
      <c r="F127" s="290" t="s">
        <v>3003</v>
      </c>
      <c r="G127" s="52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6.5" customHeight="1">
      <c r="A128" s="122" t="s">
        <v>303</v>
      </c>
      <c r="B128" s="123" t="s">
        <v>304</v>
      </c>
      <c r="C128" s="292"/>
      <c r="D128" s="186"/>
      <c r="E128" s="186"/>
      <c r="F128" s="300" t="s">
        <v>3127</v>
      </c>
      <c r="G128" s="52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8.75" customHeight="1">
      <c r="A129" s="302" t="s">
        <v>1086</v>
      </c>
      <c r="B129" s="201" t="s">
        <v>15</v>
      </c>
      <c r="C129" s="297">
        <v>2083.0</v>
      </c>
      <c r="D129" s="298">
        <v>55702.16</v>
      </c>
      <c r="E129" s="298">
        <v>58026.09</v>
      </c>
      <c r="F129" s="300" t="s">
        <v>3128</v>
      </c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2.0" customHeight="1">
      <c r="A130" s="128" t="s">
        <v>1225</v>
      </c>
      <c r="B130" s="129" t="s">
        <v>1226</v>
      </c>
      <c r="C130" s="297">
        <v>1062.0</v>
      </c>
      <c r="D130" s="298">
        <v>28107.65</v>
      </c>
      <c r="E130" s="298">
        <v>29234.12</v>
      </c>
      <c r="F130" s="525" t="s">
        <v>3129</v>
      </c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6.5" customHeight="1">
      <c r="A131" s="200"/>
      <c r="B131" s="198"/>
      <c r="C131" s="297"/>
      <c r="D131" s="298"/>
      <c r="E131" s="298"/>
      <c r="F131" s="295" t="s">
        <v>3055</v>
      </c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200" t="s">
        <v>3130</v>
      </c>
      <c r="B132" s="198" t="s">
        <v>3131</v>
      </c>
      <c r="C132" s="297"/>
      <c r="D132" s="132"/>
      <c r="E132" s="132"/>
      <c r="F132" s="295" t="s">
        <v>3132</v>
      </c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6.5" customHeight="1">
      <c r="A133" s="291" t="s">
        <v>3133</v>
      </c>
      <c r="B133" s="291"/>
      <c r="C133" s="297"/>
      <c r="D133" s="132"/>
      <c r="E133" s="132"/>
      <c r="F133" s="316" t="s">
        <v>3134</v>
      </c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8.75" customHeight="1">
      <c r="A134" s="135" t="s">
        <v>1143</v>
      </c>
      <c r="C134" s="297"/>
      <c r="D134" s="132"/>
      <c r="E134" s="132"/>
      <c r="F134" s="316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8.75" customHeight="1">
      <c r="A135" s="142"/>
      <c r="B135" s="143"/>
      <c r="C135" s="361">
        <f t="shared" ref="C135:E135" si="11">SUM(C127:C134)</f>
        <v>3145</v>
      </c>
      <c r="D135" s="146">
        <f t="shared" si="11"/>
        <v>83809.81</v>
      </c>
      <c r="E135" s="146">
        <f t="shared" si="11"/>
        <v>87260.21</v>
      </c>
      <c r="F135" s="358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8.75" customHeight="1">
      <c r="A136" s="203"/>
      <c r="B136" s="143"/>
      <c r="C136" s="144"/>
      <c r="D136" s="145"/>
      <c r="E136" s="146"/>
      <c r="F136" s="147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8.75" customHeight="1">
      <c r="A137" s="266"/>
      <c r="B137" s="267"/>
      <c r="C137" s="268" t="s">
        <v>292</v>
      </c>
      <c r="D137" s="269" t="s">
        <v>292</v>
      </c>
      <c r="E137" s="270" t="s">
        <v>292</v>
      </c>
      <c r="F137" s="271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8.75" customHeight="1">
      <c r="A138" s="272"/>
      <c r="B138" s="273"/>
      <c r="C138" s="274">
        <f t="shared" ref="C138:E138" si="12">SUM(C27+C36+C48+C58+C69+C80+C97+C107+C116+C125+C135)</f>
        <v>60838</v>
      </c>
      <c r="D138" s="98">
        <f t="shared" si="12"/>
        <v>1513141.693</v>
      </c>
      <c r="E138" s="98">
        <f t="shared" si="12"/>
        <v>1578373.193</v>
      </c>
      <c r="F138" s="277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8.75" customHeight="1">
      <c r="A139" s="531"/>
      <c r="B139" s="532"/>
      <c r="C139" s="533"/>
      <c r="D139" s="534"/>
      <c r="E139" s="534"/>
      <c r="F139" s="535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8.75" customHeight="1">
      <c r="A140" s="531"/>
      <c r="B140" s="532"/>
      <c r="C140" s="533"/>
      <c r="D140" s="534"/>
      <c r="E140" s="534"/>
      <c r="F140" s="535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8.75" customHeight="1">
      <c r="A141" s="531"/>
      <c r="B141" s="532"/>
      <c r="C141" s="533"/>
      <c r="D141" s="534"/>
      <c r="E141" s="534"/>
      <c r="F141" s="535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8.75" customHeight="1">
      <c r="A142" s="531"/>
      <c r="B142" s="532"/>
      <c r="C142" s="533"/>
      <c r="D142" s="534"/>
      <c r="E142" s="534"/>
      <c r="F142" s="535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8.75" customHeight="1">
      <c r="A143" s="531"/>
      <c r="B143" s="532"/>
      <c r="C143" s="533"/>
      <c r="D143" s="534"/>
      <c r="E143" s="534"/>
      <c r="F143" s="535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8.75" customHeight="1">
      <c r="A144" s="531"/>
      <c r="B144" s="532"/>
      <c r="C144" s="533"/>
      <c r="D144" s="534"/>
      <c r="E144" s="534"/>
      <c r="F144" s="535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8.75" customHeight="1">
      <c r="A145" s="531"/>
      <c r="B145" s="532"/>
      <c r="C145" s="533"/>
      <c r="D145" s="534"/>
      <c r="E145" s="534"/>
      <c r="F145" s="535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8.75" customHeight="1">
      <c r="A146" s="531"/>
      <c r="B146" s="532"/>
      <c r="C146" s="533"/>
      <c r="D146" s="534"/>
      <c r="E146" s="534"/>
      <c r="F146" s="535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8.75" customHeight="1">
      <c r="A147" s="531"/>
      <c r="B147" s="532"/>
      <c r="C147" s="533"/>
      <c r="D147" s="534"/>
      <c r="E147" s="534"/>
      <c r="F147" s="535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8.75" customHeight="1">
      <c r="A148" s="531"/>
      <c r="B148" s="532"/>
      <c r="C148" s="533"/>
      <c r="D148" s="534"/>
      <c r="E148" s="534"/>
      <c r="F148" s="535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8.75" customHeight="1">
      <c r="A149" s="531"/>
      <c r="B149" s="532"/>
      <c r="C149" s="533"/>
      <c r="D149" s="534"/>
      <c r="E149" s="534"/>
      <c r="F149" s="535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8.75" customHeight="1">
      <c r="A150" s="531"/>
      <c r="B150" s="532"/>
      <c r="C150" s="533"/>
      <c r="D150" s="534"/>
      <c r="E150" s="534"/>
      <c r="F150" s="535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8.75" customHeight="1">
      <c r="A151" s="531"/>
      <c r="B151" s="532"/>
      <c r="C151" s="533"/>
      <c r="D151" s="534"/>
      <c r="E151" s="534"/>
      <c r="F151" s="535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8.75" customHeight="1">
      <c r="A152" s="531"/>
      <c r="B152" s="532"/>
      <c r="C152" s="533"/>
      <c r="D152" s="534"/>
      <c r="E152" s="534"/>
      <c r="F152" s="535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8.75" customHeight="1">
      <c r="A153" s="531"/>
      <c r="B153" s="532"/>
      <c r="C153" s="533"/>
      <c r="D153" s="534"/>
      <c r="E153" s="534"/>
      <c r="F153" s="535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8.75" customHeight="1">
      <c r="A154" s="531"/>
      <c r="B154" s="532"/>
      <c r="C154" s="533"/>
      <c r="D154" s="534"/>
      <c r="E154" s="534"/>
      <c r="F154" s="535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8.75" customHeight="1">
      <c r="A155" s="531"/>
      <c r="B155" s="532"/>
      <c r="C155" s="533"/>
      <c r="D155" s="534"/>
      <c r="E155" s="534"/>
      <c r="F155" s="535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8.75" customHeight="1">
      <c r="A156" s="531"/>
      <c r="B156" s="532"/>
      <c r="C156" s="533"/>
      <c r="D156" s="534"/>
      <c r="E156" s="534"/>
      <c r="F156" s="535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8.75" customHeight="1">
      <c r="A157" s="531"/>
      <c r="B157" s="532"/>
      <c r="C157" s="533"/>
      <c r="D157" s="534"/>
      <c r="E157" s="534"/>
      <c r="F157" s="535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8.75" customHeight="1">
      <c r="A158" s="531"/>
      <c r="B158" s="532"/>
      <c r="C158" s="533"/>
      <c r="D158" s="534"/>
      <c r="E158" s="534"/>
      <c r="F158" s="535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8.75" customHeight="1">
      <c r="A159" s="531"/>
      <c r="B159" s="532"/>
      <c r="C159" s="533"/>
      <c r="D159" s="534"/>
      <c r="E159" s="534"/>
      <c r="F159" s="535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8.75" customHeight="1">
      <c r="A160" s="531"/>
      <c r="B160" s="532"/>
      <c r="C160" s="533"/>
      <c r="D160" s="534"/>
      <c r="E160" s="534"/>
      <c r="F160" s="535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8.75" customHeight="1">
      <c r="A161" s="531"/>
      <c r="B161" s="532"/>
      <c r="C161" s="533"/>
      <c r="D161" s="534"/>
      <c r="E161" s="534"/>
      <c r="F161" s="535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8.75" customHeight="1">
      <c r="A162" s="531"/>
      <c r="B162" s="532"/>
      <c r="C162" s="533"/>
      <c r="D162" s="534"/>
      <c r="E162" s="534"/>
      <c r="F162" s="535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8.75" customHeight="1">
      <c r="A163" s="531"/>
      <c r="B163" s="532"/>
      <c r="C163" s="533"/>
      <c r="D163" s="534"/>
      <c r="E163" s="534"/>
      <c r="F163" s="535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8.75" customHeight="1">
      <c r="A164" s="531"/>
      <c r="B164" s="532"/>
      <c r="C164" s="533"/>
      <c r="D164" s="534"/>
      <c r="E164" s="534"/>
      <c r="F164" s="535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8.75" customHeight="1">
      <c r="A165" s="531"/>
      <c r="B165" s="532"/>
      <c r="C165" s="533"/>
      <c r="D165" s="534"/>
      <c r="E165" s="534"/>
      <c r="F165" s="535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8.75" customHeight="1">
      <c r="A166" s="531"/>
      <c r="B166" s="532"/>
      <c r="C166" s="533"/>
      <c r="D166" s="534"/>
      <c r="E166" s="534"/>
      <c r="F166" s="535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8.75" customHeight="1">
      <c r="A167" s="531"/>
      <c r="B167" s="532"/>
      <c r="C167" s="533"/>
      <c r="D167" s="534"/>
      <c r="E167" s="534"/>
      <c r="F167" s="535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8.75" customHeight="1">
      <c r="A168" s="531"/>
      <c r="B168" s="532"/>
      <c r="C168" s="533"/>
      <c r="D168" s="534"/>
      <c r="E168" s="534"/>
      <c r="F168" s="535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8.75" customHeight="1">
      <c r="A169" s="531"/>
      <c r="B169" s="532"/>
      <c r="C169" s="533"/>
      <c r="D169" s="534"/>
      <c r="E169" s="534"/>
      <c r="F169" s="535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8.75" customHeight="1">
      <c r="A170" s="531"/>
      <c r="B170" s="532"/>
      <c r="C170" s="533"/>
      <c r="D170" s="534"/>
      <c r="E170" s="534"/>
      <c r="F170" s="535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8.75" customHeight="1">
      <c r="A171" s="531"/>
      <c r="B171" s="532"/>
      <c r="C171" s="533"/>
      <c r="D171" s="534"/>
      <c r="E171" s="534"/>
      <c r="F171" s="535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8.75" customHeight="1">
      <c r="A172" s="531"/>
      <c r="B172" s="532"/>
      <c r="C172" s="533"/>
      <c r="D172" s="534"/>
      <c r="E172" s="534"/>
      <c r="F172" s="535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8.75" customHeight="1">
      <c r="A173" s="531"/>
      <c r="B173" s="532"/>
      <c r="C173" s="533"/>
      <c r="D173" s="534"/>
      <c r="E173" s="534"/>
      <c r="F173" s="535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8.75" customHeight="1">
      <c r="A174" s="531"/>
      <c r="B174" s="532"/>
      <c r="C174" s="533"/>
      <c r="D174" s="534"/>
      <c r="E174" s="534"/>
      <c r="F174" s="535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8.75" customHeight="1">
      <c r="A175" s="531"/>
      <c r="B175" s="532"/>
      <c r="C175" s="533"/>
      <c r="D175" s="534"/>
      <c r="E175" s="534"/>
      <c r="F175" s="535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8.75" customHeight="1">
      <c r="A176" s="531"/>
      <c r="B176" s="532"/>
      <c r="C176" s="533"/>
      <c r="D176" s="534"/>
      <c r="E176" s="534"/>
      <c r="F176" s="535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8.75" customHeight="1">
      <c r="A177" s="531"/>
      <c r="B177" s="532"/>
      <c r="C177" s="533"/>
      <c r="D177" s="534"/>
      <c r="E177" s="534"/>
      <c r="F177" s="535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8.75" customHeight="1">
      <c r="A178" s="531"/>
      <c r="B178" s="532"/>
      <c r="C178" s="533"/>
      <c r="D178" s="534"/>
      <c r="E178" s="534"/>
      <c r="F178" s="535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8.75" customHeight="1">
      <c r="A179" s="531"/>
      <c r="B179" s="532"/>
      <c r="C179" s="533"/>
      <c r="D179" s="534"/>
      <c r="E179" s="534"/>
      <c r="F179" s="535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8.75" customHeight="1">
      <c r="A180" s="531"/>
      <c r="B180" s="532"/>
      <c r="C180" s="533"/>
      <c r="D180" s="534"/>
      <c r="E180" s="534"/>
      <c r="F180" s="535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8.75" customHeight="1">
      <c r="A181" s="531"/>
      <c r="B181" s="532"/>
      <c r="C181" s="533"/>
      <c r="D181" s="534"/>
      <c r="E181" s="534"/>
      <c r="F181" s="535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8.75" customHeight="1">
      <c r="A182" s="531"/>
      <c r="B182" s="532"/>
      <c r="C182" s="533"/>
      <c r="D182" s="534"/>
      <c r="E182" s="534"/>
      <c r="F182" s="535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8.75" customHeight="1">
      <c r="A183" s="531"/>
      <c r="B183" s="532"/>
      <c r="C183" s="533"/>
      <c r="D183" s="534"/>
      <c r="E183" s="534"/>
      <c r="F183" s="535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8.75" customHeight="1">
      <c r="A184" s="531"/>
      <c r="B184" s="532"/>
      <c r="C184" s="533"/>
      <c r="D184" s="534"/>
      <c r="E184" s="534"/>
      <c r="F184" s="535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8.75" customHeight="1">
      <c r="A185" s="531"/>
      <c r="B185" s="532"/>
      <c r="C185" s="533"/>
      <c r="D185" s="534"/>
      <c r="E185" s="534"/>
      <c r="F185" s="535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8.75" customHeight="1">
      <c r="A186" s="531"/>
      <c r="B186" s="532"/>
      <c r="C186" s="533"/>
      <c r="D186" s="534"/>
      <c r="E186" s="534"/>
      <c r="F186" s="535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8.75" customHeight="1">
      <c r="A187" s="531"/>
      <c r="B187" s="532"/>
      <c r="C187" s="533"/>
      <c r="D187" s="534"/>
      <c r="E187" s="534"/>
      <c r="F187" s="535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8.75" customHeight="1">
      <c r="A188" s="531"/>
      <c r="B188" s="532"/>
      <c r="C188" s="533"/>
      <c r="D188" s="534"/>
      <c r="E188" s="534"/>
      <c r="F188" s="535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8.75" customHeight="1">
      <c r="A189" s="531"/>
      <c r="B189" s="532"/>
      <c r="C189" s="533"/>
      <c r="D189" s="534"/>
      <c r="E189" s="534"/>
      <c r="F189" s="535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8.75" customHeight="1">
      <c r="A190" s="531"/>
      <c r="B190" s="532"/>
      <c r="C190" s="533"/>
      <c r="D190" s="534"/>
      <c r="E190" s="534"/>
      <c r="F190" s="535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8.75" customHeight="1">
      <c r="A191" s="531"/>
      <c r="B191" s="532"/>
      <c r="C191" s="533"/>
      <c r="D191" s="534"/>
      <c r="E191" s="534"/>
      <c r="F191" s="535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8.75" customHeight="1">
      <c r="A192" s="531"/>
      <c r="B192" s="532"/>
      <c r="C192" s="533"/>
      <c r="D192" s="534"/>
      <c r="E192" s="534"/>
      <c r="F192" s="535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8.75" customHeight="1">
      <c r="A193" s="531"/>
      <c r="B193" s="532"/>
      <c r="C193" s="533"/>
      <c r="D193" s="534"/>
      <c r="E193" s="534"/>
      <c r="F193" s="535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8.75" customHeight="1">
      <c r="A194" s="531"/>
      <c r="B194" s="532"/>
      <c r="C194" s="533"/>
      <c r="D194" s="534"/>
      <c r="E194" s="534"/>
      <c r="F194" s="535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8.75" customHeight="1">
      <c r="A195" s="531"/>
      <c r="B195" s="532"/>
      <c r="C195" s="533"/>
      <c r="D195" s="534"/>
      <c r="E195" s="534"/>
      <c r="F195" s="535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8.75" customHeight="1">
      <c r="A196" s="531"/>
      <c r="B196" s="532"/>
      <c r="C196" s="533"/>
      <c r="D196" s="534"/>
      <c r="E196" s="534"/>
      <c r="F196" s="535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8.75" customHeight="1">
      <c r="A197" s="531"/>
      <c r="B197" s="532"/>
      <c r="C197" s="533"/>
      <c r="D197" s="534"/>
      <c r="E197" s="534"/>
      <c r="F197" s="535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8.75" customHeight="1">
      <c r="A198" s="531"/>
      <c r="B198" s="532"/>
      <c r="C198" s="533"/>
      <c r="D198" s="534"/>
      <c r="E198" s="534"/>
      <c r="F198" s="535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8.75" customHeight="1">
      <c r="A199" s="531"/>
      <c r="B199" s="532"/>
      <c r="C199" s="533"/>
      <c r="D199" s="534"/>
      <c r="E199" s="534"/>
      <c r="F199" s="535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8.75" customHeight="1">
      <c r="A200" s="531"/>
      <c r="B200" s="532"/>
      <c r="C200" s="533"/>
      <c r="D200" s="534"/>
      <c r="E200" s="534"/>
      <c r="F200" s="535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8.75" customHeight="1">
      <c r="A201" s="531"/>
      <c r="B201" s="532"/>
      <c r="C201" s="533"/>
      <c r="D201" s="534"/>
      <c r="E201" s="534"/>
      <c r="F201" s="535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8.75" customHeight="1">
      <c r="A202" s="531"/>
      <c r="B202" s="532"/>
      <c r="C202" s="533"/>
      <c r="D202" s="534"/>
      <c r="E202" s="534"/>
      <c r="F202" s="535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8.75" customHeight="1">
      <c r="A203" s="531"/>
      <c r="B203" s="532"/>
      <c r="C203" s="533"/>
      <c r="D203" s="534"/>
      <c r="E203" s="534"/>
      <c r="F203" s="535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8.75" customHeight="1">
      <c r="A204" s="531"/>
      <c r="B204" s="532"/>
      <c r="C204" s="533"/>
      <c r="D204" s="534"/>
      <c r="E204" s="534"/>
      <c r="F204" s="535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8.75" customHeight="1">
      <c r="A205" s="531"/>
      <c r="B205" s="532"/>
      <c r="C205" s="533"/>
      <c r="D205" s="534"/>
      <c r="E205" s="534"/>
      <c r="F205" s="535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8.75" customHeight="1">
      <c r="A206" s="531"/>
      <c r="B206" s="532"/>
      <c r="C206" s="533"/>
      <c r="D206" s="534"/>
      <c r="E206" s="534"/>
      <c r="F206" s="535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8.75" customHeight="1">
      <c r="A207" s="531"/>
      <c r="B207" s="532"/>
      <c r="C207" s="533"/>
      <c r="D207" s="534"/>
      <c r="E207" s="534"/>
      <c r="F207" s="535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8.75" customHeight="1">
      <c r="A208" s="531"/>
      <c r="B208" s="532"/>
      <c r="C208" s="533"/>
      <c r="D208" s="534"/>
      <c r="E208" s="534"/>
      <c r="F208" s="535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8.75" customHeight="1">
      <c r="A209" s="531"/>
      <c r="B209" s="532"/>
      <c r="C209" s="533"/>
      <c r="D209" s="534"/>
      <c r="E209" s="534"/>
      <c r="F209" s="535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8.75" customHeight="1">
      <c r="A210" s="531"/>
      <c r="B210" s="532"/>
      <c r="C210" s="533"/>
      <c r="D210" s="534"/>
      <c r="E210" s="534"/>
      <c r="F210" s="535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8.75" customHeight="1">
      <c r="A211" s="531"/>
      <c r="B211" s="532"/>
      <c r="C211" s="533"/>
      <c r="D211" s="534"/>
      <c r="E211" s="534"/>
      <c r="F211" s="535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8.75" customHeight="1">
      <c r="A212" s="531"/>
      <c r="B212" s="532"/>
      <c r="C212" s="533"/>
      <c r="D212" s="534"/>
      <c r="E212" s="534"/>
      <c r="F212" s="535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8.75" customHeight="1">
      <c r="A213" s="531"/>
      <c r="B213" s="532"/>
      <c r="C213" s="533"/>
      <c r="D213" s="534"/>
      <c r="E213" s="534"/>
      <c r="F213" s="535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8.75" customHeight="1">
      <c r="A214" s="531"/>
      <c r="B214" s="532"/>
      <c r="C214" s="533"/>
      <c r="D214" s="534"/>
      <c r="E214" s="534"/>
      <c r="F214" s="535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8.75" customHeight="1">
      <c r="A215" s="531"/>
      <c r="B215" s="532"/>
      <c r="C215" s="533"/>
      <c r="D215" s="534"/>
      <c r="E215" s="534"/>
      <c r="F215" s="535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8.75" customHeight="1">
      <c r="A216" s="531"/>
      <c r="B216" s="532"/>
      <c r="C216" s="533"/>
      <c r="D216" s="534"/>
      <c r="E216" s="534"/>
      <c r="F216" s="535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8.75" customHeight="1">
      <c r="A217" s="531"/>
      <c r="B217" s="532"/>
      <c r="C217" s="533"/>
      <c r="D217" s="534"/>
      <c r="E217" s="534"/>
      <c r="F217" s="535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8.75" customHeight="1">
      <c r="A218" s="531"/>
      <c r="B218" s="532"/>
      <c r="C218" s="533"/>
      <c r="D218" s="534"/>
      <c r="E218" s="534"/>
      <c r="F218" s="535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8.75" customHeight="1">
      <c r="A219" s="531"/>
      <c r="B219" s="532"/>
      <c r="C219" s="533"/>
      <c r="D219" s="534"/>
      <c r="E219" s="534"/>
      <c r="F219" s="535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8.75" customHeight="1">
      <c r="A220" s="531"/>
      <c r="B220" s="532"/>
      <c r="C220" s="533"/>
      <c r="D220" s="534"/>
      <c r="E220" s="534"/>
      <c r="F220" s="535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8.75" customHeight="1">
      <c r="A221" s="531"/>
      <c r="B221" s="532"/>
      <c r="C221" s="533"/>
      <c r="D221" s="534"/>
      <c r="E221" s="534"/>
      <c r="F221" s="535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8.75" customHeight="1">
      <c r="A222" s="531"/>
      <c r="B222" s="532"/>
      <c r="C222" s="533"/>
      <c r="D222" s="534"/>
      <c r="E222" s="534"/>
      <c r="F222" s="535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8.75" customHeight="1">
      <c r="A223" s="531"/>
      <c r="B223" s="532"/>
      <c r="C223" s="533"/>
      <c r="D223" s="534"/>
      <c r="E223" s="534"/>
      <c r="F223" s="535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8.75" customHeight="1">
      <c r="A224" s="531"/>
      <c r="B224" s="532"/>
      <c r="C224" s="533"/>
      <c r="D224" s="534"/>
      <c r="E224" s="534"/>
      <c r="F224" s="535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8.75" customHeight="1">
      <c r="A225" s="531"/>
      <c r="B225" s="532"/>
      <c r="C225" s="533"/>
      <c r="D225" s="534"/>
      <c r="E225" s="534"/>
      <c r="F225" s="535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8.75" customHeight="1">
      <c r="A226" s="531"/>
      <c r="B226" s="532"/>
      <c r="C226" s="533"/>
      <c r="D226" s="534"/>
      <c r="E226" s="534"/>
      <c r="F226" s="535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8.75" customHeight="1">
      <c r="A227" s="531"/>
      <c r="B227" s="532"/>
      <c r="C227" s="533"/>
      <c r="D227" s="534"/>
      <c r="E227" s="534"/>
      <c r="F227" s="535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8.75" customHeight="1">
      <c r="A228" s="531"/>
      <c r="B228" s="532"/>
      <c r="C228" s="533"/>
      <c r="D228" s="534"/>
      <c r="E228" s="534"/>
      <c r="F228" s="535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8.75" customHeight="1">
      <c r="A229" s="531"/>
      <c r="B229" s="532"/>
      <c r="C229" s="533"/>
      <c r="D229" s="534"/>
      <c r="E229" s="534"/>
      <c r="F229" s="535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8.75" customHeight="1">
      <c r="A230" s="531"/>
      <c r="B230" s="532"/>
      <c r="C230" s="533"/>
      <c r="D230" s="534"/>
      <c r="E230" s="534"/>
      <c r="F230" s="535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8.75" customHeight="1">
      <c r="A231" s="531"/>
      <c r="B231" s="532"/>
      <c r="C231" s="533"/>
      <c r="D231" s="534"/>
      <c r="E231" s="534"/>
      <c r="F231" s="535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8.75" customHeight="1">
      <c r="A232" s="531"/>
      <c r="B232" s="532"/>
      <c r="C232" s="533"/>
      <c r="D232" s="534"/>
      <c r="E232" s="534"/>
      <c r="F232" s="535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8.75" customHeight="1">
      <c r="A233" s="531"/>
      <c r="B233" s="532"/>
      <c r="C233" s="533"/>
      <c r="D233" s="534"/>
      <c r="E233" s="534"/>
      <c r="F233" s="535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8.75" customHeight="1">
      <c r="A234" s="531"/>
      <c r="B234" s="532"/>
      <c r="C234" s="533"/>
      <c r="D234" s="534"/>
      <c r="E234" s="534"/>
      <c r="F234" s="535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8.75" customHeight="1">
      <c r="A235" s="531"/>
      <c r="B235" s="532"/>
      <c r="C235" s="533"/>
      <c r="D235" s="534"/>
      <c r="E235" s="534"/>
      <c r="F235" s="535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8.75" customHeight="1">
      <c r="A236" s="531"/>
      <c r="B236" s="532"/>
      <c r="C236" s="533"/>
      <c r="D236" s="534"/>
      <c r="E236" s="534"/>
      <c r="F236" s="535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8.75" customHeight="1">
      <c r="A237" s="531"/>
      <c r="B237" s="532"/>
      <c r="C237" s="533"/>
      <c r="D237" s="534"/>
      <c r="E237" s="534"/>
      <c r="F237" s="535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8.75" customHeight="1">
      <c r="A238" s="531"/>
      <c r="B238" s="532"/>
      <c r="C238" s="533"/>
      <c r="D238" s="534"/>
      <c r="E238" s="534"/>
      <c r="F238" s="535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8.75" customHeight="1">
      <c r="A239" s="531"/>
      <c r="B239" s="532"/>
      <c r="C239" s="533"/>
      <c r="D239" s="534"/>
      <c r="E239" s="534"/>
      <c r="F239" s="535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8.75" customHeight="1">
      <c r="A240" s="531"/>
      <c r="B240" s="532"/>
      <c r="C240" s="533"/>
      <c r="D240" s="534"/>
      <c r="E240" s="534"/>
      <c r="F240" s="535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8.75" customHeight="1">
      <c r="A241" s="531"/>
      <c r="B241" s="532"/>
      <c r="C241" s="533"/>
      <c r="D241" s="534"/>
      <c r="E241" s="534"/>
      <c r="F241" s="535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8.75" customHeight="1">
      <c r="A242" s="531"/>
      <c r="B242" s="532"/>
      <c r="C242" s="533"/>
      <c r="D242" s="534"/>
      <c r="E242" s="534"/>
      <c r="F242" s="535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8.75" customHeight="1">
      <c r="A243" s="531"/>
      <c r="B243" s="532"/>
      <c r="C243" s="533"/>
      <c r="D243" s="534"/>
      <c r="E243" s="534"/>
      <c r="F243" s="535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8.75" customHeight="1">
      <c r="A244" s="531"/>
      <c r="B244" s="532"/>
      <c r="C244" s="533"/>
      <c r="D244" s="534"/>
      <c r="E244" s="534"/>
      <c r="F244" s="535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8.75" customHeight="1">
      <c r="A245" s="531"/>
      <c r="B245" s="532"/>
      <c r="C245" s="533"/>
      <c r="D245" s="534"/>
      <c r="E245" s="534"/>
      <c r="F245" s="535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8.75" customHeight="1">
      <c r="A246" s="531"/>
      <c r="B246" s="532"/>
      <c r="C246" s="533"/>
      <c r="D246" s="534"/>
      <c r="E246" s="534"/>
      <c r="F246" s="535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8.75" customHeight="1">
      <c r="A247" s="531"/>
      <c r="B247" s="532"/>
      <c r="C247" s="533"/>
      <c r="D247" s="534"/>
      <c r="E247" s="534"/>
      <c r="F247" s="535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8.75" customHeight="1">
      <c r="A248" s="531"/>
      <c r="B248" s="532"/>
      <c r="C248" s="533"/>
      <c r="D248" s="534"/>
      <c r="E248" s="534"/>
      <c r="F248" s="535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8.75" customHeight="1">
      <c r="A249" s="531"/>
      <c r="B249" s="532"/>
      <c r="C249" s="533"/>
      <c r="D249" s="534"/>
      <c r="E249" s="534"/>
      <c r="F249" s="535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8.75" customHeight="1">
      <c r="A250" s="531"/>
      <c r="B250" s="532"/>
      <c r="C250" s="533"/>
      <c r="D250" s="534"/>
      <c r="E250" s="534"/>
      <c r="F250" s="535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8.75" customHeight="1">
      <c r="A251" s="531"/>
      <c r="B251" s="532"/>
      <c r="C251" s="533"/>
      <c r="D251" s="534"/>
      <c r="E251" s="534"/>
      <c r="F251" s="535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8.75" customHeight="1">
      <c r="A252" s="531"/>
      <c r="B252" s="532"/>
      <c r="C252" s="533"/>
      <c r="D252" s="534"/>
      <c r="E252" s="534"/>
      <c r="F252" s="535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8.75" customHeight="1">
      <c r="A253" s="531"/>
      <c r="B253" s="532"/>
      <c r="C253" s="533"/>
      <c r="D253" s="534"/>
      <c r="E253" s="534"/>
      <c r="F253" s="535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8.75" customHeight="1">
      <c r="A254" s="531"/>
      <c r="B254" s="532"/>
      <c r="C254" s="533"/>
      <c r="D254" s="534"/>
      <c r="E254" s="534"/>
      <c r="F254" s="535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8.75" customHeight="1">
      <c r="A255" s="531"/>
      <c r="B255" s="532"/>
      <c r="C255" s="533"/>
      <c r="D255" s="534"/>
      <c r="E255" s="534"/>
      <c r="F255" s="535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8.75" customHeight="1">
      <c r="A256" s="531"/>
      <c r="B256" s="532"/>
      <c r="C256" s="533"/>
      <c r="D256" s="534"/>
      <c r="E256" s="534"/>
      <c r="F256" s="535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8.75" customHeight="1">
      <c r="A257" s="531"/>
      <c r="B257" s="532"/>
      <c r="C257" s="533"/>
      <c r="D257" s="534"/>
      <c r="E257" s="534"/>
      <c r="F257" s="535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8.75" customHeight="1">
      <c r="A258" s="531"/>
      <c r="B258" s="532"/>
      <c r="C258" s="533"/>
      <c r="D258" s="534"/>
      <c r="E258" s="534"/>
      <c r="F258" s="535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8.75" customHeight="1">
      <c r="A259" s="531"/>
      <c r="B259" s="532"/>
      <c r="C259" s="533"/>
      <c r="D259" s="534"/>
      <c r="E259" s="534"/>
      <c r="F259" s="535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8.75" customHeight="1">
      <c r="A260" s="531"/>
      <c r="B260" s="532"/>
      <c r="C260" s="533"/>
      <c r="D260" s="534"/>
      <c r="E260" s="534"/>
      <c r="F260" s="535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8.75" customHeight="1">
      <c r="A261" s="531"/>
      <c r="B261" s="532"/>
      <c r="C261" s="533"/>
      <c r="D261" s="534"/>
      <c r="E261" s="534"/>
      <c r="F261" s="535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8.75" customHeight="1">
      <c r="A262" s="531"/>
      <c r="B262" s="532"/>
      <c r="C262" s="533"/>
      <c r="D262" s="534"/>
      <c r="E262" s="534"/>
      <c r="F262" s="535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8.75" customHeight="1">
      <c r="A263" s="531"/>
      <c r="B263" s="532"/>
      <c r="C263" s="533"/>
      <c r="D263" s="534"/>
      <c r="E263" s="534"/>
      <c r="F263" s="535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8.75" customHeight="1">
      <c r="A264" s="531"/>
      <c r="B264" s="532"/>
      <c r="C264" s="533"/>
      <c r="D264" s="534"/>
      <c r="E264" s="534"/>
      <c r="F264" s="535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8.75" customHeight="1">
      <c r="A265" s="531"/>
      <c r="B265" s="532"/>
      <c r="C265" s="533"/>
      <c r="D265" s="534"/>
      <c r="E265" s="534"/>
      <c r="F265" s="535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8.75" customHeight="1">
      <c r="A266" s="531"/>
      <c r="B266" s="532"/>
      <c r="C266" s="533"/>
      <c r="D266" s="534"/>
      <c r="E266" s="534"/>
      <c r="F266" s="535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8.75" customHeight="1">
      <c r="A267" s="531"/>
      <c r="B267" s="532"/>
      <c r="C267" s="533"/>
      <c r="D267" s="534"/>
      <c r="E267" s="534"/>
      <c r="F267" s="535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8.75" customHeight="1">
      <c r="A268" s="531"/>
      <c r="B268" s="532"/>
      <c r="C268" s="533"/>
      <c r="D268" s="534"/>
      <c r="E268" s="534"/>
      <c r="F268" s="535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8.75" customHeight="1">
      <c r="A269" s="531"/>
      <c r="B269" s="532"/>
      <c r="C269" s="533"/>
      <c r="D269" s="534"/>
      <c r="E269" s="534"/>
      <c r="F269" s="535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8.75" customHeight="1">
      <c r="A270" s="531"/>
      <c r="B270" s="532"/>
      <c r="C270" s="533"/>
      <c r="D270" s="534"/>
      <c r="E270" s="534"/>
      <c r="F270" s="535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8.75" customHeight="1">
      <c r="A271" s="531"/>
      <c r="B271" s="532"/>
      <c r="C271" s="533"/>
      <c r="D271" s="534"/>
      <c r="E271" s="534"/>
      <c r="F271" s="535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8.75" customHeight="1">
      <c r="A272" s="531"/>
      <c r="B272" s="532"/>
      <c r="C272" s="533"/>
      <c r="D272" s="534"/>
      <c r="E272" s="534"/>
      <c r="F272" s="535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8.75" customHeight="1">
      <c r="A273" s="531"/>
      <c r="B273" s="532"/>
      <c r="C273" s="533"/>
      <c r="D273" s="534"/>
      <c r="E273" s="534"/>
      <c r="F273" s="535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8.75" customHeight="1">
      <c r="A274" s="531"/>
      <c r="B274" s="532"/>
      <c r="C274" s="533"/>
      <c r="D274" s="534"/>
      <c r="E274" s="534"/>
      <c r="F274" s="535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8.75" customHeight="1">
      <c r="A275" s="531"/>
      <c r="B275" s="532"/>
      <c r="C275" s="533"/>
      <c r="D275" s="534"/>
      <c r="E275" s="534"/>
      <c r="F275" s="535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8.75" customHeight="1">
      <c r="A276" s="531"/>
      <c r="B276" s="532"/>
      <c r="C276" s="533"/>
      <c r="D276" s="534"/>
      <c r="E276" s="534"/>
      <c r="F276" s="535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8.75" customHeight="1">
      <c r="A277" s="531"/>
      <c r="B277" s="532"/>
      <c r="C277" s="533"/>
      <c r="D277" s="534"/>
      <c r="E277" s="534"/>
      <c r="F277" s="535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8.75" customHeight="1">
      <c r="A278" s="531"/>
      <c r="B278" s="532"/>
      <c r="C278" s="533"/>
      <c r="D278" s="534"/>
      <c r="E278" s="534"/>
      <c r="F278" s="535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8.75" customHeight="1">
      <c r="A279" s="531"/>
      <c r="B279" s="532"/>
      <c r="C279" s="533"/>
      <c r="D279" s="534"/>
      <c r="E279" s="534"/>
      <c r="F279" s="535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8.75" customHeight="1">
      <c r="A280" s="531"/>
      <c r="B280" s="532"/>
      <c r="C280" s="533"/>
      <c r="D280" s="534"/>
      <c r="E280" s="534"/>
      <c r="F280" s="535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8.75" customHeight="1">
      <c r="A281" s="531"/>
      <c r="B281" s="532"/>
      <c r="C281" s="533"/>
      <c r="D281" s="534"/>
      <c r="E281" s="534"/>
      <c r="F281" s="535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8.75" customHeight="1">
      <c r="A282" s="531"/>
      <c r="B282" s="532"/>
      <c r="C282" s="533"/>
      <c r="D282" s="534"/>
      <c r="E282" s="534"/>
      <c r="F282" s="535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8.75" customHeight="1">
      <c r="A283" s="531"/>
      <c r="B283" s="532"/>
      <c r="C283" s="533"/>
      <c r="D283" s="534"/>
      <c r="E283" s="534"/>
      <c r="F283" s="535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8.75" customHeight="1">
      <c r="A284" s="531"/>
      <c r="B284" s="532"/>
      <c r="C284" s="533"/>
      <c r="D284" s="534"/>
      <c r="E284" s="534"/>
      <c r="F284" s="535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8.75" customHeight="1">
      <c r="A285" s="531"/>
      <c r="B285" s="532"/>
      <c r="C285" s="533"/>
      <c r="D285" s="534"/>
      <c r="E285" s="534"/>
      <c r="F285" s="535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8.75" customHeight="1">
      <c r="A286" s="531"/>
      <c r="B286" s="532"/>
      <c r="C286" s="533"/>
      <c r="D286" s="534"/>
      <c r="E286" s="534"/>
      <c r="F286" s="535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8.75" customHeight="1">
      <c r="A287" s="531"/>
      <c r="B287" s="532"/>
      <c r="C287" s="533"/>
      <c r="D287" s="534"/>
      <c r="E287" s="534"/>
      <c r="F287" s="535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8.75" customHeight="1">
      <c r="A288" s="531"/>
      <c r="B288" s="532"/>
      <c r="C288" s="533"/>
      <c r="D288" s="534"/>
      <c r="E288" s="534"/>
      <c r="F288" s="535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8.75" customHeight="1">
      <c r="A289" s="531"/>
      <c r="B289" s="532"/>
      <c r="C289" s="533"/>
      <c r="D289" s="534"/>
      <c r="E289" s="534"/>
      <c r="F289" s="535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8.75" customHeight="1">
      <c r="A290" s="531"/>
      <c r="B290" s="532"/>
      <c r="C290" s="533"/>
      <c r="D290" s="534"/>
      <c r="E290" s="534"/>
      <c r="F290" s="535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8.75" customHeight="1">
      <c r="A291" s="531"/>
      <c r="B291" s="532"/>
      <c r="C291" s="533"/>
      <c r="D291" s="534"/>
      <c r="E291" s="534"/>
      <c r="F291" s="535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8.75" customHeight="1">
      <c r="A292" s="531"/>
      <c r="B292" s="532"/>
      <c r="C292" s="533"/>
      <c r="D292" s="534"/>
      <c r="E292" s="534"/>
      <c r="F292" s="535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8.75" customHeight="1">
      <c r="A293" s="531"/>
      <c r="B293" s="532"/>
      <c r="C293" s="533"/>
      <c r="D293" s="534"/>
      <c r="E293" s="534"/>
      <c r="F293" s="535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8.75" customHeight="1">
      <c r="A294" s="531"/>
      <c r="B294" s="532"/>
      <c r="C294" s="533"/>
      <c r="D294" s="534"/>
      <c r="E294" s="534"/>
      <c r="F294" s="535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8.75" customHeight="1">
      <c r="A295" s="531"/>
      <c r="B295" s="532"/>
      <c r="C295" s="533"/>
      <c r="D295" s="534"/>
      <c r="E295" s="534"/>
      <c r="F295" s="535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8.75" customHeight="1">
      <c r="A296" s="531"/>
      <c r="B296" s="532"/>
      <c r="C296" s="533"/>
      <c r="D296" s="534"/>
      <c r="E296" s="534"/>
      <c r="F296" s="535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8.75" customHeight="1">
      <c r="A297" s="531"/>
      <c r="B297" s="532"/>
      <c r="C297" s="533"/>
      <c r="D297" s="534"/>
      <c r="E297" s="534"/>
      <c r="F297" s="535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8.75" customHeight="1">
      <c r="A298" s="531"/>
      <c r="B298" s="532"/>
      <c r="C298" s="533"/>
      <c r="D298" s="534"/>
      <c r="E298" s="534"/>
      <c r="F298" s="535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8.75" customHeight="1">
      <c r="A299" s="531"/>
      <c r="B299" s="532"/>
      <c r="C299" s="533"/>
      <c r="D299" s="534"/>
      <c r="E299" s="534"/>
      <c r="F299" s="535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8.75" customHeight="1">
      <c r="A300" s="531"/>
      <c r="B300" s="532"/>
      <c r="C300" s="533"/>
      <c r="D300" s="534"/>
      <c r="E300" s="534"/>
      <c r="F300" s="535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8.75" customHeight="1">
      <c r="A301" s="531"/>
      <c r="B301" s="532"/>
      <c r="C301" s="533"/>
      <c r="D301" s="534"/>
      <c r="E301" s="534"/>
      <c r="F301" s="535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8.75" customHeight="1">
      <c r="A302" s="531"/>
      <c r="B302" s="532"/>
      <c r="C302" s="533"/>
      <c r="D302" s="534"/>
      <c r="E302" s="534"/>
      <c r="F302" s="535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8.75" customHeight="1">
      <c r="A303" s="531"/>
      <c r="B303" s="532"/>
      <c r="C303" s="533"/>
      <c r="D303" s="534"/>
      <c r="E303" s="534"/>
      <c r="F303" s="535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8.75" customHeight="1">
      <c r="A304" s="531"/>
      <c r="B304" s="532"/>
      <c r="C304" s="533"/>
      <c r="D304" s="534"/>
      <c r="E304" s="534"/>
      <c r="F304" s="535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8.75" customHeight="1">
      <c r="A305" s="531"/>
      <c r="B305" s="532"/>
      <c r="C305" s="533"/>
      <c r="D305" s="534"/>
      <c r="E305" s="534"/>
      <c r="F305" s="535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8.75" customHeight="1">
      <c r="A306" s="531"/>
      <c r="B306" s="532"/>
      <c r="C306" s="533"/>
      <c r="D306" s="534"/>
      <c r="E306" s="534"/>
      <c r="F306" s="535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8.75" customHeight="1">
      <c r="A307" s="531"/>
      <c r="B307" s="532"/>
      <c r="C307" s="533"/>
      <c r="D307" s="534"/>
      <c r="E307" s="534"/>
      <c r="F307" s="535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8.75" customHeight="1">
      <c r="A308" s="531"/>
      <c r="B308" s="532"/>
      <c r="C308" s="533"/>
      <c r="D308" s="534"/>
      <c r="E308" s="534"/>
      <c r="F308" s="535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8.75" customHeight="1">
      <c r="A309" s="531"/>
      <c r="B309" s="532"/>
      <c r="C309" s="533"/>
      <c r="D309" s="534"/>
      <c r="E309" s="534"/>
      <c r="F309" s="535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8.75" customHeight="1">
      <c r="A310" s="531"/>
      <c r="B310" s="532"/>
      <c r="C310" s="533"/>
      <c r="D310" s="534"/>
      <c r="E310" s="534"/>
      <c r="F310" s="535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8.75" customHeight="1">
      <c r="A311" s="531"/>
      <c r="B311" s="532"/>
      <c r="C311" s="533"/>
      <c r="D311" s="534"/>
      <c r="E311" s="534"/>
      <c r="F311" s="535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8.75" customHeight="1">
      <c r="A312" s="531"/>
      <c r="B312" s="532"/>
      <c r="C312" s="533"/>
      <c r="D312" s="534"/>
      <c r="E312" s="534"/>
      <c r="F312" s="535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8.75" customHeight="1">
      <c r="A313" s="531"/>
      <c r="B313" s="532"/>
      <c r="C313" s="533"/>
      <c r="D313" s="534"/>
      <c r="E313" s="534"/>
      <c r="F313" s="535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8.75" customHeight="1">
      <c r="A314" s="531"/>
      <c r="B314" s="532"/>
      <c r="C314" s="533"/>
      <c r="D314" s="534"/>
      <c r="E314" s="534"/>
      <c r="F314" s="535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8.75" customHeight="1">
      <c r="A315" s="531"/>
      <c r="B315" s="532"/>
      <c r="C315" s="533"/>
      <c r="D315" s="534"/>
      <c r="E315" s="534"/>
      <c r="F315" s="535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8.75" customHeight="1">
      <c r="A316" s="531"/>
      <c r="B316" s="532"/>
      <c r="C316" s="533"/>
      <c r="D316" s="534"/>
      <c r="E316" s="534"/>
      <c r="F316" s="535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8.75" customHeight="1">
      <c r="A317" s="531"/>
      <c r="B317" s="532"/>
      <c r="C317" s="533"/>
      <c r="D317" s="534"/>
      <c r="E317" s="534"/>
      <c r="F317" s="535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8.75" customHeight="1">
      <c r="A318" s="531"/>
      <c r="B318" s="532"/>
      <c r="C318" s="533"/>
      <c r="D318" s="534"/>
      <c r="E318" s="534"/>
      <c r="F318" s="535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8.75" customHeight="1">
      <c r="A319" s="531"/>
      <c r="B319" s="532"/>
      <c r="C319" s="533"/>
      <c r="D319" s="534"/>
      <c r="E319" s="534"/>
      <c r="F319" s="535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8.75" customHeight="1">
      <c r="A320" s="531"/>
      <c r="B320" s="532"/>
      <c r="C320" s="533"/>
      <c r="D320" s="534"/>
      <c r="E320" s="534"/>
      <c r="F320" s="535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8.75" customHeight="1">
      <c r="A321" s="531"/>
      <c r="B321" s="532"/>
      <c r="C321" s="533"/>
      <c r="D321" s="534"/>
      <c r="E321" s="534"/>
      <c r="F321" s="535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8.75" customHeight="1">
      <c r="A322" s="531"/>
      <c r="B322" s="532"/>
      <c r="C322" s="533"/>
      <c r="D322" s="534"/>
      <c r="E322" s="534"/>
      <c r="F322" s="535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8.75" customHeight="1">
      <c r="A323" s="531"/>
      <c r="B323" s="532"/>
      <c r="C323" s="533"/>
      <c r="D323" s="534"/>
      <c r="E323" s="534"/>
      <c r="F323" s="535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8.75" customHeight="1">
      <c r="A324" s="531"/>
      <c r="B324" s="532"/>
      <c r="C324" s="533"/>
      <c r="D324" s="534"/>
      <c r="E324" s="534"/>
      <c r="F324" s="535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8.75" customHeight="1">
      <c r="A325" s="531"/>
      <c r="B325" s="532"/>
      <c r="C325" s="533"/>
      <c r="D325" s="534"/>
      <c r="E325" s="534"/>
      <c r="F325" s="535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8.75" customHeight="1">
      <c r="A326" s="531"/>
      <c r="B326" s="532"/>
      <c r="C326" s="533"/>
      <c r="D326" s="534"/>
      <c r="E326" s="534"/>
      <c r="F326" s="535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8.75" customHeight="1">
      <c r="A327" s="531"/>
      <c r="B327" s="532"/>
      <c r="C327" s="533"/>
      <c r="D327" s="534"/>
      <c r="E327" s="534"/>
      <c r="F327" s="535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8.75" customHeight="1">
      <c r="A328" s="531"/>
      <c r="B328" s="532"/>
      <c r="C328" s="533"/>
      <c r="D328" s="534"/>
      <c r="E328" s="534"/>
      <c r="F328" s="535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8.75" customHeight="1">
      <c r="A329" s="531"/>
      <c r="B329" s="532"/>
      <c r="C329" s="533"/>
      <c r="D329" s="534"/>
      <c r="E329" s="534"/>
      <c r="F329" s="535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8.75" customHeight="1">
      <c r="A330" s="531"/>
      <c r="B330" s="532"/>
      <c r="C330" s="533"/>
      <c r="D330" s="534"/>
      <c r="E330" s="534"/>
      <c r="F330" s="535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8.75" customHeight="1">
      <c r="A331" s="531"/>
      <c r="B331" s="532"/>
      <c r="C331" s="533"/>
      <c r="D331" s="534"/>
      <c r="E331" s="534"/>
      <c r="F331" s="535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8.75" customHeight="1">
      <c r="A332" s="531"/>
      <c r="B332" s="532"/>
      <c r="C332" s="533"/>
      <c r="D332" s="534"/>
      <c r="E332" s="534"/>
      <c r="F332" s="535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8.75" customHeight="1">
      <c r="A333" s="531"/>
      <c r="B333" s="532"/>
      <c r="C333" s="533"/>
      <c r="D333" s="534"/>
      <c r="E333" s="534"/>
      <c r="F333" s="535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8.75" customHeight="1">
      <c r="A334" s="531"/>
      <c r="B334" s="532"/>
      <c r="C334" s="533"/>
      <c r="D334" s="534"/>
      <c r="E334" s="534"/>
      <c r="F334" s="535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8.75" customHeight="1">
      <c r="A335" s="531"/>
      <c r="B335" s="532"/>
      <c r="C335" s="533"/>
      <c r="D335" s="534"/>
      <c r="E335" s="534"/>
      <c r="F335" s="535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8.75" customHeight="1">
      <c r="A336" s="531"/>
      <c r="B336" s="532"/>
      <c r="C336" s="533"/>
      <c r="D336" s="534"/>
      <c r="E336" s="534"/>
      <c r="F336" s="535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8.75" customHeight="1">
      <c r="A337" s="531"/>
      <c r="B337" s="532"/>
      <c r="C337" s="533"/>
      <c r="D337" s="534"/>
      <c r="E337" s="534"/>
      <c r="F337" s="535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8.75" customHeight="1">
      <c r="A338" s="531"/>
      <c r="B338" s="532"/>
      <c r="C338" s="533"/>
      <c r="D338" s="534"/>
      <c r="E338" s="534"/>
      <c r="F338" s="535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28:B28"/>
    <mergeCell ref="A126:B126"/>
    <mergeCell ref="A1:F1"/>
    <mergeCell ref="A2:F2"/>
    <mergeCell ref="A3:F3"/>
    <mergeCell ref="A4:F4"/>
    <mergeCell ref="D7:E7"/>
    <mergeCell ref="A9:F9"/>
    <mergeCell ref="A11:B11"/>
  </mergeCells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2.63" defaultRowHeight="15.0"/>
  <cols>
    <col customWidth="1" min="1" max="1" width="61.63"/>
    <col customWidth="1" min="2" max="2" width="62.88"/>
    <col customWidth="1" min="3" max="3" width="14.88"/>
    <col customWidth="1" min="4" max="4" width="21.0"/>
    <col customWidth="1" min="5" max="5" width="21.63"/>
    <col customWidth="1" min="6" max="6" width="73.38"/>
    <col customWidth="1" min="7" max="7" width="50.13"/>
    <col customWidth="1" min="8" max="26" width="8.0"/>
  </cols>
  <sheetData>
    <row r="1" ht="12.75" customHeight="1">
      <c r="A1" s="1" t="s">
        <v>293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2.75" customHeight="1">
      <c r="A2" s="5" t="s">
        <v>707</v>
      </c>
      <c r="B2" s="6"/>
      <c r="C2" s="6"/>
      <c r="D2" s="6"/>
      <c r="E2" s="6"/>
      <c r="F2" s="7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2.75" customHeight="1">
      <c r="A3" s="5" t="s">
        <v>2</v>
      </c>
      <c r="B3" s="6"/>
      <c r="C3" s="6"/>
      <c r="D3" s="6"/>
      <c r="E3" s="6"/>
      <c r="F3" s="7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2.75" customHeight="1">
      <c r="A4" s="5" t="s">
        <v>3</v>
      </c>
      <c r="B4" s="6"/>
      <c r="C4" s="6"/>
      <c r="D4" s="6"/>
      <c r="E4" s="6"/>
      <c r="F4" s="7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2.75" customHeight="1">
      <c r="A5" s="8"/>
      <c r="B5" s="9"/>
      <c r="C5" s="10"/>
      <c r="D5" s="11"/>
      <c r="E5" s="11"/>
      <c r="F5" s="12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2.75" customHeight="1">
      <c r="A6" s="13"/>
      <c r="B6" s="9"/>
      <c r="C6" s="10"/>
      <c r="D6" s="14"/>
      <c r="E6" s="14"/>
      <c r="F6" s="15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30.0" customHeight="1">
      <c r="A7" s="16"/>
      <c r="B7" s="9"/>
      <c r="C7" s="17"/>
      <c r="D7" s="18"/>
      <c r="E7" s="19"/>
      <c r="F7" s="15" t="s">
        <v>3135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0.0" customHeight="1">
      <c r="A8" s="20" t="s">
        <v>296</v>
      </c>
      <c r="B8" s="21"/>
      <c r="C8" s="22"/>
      <c r="D8" s="23"/>
      <c r="E8" s="23"/>
      <c r="F8" s="2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7.75" customHeight="1">
      <c r="A9" s="25" t="s">
        <v>3136</v>
      </c>
      <c r="B9" s="26"/>
      <c r="C9" s="26"/>
      <c r="D9" s="26"/>
      <c r="E9" s="26"/>
      <c r="F9" s="27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8.5" customHeight="1">
      <c r="A10" s="105"/>
      <c r="B10" s="106"/>
      <c r="C10" s="107"/>
      <c r="D10" s="108"/>
      <c r="E10" s="108"/>
      <c r="F10" s="109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</row>
    <row r="11" ht="42.0" customHeight="1">
      <c r="A11" s="281" t="s">
        <v>3137</v>
      </c>
      <c r="B11" s="282"/>
      <c r="C11" s="112" t="s">
        <v>299</v>
      </c>
      <c r="D11" s="113" t="s">
        <v>9</v>
      </c>
      <c r="E11" s="284" t="s">
        <v>10</v>
      </c>
      <c r="F11" s="311" t="s">
        <v>11</v>
      </c>
      <c r="G11" s="52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9.5" customHeight="1">
      <c r="A12" s="194" t="s">
        <v>319</v>
      </c>
      <c r="B12" s="286"/>
      <c r="C12" s="287"/>
      <c r="D12" s="183"/>
      <c r="E12" s="183"/>
      <c r="F12" s="290" t="s">
        <v>3138</v>
      </c>
      <c r="G12" s="52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2.75" customHeight="1">
      <c r="A13" s="122" t="s">
        <v>303</v>
      </c>
      <c r="B13" s="123" t="s">
        <v>304</v>
      </c>
      <c r="C13" s="292"/>
      <c r="D13" s="186"/>
      <c r="E13" s="186"/>
      <c r="F13" s="300" t="s">
        <v>3139</v>
      </c>
      <c r="G13" s="52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2.75" customHeight="1">
      <c r="A14" s="128" t="s">
        <v>3140</v>
      </c>
      <c r="B14" s="129" t="s">
        <v>1226</v>
      </c>
      <c r="C14" s="297">
        <v>4224.0</v>
      </c>
      <c r="D14" s="132">
        <v>111081.92</v>
      </c>
      <c r="E14" s="298">
        <v>115794.22</v>
      </c>
      <c r="F14" s="300" t="s">
        <v>3141</v>
      </c>
      <c r="G14" s="52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2.75" customHeight="1">
      <c r="A15" s="169"/>
      <c r="B15" s="247"/>
      <c r="C15" s="297"/>
      <c r="D15" s="132"/>
      <c r="E15" s="298"/>
      <c r="F15" s="525" t="s">
        <v>3142</v>
      </c>
      <c r="G15" s="52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2.75" customHeight="1">
      <c r="A16" s="302" t="s">
        <v>3143</v>
      </c>
      <c r="B16" s="301" t="s">
        <v>3144</v>
      </c>
      <c r="C16" s="297"/>
      <c r="D16" s="132"/>
      <c r="E16" s="298"/>
      <c r="F16" s="295" t="s">
        <v>2030</v>
      </c>
      <c r="G16" s="52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2.75" customHeight="1">
      <c r="A17" s="302" t="s">
        <v>3145</v>
      </c>
      <c r="B17" s="247" t="s">
        <v>3146</v>
      </c>
      <c r="C17" s="297"/>
      <c r="D17" s="132"/>
      <c r="E17" s="298"/>
      <c r="F17" s="295" t="s">
        <v>3147</v>
      </c>
      <c r="G17" s="52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2.75" customHeight="1">
      <c r="A18" s="302"/>
      <c r="B18" s="247"/>
      <c r="C18" s="297"/>
      <c r="D18" s="132"/>
      <c r="E18" s="132"/>
      <c r="F18" s="316" t="s">
        <v>3148</v>
      </c>
      <c r="G18" s="52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2.75" customHeight="1">
      <c r="A19" s="135" t="s">
        <v>1143</v>
      </c>
      <c r="B19" s="247"/>
      <c r="C19" s="297"/>
      <c r="D19" s="132"/>
      <c r="E19" s="132"/>
      <c r="F19" s="316"/>
      <c r="G19" s="52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2.75" customHeight="1">
      <c r="A20" s="142"/>
      <c r="B20" s="143"/>
      <c r="C20" s="361">
        <f t="shared" ref="C20:E20" si="1">SUM(C12:C19)</f>
        <v>4224</v>
      </c>
      <c r="D20" s="146">
        <f t="shared" si="1"/>
        <v>111081.92</v>
      </c>
      <c r="E20" s="146">
        <f t="shared" si="1"/>
        <v>115794.22</v>
      </c>
      <c r="F20" s="358"/>
      <c r="G20" s="52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37.5" customHeight="1">
      <c r="A21" s="179" t="s">
        <v>3149</v>
      </c>
      <c r="B21" s="149"/>
      <c r="C21" s="112" t="s">
        <v>299</v>
      </c>
      <c r="D21" s="113" t="s">
        <v>9</v>
      </c>
      <c r="E21" s="284" t="s">
        <v>10</v>
      </c>
      <c r="F21" s="311" t="s">
        <v>11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2.75" customHeight="1">
      <c r="A22" s="194" t="s">
        <v>440</v>
      </c>
      <c r="B22" s="195"/>
      <c r="C22" s="287"/>
      <c r="D22" s="132"/>
      <c r="E22" s="183"/>
      <c r="F22" s="290" t="s">
        <v>3138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2.75" customHeight="1">
      <c r="A23" s="122" t="s">
        <v>303</v>
      </c>
      <c r="B23" s="123" t="s">
        <v>304</v>
      </c>
      <c r="C23" s="292"/>
      <c r="D23" s="132"/>
      <c r="E23" s="186"/>
      <c r="F23" s="300" t="s">
        <v>3150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2.75" customHeight="1">
      <c r="A24" s="128" t="s">
        <v>1225</v>
      </c>
      <c r="B24" s="129" t="s">
        <v>1226</v>
      </c>
      <c r="C24" s="297">
        <v>1037.0</v>
      </c>
      <c r="D24" s="132">
        <v>27436.12</v>
      </c>
      <c r="E24" s="298">
        <v>28538.612</v>
      </c>
      <c r="F24" s="300" t="s">
        <v>3151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2.75" customHeight="1">
      <c r="A25" s="128" t="s">
        <v>1939</v>
      </c>
      <c r="B25" s="129" t="s">
        <v>1226</v>
      </c>
      <c r="C25" s="297">
        <v>4142.0</v>
      </c>
      <c r="D25" s="132">
        <v>108372.49</v>
      </c>
      <c r="E25" s="132">
        <v>112757.348</v>
      </c>
      <c r="F25" s="525" t="s">
        <v>3152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2.75" customHeight="1">
      <c r="A26" s="302"/>
      <c r="B26" s="301"/>
      <c r="C26" s="297"/>
      <c r="D26" s="132"/>
      <c r="E26" s="132"/>
      <c r="F26" s="295" t="s">
        <v>3153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2.75" customHeight="1">
      <c r="A27" s="302" t="s">
        <v>3154</v>
      </c>
      <c r="B27" s="301" t="s">
        <v>3155</v>
      </c>
      <c r="C27" s="297"/>
      <c r="D27" s="132"/>
      <c r="E27" s="132"/>
      <c r="F27" s="295" t="s">
        <v>3156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2.75" customHeight="1">
      <c r="A28" s="302" t="s">
        <v>3157</v>
      </c>
      <c r="B28" s="291" t="s">
        <v>3158</v>
      </c>
      <c r="C28" s="297"/>
      <c r="D28" s="132"/>
      <c r="E28" s="132"/>
      <c r="F28" s="316" t="s">
        <v>3159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2.75" customHeight="1">
      <c r="A29" s="302" t="s">
        <v>3160</v>
      </c>
      <c r="B29" s="301"/>
      <c r="C29" s="297"/>
      <c r="D29" s="132"/>
      <c r="E29" s="132"/>
      <c r="F29" s="316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2.75" customHeight="1">
      <c r="A30" s="169"/>
      <c r="B30" s="301"/>
      <c r="C30" s="297"/>
      <c r="D30" s="132"/>
      <c r="E30" s="132"/>
      <c r="F30" s="316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2.75" customHeight="1">
      <c r="A31" s="128" t="s">
        <v>316</v>
      </c>
      <c r="B31" s="198"/>
      <c r="C31" s="297"/>
      <c r="D31" s="132"/>
      <c r="E31" s="132"/>
      <c r="F31" s="316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8.75" customHeight="1">
      <c r="A32" s="142"/>
      <c r="B32" s="143"/>
      <c r="C32" s="361">
        <f t="shared" ref="C32:E32" si="2">SUM(C22:C28)</f>
        <v>5179</v>
      </c>
      <c r="D32" s="146">
        <f t="shared" si="2"/>
        <v>135808.61</v>
      </c>
      <c r="E32" s="146">
        <f t="shared" si="2"/>
        <v>141295.96</v>
      </c>
      <c r="F32" s="39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34.5" customHeight="1">
      <c r="A33" s="179" t="s">
        <v>3161</v>
      </c>
      <c r="B33" s="149"/>
      <c r="C33" s="362" t="s">
        <v>299</v>
      </c>
      <c r="D33" s="113" t="s">
        <v>9</v>
      </c>
      <c r="E33" s="284" t="s">
        <v>10</v>
      </c>
      <c r="F33" s="311" t="s">
        <v>11</v>
      </c>
      <c r="G33" s="52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36" t="s">
        <v>523</v>
      </c>
      <c r="B34" s="151"/>
      <c r="C34" s="345"/>
      <c r="D34" s="120"/>
      <c r="E34" s="120"/>
      <c r="F34" s="290" t="s">
        <v>3138</v>
      </c>
      <c r="G34" s="52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122" t="s">
        <v>303</v>
      </c>
      <c r="B35" s="123" t="s">
        <v>304</v>
      </c>
      <c r="C35" s="364"/>
      <c r="D35" s="297"/>
      <c r="E35" s="126"/>
      <c r="F35" s="300" t="s">
        <v>3162</v>
      </c>
      <c r="G35" s="52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2.75" customHeight="1">
      <c r="A36" s="128" t="s">
        <v>1225</v>
      </c>
      <c r="B36" s="129" t="s">
        <v>1226</v>
      </c>
      <c r="C36" s="297">
        <v>1052.0</v>
      </c>
      <c r="D36" s="298">
        <v>27315.86</v>
      </c>
      <c r="E36" s="298">
        <v>28448.83</v>
      </c>
      <c r="F36" s="300" t="s">
        <v>3163</v>
      </c>
      <c r="G36" s="52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2.75" customHeight="1">
      <c r="A37" s="128" t="s">
        <v>1939</v>
      </c>
      <c r="B37" s="129" t="s">
        <v>1226</v>
      </c>
      <c r="C37" s="297">
        <v>2510.0</v>
      </c>
      <c r="D37" s="132">
        <v>65935.3</v>
      </c>
      <c r="E37" s="298">
        <v>68650.63</v>
      </c>
      <c r="F37" s="525" t="s">
        <v>3164</v>
      </c>
      <c r="G37" s="52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2.75" customHeight="1">
      <c r="A38" s="302"/>
      <c r="B38" s="301"/>
      <c r="C38" s="297"/>
      <c r="D38" s="132"/>
      <c r="E38" s="298"/>
      <c r="F38" s="295" t="s">
        <v>3165</v>
      </c>
      <c r="G38" s="52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2.75" customHeight="1">
      <c r="A39" s="302" t="s">
        <v>3166</v>
      </c>
      <c r="B39" s="301" t="s">
        <v>3167</v>
      </c>
      <c r="C39" s="297"/>
      <c r="D39" s="132"/>
      <c r="E39" s="132"/>
      <c r="F39" s="295" t="s">
        <v>3168</v>
      </c>
      <c r="G39" s="52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2.75" customHeight="1">
      <c r="A40" s="302" t="s">
        <v>3169</v>
      </c>
      <c r="B40" s="301" t="s">
        <v>3170</v>
      </c>
      <c r="C40" s="297"/>
      <c r="D40" s="132"/>
      <c r="E40" s="132"/>
      <c r="F40" s="316" t="s">
        <v>3171</v>
      </c>
      <c r="G40" s="52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2.75" customHeight="1">
      <c r="A41" s="169"/>
      <c r="B41" s="301"/>
      <c r="C41" s="297"/>
      <c r="D41" s="132"/>
      <c r="E41" s="132"/>
      <c r="F41" s="295"/>
      <c r="G41" s="52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2.75" customHeight="1">
      <c r="A42" s="128" t="s">
        <v>316</v>
      </c>
      <c r="B42" s="198"/>
      <c r="C42" s="297"/>
      <c r="D42" s="132"/>
      <c r="E42" s="132"/>
      <c r="F42" s="295"/>
      <c r="G42" s="52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2.75" customHeight="1">
      <c r="A43" s="128"/>
      <c r="B43" s="135"/>
      <c r="C43" s="297"/>
      <c r="D43" s="132"/>
      <c r="E43" s="132"/>
      <c r="F43" s="295"/>
      <c r="G43" s="52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8.75" customHeight="1">
      <c r="A44" s="142"/>
      <c r="B44" s="143"/>
      <c r="C44" s="361">
        <f t="shared" ref="C44:E44" si="3">SUM(C34:C43)</f>
        <v>3562</v>
      </c>
      <c r="D44" s="146">
        <f t="shared" si="3"/>
        <v>93251.16</v>
      </c>
      <c r="E44" s="146">
        <f t="shared" si="3"/>
        <v>97099.46</v>
      </c>
      <c r="F44" s="307"/>
      <c r="G44" s="52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37.5" customHeight="1">
      <c r="A45" s="179" t="s">
        <v>3172</v>
      </c>
      <c r="B45" s="149"/>
      <c r="C45" s="370" t="s">
        <v>299</v>
      </c>
      <c r="D45" s="113" t="s">
        <v>9</v>
      </c>
      <c r="E45" s="284" t="s">
        <v>10</v>
      </c>
      <c r="F45" s="354" t="s">
        <v>11</v>
      </c>
      <c r="G45" s="52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2.75" customHeight="1">
      <c r="A46" s="116" t="s">
        <v>302</v>
      </c>
      <c r="B46" s="404"/>
      <c r="C46" s="527"/>
      <c r="D46" s="132"/>
      <c r="E46" s="183"/>
      <c r="F46" s="290" t="s">
        <v>3138</v>
      </c>
      <c r="G46" s="52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2.75" customHeight="1">
      <c r="A47" s="122" t="s">
        <v>303</v>
      </c>
      <c r="B47" s="106" t="s">
        <v>304</v>
      </c>
      <c r="C47" s="297"/>
      <c r="D47" s="132"/>
      <c r="E47" s="186"/>
      <c r="F47" s="300" t="s">
        <v>3173</v>
      </c>
      <c r="G47" s="52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2.75" customHeight="1">
      <c r="A48" s="128" t="s">
        <v>1225</v>
      </c>
      <c r="B48" s="129" t="s">
        <v>1226</v>
      </c>
      <c r="C48" s="528">
        <v>928.0</v>
      </c>
      <c r="D48" s="132">
        <v>24548.15</v>
      </c>
      <c r="E48" s="132">
        <v>25546.65</v>
      </c>
      <c r="F48" s="300" t="s">
        <v>3174</v>
      </c>
      <c r="G48" s="52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2.75" customHeight="1">
      <c r="A49" s="128" t="s">
        <v>1939</v>
      </c>
      <c r="B49" s="129" t="s">
        <v>1226</v>
      </c>
      <c r="C49" s="528">
        <v>1040.0</v>
      </c>
      <c r="D49" s="132">
        <v>27618.13</v>
      </c>
      <c r="E49" s="132">
        <v>28738.83</v>
      </c>
      <c r="F49" s="525" t="s">
        <v>3175</v>
      </c>
      <c r="G49" s="52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2.75" customHeight="1">
      <c r="A50" s="302"/>
      <c r="B50" s="301"/>
      <c r="C50" s="528"/>
      <c r="D50" s="132"/>
      <c r="E50" s="132"/>
      <c r="F50" s="295" t="s">
        <v>3176</v>
      </c>
      <c r="G50" s="52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2.75" customHeight="1">
      <c r="A51" s="302" t="s">
        <v>3177</v>
      </c>
      <c r="B51" s="301" t="s">
        <v>3178</v>
      </c>
      <c r="C51" s="297"/>
      <c r="D51" s="132"/>
      <c r="E51" s="132"/>
      <c r="F51" s="295" t="s">
        <v>3179</v>
      </c>
      <c r="G51" s="52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75" customHeight="1">
      <c r="A52" s="302"/>
      <c r="B52" s="301"/>
      <c r="C52" s="297"/>
      <c r="D52" s="132"/>
      <c r="E52" s="132"/>
      <c r="F52" s="316" t="s">
        <v>3180</v>
      </c>
      <c r="G52" s="52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2.75" customHeight="1">
      <c r="A53" s="128" t="s">
        <v>316</v>
      </c>
      <c r="B53" s="291"/>
      <c r="C53" s="297"/>
      <c r="D53" s="132"/>
      <c r="E53" s="132"/>
      <c r="F53" s="316"/>
      <c r="G53" s="52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8.75" customHeight="1">
      <c r="A54" s="142"/>
      <c r="B54" s="382"/>
      <c r="C54" s="361">
        <f t="shared" ref="C54:E54" si="4">SUM(C46:C53)</f>
        <v>1968</v>
      </c>
      <c r="D54" s="146">
        <f t="shared" si="4"/>
        <v>52166.28</v>
      </c>
      <c r="E54" s="146">
        <f t="shared" si="4"/>
        <v>54285.48</v>
      </c>
      <c r="F54" s="307"/>
      <c r="G54" s="52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40.5" customHeight="1">
      <c r="A55" s="110" t="s">
        <v>3181</v>
      </c>
      <c r="B55" s="111"/>
      <c r="C55" s="112" t="s">
        <v>299</v>
      </c>
      <c r="D55" s="113" t="s">
        <v>9</v>
      </c>
      <c r="E55" s="284" t="s">
        <v>10</v>
      </c>
      <c r="F55" s="311" t="s">
        <v>11</v>
      </c>
      <c r="G55" s="52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2.75" customHeight="1">
      <c r="A56" s="116" t="s">
        <v>572</v>
      </c>
      <c r="B56" s="117"/>
      <c r="C56" s="189"/>
      <c r="D56" s="183"/>
      <c r="E56" s="183"/>
      <c r="F56" s="290" t="s">
        <v>3138</v>
      </c>
      <c r="G56" s="52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2.75" customHeight="1">
      <c r="A57" s="197" t="s">
        <v>303</v>
      </c>
      <c r="B57" s="198" t="s">
        <v>304</v>
      </c>
      <c r="C57" s="191"/>
      <c r="D57" s="186"/>
      <c r="E57" s="186"/>
      <c r="F57" s="300" t="s">
        <v>3182</v>
      </c>
      <c r="G57" s="52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2.75" customHeight="1">
      <c r="A58" s="128" t="s">
        <v>1939</v>
      </c>
      <c r="B58" s="129" t="s">
        <v>1226</v>
      </c>
      <c r="C58" s="192">
        <v>1040.0</v>
      </c>
      <c r="D58" s="298">
        <v>27181.33</v>
      </c>
      <c r="E58" s="298">
        <v>28437.33</v>
      </c>
      <c r="F58" s="300" t="s">
        <v>3183</v>
      </c>
      <c r="G58" s="52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2.75" customHeight="1">
      <c r="A59" s="128"/>
      <c r="B59" s="395"/>
      <c r="C59" s="192"/>
      <c r="D59" s="298"/>
      <c r="E59" s="298"/>
      <c r="F59" s="525" t="s">
        <v>3184</v>
      </c>
      <c r="G59" s="52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2.75" customHeight="1">
      <c r="A60" s="128" t="s">
        <v>3185</v>
      </c>
      <c r="B60" s="395"/>
      <c r="C60" s="192"/>
      <c r="D60" s="298"/>
      <c r="E60" s="298"/>
      <c r="F60" s="295" t="s">
        <v>3186</v>
      </c>
      <c r="G60" s="52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2.75" customHeight="1">
      <c r="A61" s="128"/>
      <c r="B61" s="395"/>
      <c r="C61" s="192"/>
      <c r="D61" s="132"/>
      <c r="E61" s="132"/>
      <c r="F61" s="295" t="s">
        <v>3187</v>
      </c>
      <c r="G61" s="52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0" customHeight="1">
      <c r="A62" s="128" t="s">
        <v>316</v>
      </c>
      <c r="B62" s="395"/>
      <c r="C62" s="192"/>
      <c r="D62" s="132"/>
      <c r="E62" s="132"/>
      <c r="F62" s="316" t="s">
        <v>3188</v>
      </c>
      <c r="G62" s="52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8.75" customHeight="1">
      <c r="A63" s="142"/>
      <c r="B63" s="143"/>
      <c r="C63" s="355">
        <f t="shared" ref="C63:E63" si="5">SUM(C56:C62)</f>
        <v>1040</v>
      </c>
      <c r="D63" s="146">
        <f t="shared" si="5"/>
        <v>27181.33</v>
      </c>
      <c r="E63" s="146">
        <f t="shared" si="5"/>
        <v>28437.33</v>
      </c>
      <c r="F63" s="307"/>
      <c r="G63" s="52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40.5" customHeight="1">
      <c r="A64" s="110" t="s">
        <v>3189</v>
      </c>
      <c r="B64" s="111"/>
      <c r="C64" s="112" t="s">
        <v>299</v>
      </c>
      <c r="D64" s="113" t="s">
        <v>9</v>
      </c>
      <c r="E64" s="284" t="s">
        <v>10</v>
      </c>
      <c r="F64" s="311" t="s">
        <v>11</v>
      </c>
      <c r="G64" s="52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2.75" customHeight="1">
      <c r="A65" s="116" t="s">
        <v>637</v>
      </c>
      <c r="B65" s="117"/>
      <c r="C65" s="189"/>
      <c r="D65" s="183"/>
      <c r="E65" s="183"/>
      <c r="F65" s="290" t="s">
        <v>3138</v>
      </c>
      <c r="G65" s="52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2.75" customHeight="1">
      <c r="A66" s="197" t="s">
        <v>303</v>
      </c>
      <c r="B66" s="198" t="s">
        <v>304</v>
      </c>
      <c r="C66" s="191"/>
      <c r="D66" s="186"/>
      <c r="E66" s="186"/>
      <c r="F66" s="300" t="s">
        <v>3190</v>
      </c>
      <c r="G66" s="52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2.75" customHeight="1">
      <c r="A67" s="128" t="s">
        <v>1225</v>
      </c>
      <c r="B67" s="129" t="s">
        <v>1226</v>
      </c>
      <c r="C67" s="192">
        <v>1000.0</v>
      </c>
      <c r="D67" s="298">
        <v>23460.06</v>
      </c>
      <c r="E67" s="298">
        <v>24480.228</v>
      </c>
      <c r="F67" s="300" t="s">
        <v>3191</v>
      </c>
      <c r="G67" s="52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2.75" customHeight="1">
      <c r="A68" s="128" t="s">
        <v>1939</v>
      </c>
      <c r="B68" s="129" t="s">
        <v>1226</v>
      </c>
      <c r="C68" s="192">
        <v>1000.0</v>
      </c>
      <c r="D68" s="298">
        <v>23440.12</v>
      </c>
      <c r="E68" s="298">
        <v>24460.102</v>
      </c>
      <c r="F68" s="525" t="s">
        <v>3192</v>
      </c>
      <c r="G68" s="52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2.75" customHeight="1">
      <c r="A69" s="169"/>
      <c r="B69" s="247"/>
      <c r="C69" s="192"/>
      <c r="D69" s="298"/>
      <c r="E69" s="298"/>
      <c r="F69" s="295" t="s">
        <v>3176</v>
      </c>
      <c r="G69" s="52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2.75" customHeight="1">
      <c r="A70" s="302" t="s">
        <v>3193</v>
      </c>
      <c r="B70" s="247" t="s">
        <v>3194</v>
      </c>
      <c r="C70" s="192"/>
      <c r="D70" s="132"/>
      <c r="E70" s="132"/>
      <c r="F70" s="295" t="s">
        <v>3195</v>
      </c>
      <c r="G70" s="52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0" customHeight="1">
      <c r="A71" s="302"/>
      <c r="B71" s="247"/>
      <c r="C71" s="192"/>
      <c r="D71" s="132"/>
      <c r="E71" s="132"/>
      <c r="F71" s="316" t="s">
        <v>3196</v>
      </c>
      <c r="G71" s="52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0" customHeight="1">
      <c r="A72" s="128" t="s">
        <v>316</v>
      </c>
      <c r="B72" s="395"/>
      <c r="C72" s="192"/>
      <c r="D72" s="132"/>
      <c r="E72" s="132"/>
      <c r="F72" s="316"/>
      <c r="G72" s="52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8.75" customHeight="1">
      <c r="A73" s="142"/>
      <c r="B73" s="143"/>
      <c r="C73" s="355">
        <f t="shared" ref="C73:E73" si="6">SUM(C65:C72)</f>
        <v>2000</v>
      </c>
      <c r="D73" s="146">
        <f t="shared" si="6"/>
        <v>46900.18</v>
      </c>
      <c r="E73" s="146">
        <f t="shared" si="6"/>
        <v>48940.33</v>
      </c>
      <c r="F73" s="307"/>
      <c r="G73" s="52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8.75" customHeight="1">
      <c r="A74" s="203"/>
      <c r="B74" s="143"/>
      <c r="C74" s="144"/>
      <c r="D74" s="145"/>
      <c r="E74" s="146"/>
      <c r="F74" s="147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8.0" customHeight="1">
      <c r="A75" s="266"/>
      <c r="B75" s="267"/>
      <c r="C75" s="268" t="s">
        <v>292</v>
      </c>
      <c r="D75" s="269" t="s">
        <v>292</v>
      </c>
      <c r="E75" s="270" t="s">
        <v>292</v>
      </c>
      <c r="F75" s="271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8.75" customHeight="1">
      <c r="A76" s="272"/>
      <c r="B76" s="273"/>
      <c r="C76" s="274">
        <f t="shared" ref="C76:E76" si="7">SUM(C20+C32+C44+C54+C63+C73)</f>
        <v>17973</v>
      </c>
      <c r="D76" s="98">
        <f t="shared" si="7"/>
        <v>466389.48</v>
      </c>
      <c r="E76" s="98">
        <f t="shared" si="7"/>
        <v>485852.78</v>
      </c>
      <c r="F76" s="277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75" customHeight="1">
      <c r="A77" s="4"/>
      <c r="B77" s="101"/>
      <c r="C77" s="4"/>
      <c r="D77" s="102"/>
      <c r="E77" s="102"/>
      <c r="F77" s="10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2.75" customHeight="1">
      <c r="A78" s="4"/>
      <c r="B78" s="101"/>
      <c r="C78" s="4"/>
      <c r="D78" s="102"/>
      <c r="E78" s="102"/>
      <c r="F78" s="10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F1"/>
    <mergeCell ref="A2:F2"/>
    <mergeCell ref="A3:F3"/>
    <mergeCell ref="A4:F4"/>
    <mergeCell ref="D7:E7"/>
    <mergeCell ref="A9:F9"/>
    <mergeCell ref="A11:B11"/>
  </mergeCells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2.63" defaultRowHeight="15.0"/>
  <cols>
    <col customWidth="1" min="1" max="1" width="55.88"/>
    <col customWidth="1" min="2" max="2" width="62.88"/>
    <col customWidth="1" min="3" max="3" width="14.88"/>
    <col customWidth="1" min="4" max="4" width="21.0"/>
    <col customWidth="1" min="5" max="5" width="21.63"/>
    <col customWidth="1" min="6" max="6" width="73.38"/>
    <col customWidth="1" min="7" max="7" width="50.13"/>
    <col customWidth="1" min="8" max="26" width="8.0"/>
  </cols>
  <sheetData>
    <row r="1" ht="12.75" customHeight="1">
      <c r="A1" s="1" t="s">
        <v>293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2.75" customHeight="1">
      <c r="A2" s="5" t="s">
        <v>707</v>
      </c>
      <c r="B2" s="6"/>
      <c r="C2" s="6"/>
      <c r="D2" s="6"/>
      <c r="E2" s="6"/>
      <c r="F2" s="7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2.75" customHeight="1">
      <c r="A3" s="5" t="s">
        <v>2</v>
      </c>
      <c r="B3" s="6"/>
      <c r="C3" s="6"/>
      <c r="D3" s="6"/>
      <c r="E3" s="6"/>
      <c r="F3" s="7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2.75" customHeight="1">
      <c r="A4" s="5" t="s">
        <v>3</v>
      </c>
      <c r="B4" s="6"/>
      <c r="C4" s="6"/>
      <c r="D4" s="6"/>
      <c r="E4" s="6"/>
      <c r="F4" s="7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2.75" customHeight="1">
      <c r="A5" s="8"/>
      <c r="B5" s="9"/>
      <c r="C5" s="10"/>
      <c r="D5" s="11"/>
      <c r="E5" s="11"/>
      <c r="F5" s="12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2.75" customHeight="1">
      <c r="A6" s="13"/>
      <c r="B6" s="9"/>
      <c r="C6" s="10"/>
      <c r="D6" s="14"/>
      <c r="E6" s="14"/>
      <c r="F6" s="15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30.0" customHeight="1">
      <c r="A7" s="16"/>
      <c r="B7" s="9"/>
      <c r="C7" s="17"/>
      <c r="D7" s="18"/>
      <c r="E7" s="19"/>
      <c r="F7" s="15" t="s">
        <v>3197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0.0" customHeight="1">
      <c r="A8" s="20" t="s">
        <v>296</v>
      </c>
      <c r="B8" s="21"/>
      <c r="C8" s="22"/>
      <c r="D8" s="23"/>
      <c r="E8" s="23"/>
      <c r="F8" s="2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7.75" customHeight="1">
      <c r="A9" s="25" t="s">
        <v>709</v>
      </c>
      <c r="B9" s="26"/>
      <c r="C9" s="26"/>
      <c r="D9" s="26"/>
      <c r="E9" s="26"/>
      <c r="F9" s="27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8.5" customHeight="1">
      <c r="A10" s="105"/>
      <c r="B10" s="106"/>
      <c r="C10" s="107"/>
      <c r="D10" s="108"/>
      <c r="E10" s="108"/>
      <c r="F10" s="109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</row>
    <row r="11" ht="40.5" customHeight="1">
      <c r="A11" s="110" t="s">
        <v>3198</v>
      </c>
      <c r="B11" s="111"/>
      <c r="C11" s="112" t="s">
        <v>299</v>
      </c>
      <c r="D11" s="113" t="s">
        <v>9</v>
      </c>
      <c r="E11" s="284" t="s">
        <v>10</v>
      </c>
      <c r="F11" s="311" t="s">
        <v>11</v>
      </c>
      <c r="G11" s="52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2.75" customHeight="1">
      <c r="A12" s="116" t="s">
        <v>637</v>
      </c>
      <c r="B12" s="117"/>
      <c r="C12" s="189"/>
      <c r="D12" s="183"/>
      <c r="E12" s="183"/>
      <c r="F12" s="290" t="s">
        <v>3199</v>
      </c>
      <c r="G12" s="52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2.75" customHeight="1">
      <c r="A13" s="197" t="s">
        <v>303</v>
      </c>
      <c r="B13" s="198" t="s">
        <v>304</v>
      </c>
      <c r="C13" s="191"/>
      <c r="D13" s="186"/>
      <c r="E13" s="186"/>
      <c r="F13" s="300" t="s">
        <v>3200</v>
      </c>
      <c r="G13" s="52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2.75" customHeight="1">
      <c r="A14" s="128" t="s">
        <v>308</v>
      </c>
      <c r="B14" s="129" t="s">
        <v>309</v>
      </c>
      <c r="C14" s="192">
        <v>175.0</v>
      </c>
      <c r="D14" s="132">
        <v>4098.68</v>
      </c>
      <c r="E14" s="132">
        <v>4310.13</v>
      </c>
      <c r="F14" s="300" t="s">
        <v>3201</v>
      </c>
      <c r="G14" s="52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2.75" customHeight="1">
      <c r="A15" s="302" t="s">
        <v>1086</v>
      </c>
      <c r="B15" s="201" t="s">
        <v>15</v>
      </c>
      <c r="C15" s="192">
        <v>5746.0</v>
      </c>
      <c r="D15" s="132">
        <v>134368.22</v>
      </c>
      <c r="E15" s="132">
        <v>141557.57</v>
      </c>
      <c r="F15" s="300" t="s">
        <v>3202</v>
      </c>
      <c r="G15" s="52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2.75" customHeight="1">
      <c r="A16" s="200"/>
      <c r="B16" s="198"/>
      <c r="C16" s="192"/>
      <c r="D16" s="132"/>
      <c r="E16" s="132"/>
      <c r="F16" s="295" t="s">
        <v>3203</v>
      </c>
      <c r="G16" s="52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0" customHeight="1">
      <c r="A17" s="200" t="s">
        <v>3204</v>
      </c>
      <c r="B17" s="198" t="s">
        <v>3205</v>
      </c>
      <c r="C17" s="192"/>
      <c r="D17" s="132"/>
      <c r="E17" s="132"/>
      <c r="F17" s="295" t="s">
        <v>3206</v>
      </c>
      <c r="G17" s="52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0" customHeight="1">
      <c r="A18" s="200" t="s">
        <v>3207</v>
      </c>
      <c r="B18" s="198" t="s">
        <v>3208</v>
      </c>
      <c r="C18" s="192"/>
      <c r="D18" s="132"/>
      <c r="E18" s="132"/>
      <c r="F18" s="316" t="s">
        <v>3209</v>
      </c>
      <c r="G18" s="52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0" customHeight="1">
      <c r="A19" s="200" t="s">
        <v>3210</v>
      </c>
      <c r="B19" s="395"/>
      <c r="C19" s="192"/>
      <c r="D19" s="132"/>
      <c r="E19" s="132"/>
      <c r="F19" s="316"/>
      <c r="G19" s="52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0" customHeight="1">
      <c r="A20" s="128"/>
      <c r="B20" s="395"/>
      <c r="C20" s="192"/>
      <c r="D20" s="132"/>
      <c r="E20" s="132"/>
      <c r="F20" s="316"/>
      <c r="G20" s="52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0" customHeight="1">
      <c r="A21" s="128" t="s">
        <v>316</v>
      </c>
      <c r="B21" s="198"/>
      <c r="C21" s="192"/>
      <c r="D21" s="132"/>
      <c r="E21" s="132"/>
      <c r="F21" s="316"/>
      <c r="G21" s="52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8.75" customHeight="1">
      <c r="A22" s="142"/>
      <c r="B22" s="143"/>
      <c r="C22" s="355">
        <f t="shared" ref="C22:E22" si="1">SUM(C12:C21)</f>
        <v>5921</v>
      </c>
      <c r="D22" s="146">
        <f t="shared" si="1"/>
        <v>138466.9</v>
      </c>
      <c r="E22" s="146">
        <f t="shared" si="1"/>
        <v>145867.7</v>
      </c>
      <c r="F22" s="307"/>
      <c r="G22" s="52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44.25" customHeight="1">
      <c r="A23" s="179" t="s">
        <v>3211</v>
      </c>
      <c r="B23" s="149"/>
      <c r="C23" s="112" t="s">
        <v>299</v>
      </c>
      <c r="D23" s="113" t="s">
        <v>9</v>
      </c>
      <c r="E23" s="284" t="s">
        <v>10</v>
      </c>
      <c r="F23" s="354" t="s">
        <v>11</v>
      </c>
      <c r="G23" s="52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2.75" customHeight="1">
      <c r="A24" s="116" t="s">
        <v>572</v>
      </c>
      <c r="B24" s="117"/>
      <c r="C24" s="189"/>
      <c r="D24" s="183"/>
      <c r="E24" s="183"/>
      <c r="F24" s="536" t="s">
        <v>3212</v>
      </c>
      <c r="G24" s="52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2.75" customHeight="1">
      <c r="A25" s="122" t="s">
        <v>303</v>
      </c>
      <c r="B25" s="123" t="s">
        <v>304</v>
      </c>
      <c r="C25" s="191"/>
      <c r="D25" s="186"/>
      <c r="E25" s="186"/>
      <c r="F25" s="300" t="s">
        <v>3213</v>
      </c>
      <c r="G25" s="52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2.75" customHeight="1">
      <c r="A26" s="128" t="s">
        <v>308</v>
      </c>
      <c r="B26" s="129" t="s">
        <v>309</v>
      </c>
      <c r="C26" s="192">
        <v>167.0</v>
      </c>
      <c r="D26" s="132">
        <v>4156.29</v>
      </c>
      <c r="E26" s="132">
        <v>4334.075</v>
      </c>
      <c r="F26" s="300" t="s">
        <v>3214</v>
      </c>
      <c r="G26" s="52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2.75" customHeight="1">
      <c r="A27" s="302" t="s">
        <v>1086</v>
      </c>
      <c r="B27" s="201" t="s">
        <v>15</v>
      </c>
      <c r="C27" s="192">
        <v>6543.0</v>
      </c>
      <c r="D27" s="132">
        <v>160662.3</v>
      </c>
      <c r="E27" s="132">
        <v>169207.515</v>
      </c>
      <c r="F27" s="300" t="s">
        <v>3215</v>
      </c>
      <c r="G27" s="52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2.75" customHeight="1">
      <c r="A28" s="200"/>
      <c r="B28" s="198"/>
      <c r="C28" s="192"/>
      <c r="D28" s="132"/>
      <c r="E28" s="132"/>
      <c r="F28" s="295" t="s">
        <v>3216</v>
      </c>
      <c r="G28" s="52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2.75" customHeight="1">
      <c r="A29" s="200" t="s">
        <v>3217</v>
      </c>
      <c r="B29" s="198" t="s">
        <v>3218</v>
      </c>
      <c r="C29" s="192"/>
      <c r="D29" s="132"/>
      <c r="E29" s="132"/>
      <c r="F29" s="295" t="s">
        <v>3219</v>
      </c>
      <c r="G29" s="52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2.75" customHeight="1">
      <c r="A30" s="200" t="s">
        <v>3220</v>
      </c>
      <c r="B30" s="198" t="s">
        <v>3221</v>
      </c>
      <c r="C30" s="192"/>
      <c r="D30" s="132"/>
      <c r="E30" s="132"/>
      <c r="F30" s="316" t="s">
        <v>3222</v>
      </c>
      <c r="G30" s="52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2.75" customHeight="1">
      <c r="A31" s="200" t="s">
        <v>3223</v>
      </c>
      <c r="B31" s="198" t="s">
        <v>3224</v>
      </c>
      <c r="C31" s="192"/>
      <c r="D31" s="132"/>
      <c r="E31" s="132"/>
      <c r="F31" s="295"/>
      <c r="G31" s="52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2.75" customHeight="1">
      <c r="A32" s="128"/>
      <c r="B32" s="123"/>
      <c r="C32" s="192"/>
      <c r="D32" s="132"/>
      <c r="E32" s="132"/>
      <c r="F32" s="316"/>
      <c r="G32" s="52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2.75" customHeight="1">
      <c r="A33" s="128" t="s">
        <v>316</v>
      </c>
      <c r="B33" s="123"/>
      <c r="C33" s="192"/>
      <c r="D33" s="132"/>
      <c r="E33" s="132"/>
      <c r="F33" s="316"/>
      <c r="G33" s="52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8.75" customHeight="1">
      <c r="A34" s="142"/>
      <c r="B34" s="143"/>
      <c r="C34" s="355">
        <f t="shared" ref="C34:E34" si="2">SUM(C24:C33)</f>
        <v>6710</v>
      </c>
      <c r="D34" s="146">
        <f t="shared" si="2"/>
        <v>164818.59</v>
      </c>
      <c r="E34" s="146">
        <f t="shared" si="2"/>
        <v>173541.59</v>
      </c>
      <c r="F34" s="307"/>
      <c r="G34" s="52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48.75" customHeight="1">
      <c r="A35" s="179" t="s">
        <v>3225</v>
      </c>
      <c r="B35" s="149"/>
      <c r="C35" s="362" t="s">
        <v>299</v>
      </c>
      <c r="D35" s="113" t="s">
        <v>9</v>
      </c>
      <c r="E35" s="284" t="s">
        <v>10</v>
      </c>
      <c r="F35" s="311" t="s">
        <v>11</v>
      </c>
      <c r="G35" s="52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36" t="s">
        <v>523</v>
      </c>
      <c r="B36" s="151"/>
      <c r="C36" s="345"/>
      <c r="D36" s="120"/>
      <c r="E36" s="120"/>
      <c r="F36" s="290" t="s">
        <v>3226</v>
      </c>
      <c r="G36" s="52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122" t="s">
        <v>303</v>
      </c>
      <c r="B37" s="123" t="s">
        <v>304</v>
      </c>
      <c r="C37" s="364"/>
      <c r="D37" s="126"/>
      <c r="E37" s="126"/>
      <c r="F37" s="300" t="s">
        <v>3227</v>
      </c>
      <c r="G37" s="52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2.75" customHeight="1">
      <c r="A38" s="302" t="s">
        <v>1086</v>
      </c>
      <c r="B38" s="201" t="s">
        <v>15</v>
      </c>
      <c r="C38" s="297">
        <v>1072.0</v>
      </c>
      <c r="D38" s="132">
        <v>28067.23</v>
      </c>
      <c r="E38" s="132">
        <v>29019.425</v>
      </c>
      <c r="F38" s="300" t="s">
        <v>3228</v>
      </c>
      <c r="G38" s="52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2.75" customHeight="1">
      <c r="A39" s="128" t="s">
        <v>308</v>
      </c>
      <c r="B39" s="129" t="s">
        <v>309</v>
      </c>
      <c r="C39" s="297">
        <v>1073.0</v>
      </c>
      <c r="D39" s="132">
        <v>27316.89</v>
      </c>
      <c r="E39" s="132">
        <v>29045.945</v>
      </c>
      <c r="F39" s="300" t="s">
        <v>3229</v>
      </c>
      <c r="G39" s="52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2.75" customHeight="1">
      <c r="A40" s="302"/>
      <c r="B40" s="198"/>
      <c r="C40" s="297"/>
      <c r="D40" s="132"/>
      <c r="E40" s="132"/>
      <c r="F40" s="295" t="s">
        <v>3230</v>
      </c>
      <c r="G40" s="52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2.75" customHeight="1">
      <c r="A41" s="537" t="s">
        <v>3231</v>
      </c>
      <c r="B41" s="538" t="s">
        <v>3232</v>
      </c>
      <c r="C41" s="297"/>
      <c r="D41" s="132"/>
      <c r="E41" s="132"/>
      <c r="F41" s="295" t="s">
        <v>3233</v>
      </c>
      <c r="G41" s="52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2.75" customHeight="1">
      <c r="A42" s="302"/>
      <c r="B42" s="198"/>
      <c r="C42" s="297"/>
      <c r="D42" s="132"/>
      <c r="E42" s="132"/>
      <c r="F42" s="316" t="s">
        <v>3234</v>
      </c>
      <c r="G42" s="52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2.75" customHeight="1">
      <c r="A43" s="135" t="s">
        <v>3235</v>
      </c>
      <c r="B43" s="135"/>
      <c r="C43" s="297"/>
      <c r="D43" s="132"/>
      <c r="E43" s="132"/>
      <c r="F43" s="295"/>
      <c r="G43" s="52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8.75" customHeight="1">
      <c r="A44" s="399"/>
      <c r="B44" s="19"/>
      <c r="C44" s="361">
        <f>SUM(C38:C43)</f>
        <v>2145</v>
      </c>
      <c r="D44" s="146">
        <f t="shared" ref="D44:E44" si="3">SUM(D36:D43)</f>
        <v>55384.12</v>
      </c>
      <c r="E44" s="146">
        <f t="shared" si="3"/>
        <v>58065.37</v>
      </c>
      <c r="F44" s="307"/>
      <c r="G44" s="52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42.0" customHeight="1">
      <c r="A45" s="281" t="s">
        <v>3236</v>
      </c>
      <c r="B45" s="282"/>
      <c r="C45" s="362" t="s">
        <v>299</v>
      </c>
      <c r="D45" s="113" t="s">
        <v>9</v>
      </c>
      <c r="E45" s="284" t="s">
        <v>10</v>
      </c>
      <c r="F45" s="311" t="s">
        <v>11</v>
      </c>
      <c r="G45" s="52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9.5" customHeight="1">
      <c r="A46" s="187" t="s">
        <v>319</v>
      </c>
      <c r="B46" s="539"/>
      <c r="C46" s="287"/>
      <c r="D46" s="183"/>
      <c r="E46" s="183"/>
      <c r="F46" s="290" t="s">
        <v>3237</v>
      </c>
      <c r="G46" s="52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2.75" customHeight="1">
      <c r="A47" s="190" t="s">
        <v>303</v>
      </c>
      <c r="B47" s="161" t="s">
        <v>304</v>
      </c>
      <c r="C47" s="292"/>
      <c r="D47" s="186"/>
      <c r="E47" s="186"/>
      <c r="F47" s="300" t="s">
        <v>3238</v>
      </c>
      <c r="G47" s="52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2.75" customHeight="1">
      <c r="A48" s="173" t="s">
        <v>308</v>
      </c>
      <c r="B48" s="174" t="s">
        <v>309</v>
      </c>
      <c r="C48" s="377">
        <v>2826.0</v>
      </c>
      <c r="D48" s="132">
        <v>74371.34</v>
      </c>
      <c r="E48" s="132">
        <v>77694.51</v>
      </c>
      <c r="F48" s="300" t="s">
        <v>3239</v>
      </c>
      <c r="G48" s="52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2.75" customHeight="1">
      <c r="A49" s="416" t="s">
        <v>1086</v>
      </c>
      <c r="B49" s="174" t="s">
        <v>15</v>
      </c>
      <c r="C49" s="297">
        <v>16603.0</v>
      </c>
      <c r="D49" s="132">
        <v>430500.21</v>
      </c>
      <c r="E49" s="132">
        <v>453003.84</v>
      </c>
      <c r="F49" s="300" t="s">
        <v>3240</v>
      </c>
      <c r="G49" s="52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2.75" customHeight="1">
      <c r="A50" s="416"/>
      <c r="B50" s="161"/>
      <c r="C50" s="297"/>
      <c r="D50" s="132"/>
      <c r="E50" s="132"/>
      <c r="F50" s="295" t="s">
        <v>3241</v>
      </c>
      <c r="G50" s="52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2.75" customHeight="1">
      <c r="A51" s="416" t="s">
        <v>3242</v>
      </c>
      <c r="B51" s="161" t="s">
        <v>3243</v>
      </c>
      <c r="C51" s="297"/>
      <c r="D51" s="132"/>
      <c r="E51" s="132"/>
      <c r="F51" s="295" t="s">
        <v>3244</v>
      </c>
      <c r="G51" s="52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75" customHeight="1">
      <c r="A52" s="416" t="s">
        <v>3245</v>
      </c>
      <c r="B52" s="161" t="s">
        <v>3246</v>
      </c>
      <c r="C52" s="297"/>
      <c r="D52" s="132"/>
      <c r="E52" s="132"/>
      <c r="F52" s="316" t="s">
        <v>3247</v>
      </c>
      <c r="G52" s="52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2.75" customHeight="1">
      <c r="A53" s="416" t="s">
        <v>3248</v>
      </c>
      <c r="B53" s="161" t="s">
        <v>3249</v>
      </c>
      <c r="C53" s="297"/>
      <c r="D53" s="132"/>
      <c r="E53" s="132"/>
      <c r="F53" s="295"/>
      <c r="G53" s="52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2.75" customHeight="1">
      <c r="A54" s="416" t="s">
        <v>3250</v>
      </c>
      <c r="B54" s="161" t="s">
        <v>3251</v>
      </c>
      <c r="C54" s="297"/>
      <c r="D54" s="132"/>
      <c r="E54" s="132"/>
      <c r="F54" s="295"/>
      <c r="G54" s="52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2.75" customHeight="1">
      <c r="A55" s="416" t="s">
        <v>3252</v>
      </c>
      <c r="B55" s="161" t="s">
        <v>3253</v>
      </c>
      <c r="C55" s="297"/>
      <c r="D55" s="132"/>
      <c r="E55" s="132"/>
      <c r="F55" s="295"/>
      <c r="G55" s="52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2.75" customHeight="1">
      <c r="A56" s="416" t="s">
        <v>3254</v>
      </c>
      <c r="B56" s="161" t="s">
        <v>3255</v>
      </c>
      <c r="C56" s="297"/>
      <c r="D56" s="132"/>
      <c r="E56" s="132"/>
      <c r="F56" s="295"/>
      <c r="G56" s="52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2.75" customHeight="1">
      <c r="A57" s="416" t="s">
        <v>3256</v>
      </c>
      <c r="B57" s="161" t="s">
        <v>3257</v>
      </c>
      <c r="C57" s="297"/>
      <c r="D57" s="132"/>
      <c r="E57" s="132"/>
      <c r="F57" s="295"/>
      <c r="G57" s="52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2.75" customHeight="1">
      <c r="A58" s="416" t="s">
        <v>3258</v>
      </c>
      <c r="B58" s="161" t="s">
        <v>3259</v>
      </c>
      <c r="C58" s="297"/>
      <c r="D58" s="132"/>
      <c r="E58" s="132"/>
      <c r="F58" s="316"/>
      <c r="G58" s="52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2.75" customHeight="1">
      <c r="A59" s="416" t="s">
        <v>3260</v>
      </c>
      <c r="B59" s="161" t="s">
        <v>3261</v>
      </c>
      <c r="C59" s="297"/>
      <c r="D59" s="132"/>
      <c r="E59" s="132"/>
      <c r="F59" s="316"/>
      <c r="G59" s="52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2.75" customHeight="1">
      <c r="A60" s="135"/>
      <c r="B60" s="106"/>
      <c r="C60" s="297"/>
      <c r="D60" s="132"/>
      <c r="E60" s="132"/>
      <c r="F60" s="316"/>
      <c r="G60" s="52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2.75" customHeight="1">
      <c r="A61" s="135" t="s">
        <v>1143</v>
      </c>
      <c r="B61" s="123"/>
      <c r="C61" s="297"/>
      <c r="D61" s="132"/>
      <c r="E61" s="132"/>
      <c r="F61" s="316"/>
      <c r="G61" s="52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8.75" customHeight="1">
      <c r="A62" s="142"/>
      <c r="B62" s="143"/>
      <c r="C62" s="361">
        <f t="shared" ref="C62:E62" si="4">SUM(C46:C61)</f>
        <v>19429</v>
      </c>
      <c r="D62" s="146">
        <f t="shared" si="4"/>
        <v>504871.55</v>
      </c>
      <c r="E62" s="146">
        <f t="shared" si="4"/>
        <v>530698.35</v>
      </c>
      <c r="F62" s="358"/>
      <c r="G62" s="52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44.25" customHeight="1">
      <c r="A63" s="179" t="s">
        <v>3262</v>
      </c>
      <c r="B63" s="149"/>
      <c r="C63" s="112" t="s">
        <v>299</v>
      </c>
      <c r="D63" s="113" t="s">
        <v>9</v>
      </c>
      <c r="E63" s="284" t="s">
        <v>10</v>
      </c>
      <c r="F63" s="311" t="s">
        <v>11</v>
      </c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2.75" customHeight="1">
      <c r="A64" s="194" t="s">
        <v>440</v>
      </c>
      <c r="B64" s="195"/>
      <c r="C64" s="287"/>
      <c r="D64" s="390"/>
      <c r="E64" s="183"/>
      <c r="F64" s="290" t="s">
        <v>3263</v>
      </c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2.75" customHeight="1">
      <c r="A65" s="122" t="s">
        <v>303</v>
      </c>
      <c r="B65" s="123" t="s">
        <v>304</v>
      </c>
      <c r="C65" s="292"/>
      <c r="D65" s="391"/>
      <c r="E65" s="186"/>
      <c r="F65" s="300" t="s">
        <v>3264</v>
      </c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2.75" customHeight="1">
      <c r="A66" s="128" t="s">
        <v>308</v>
      </c>
      <c r="B66" s="129" t="s">
        <v>309</v>
      </c>
      <c r="C66" s="297">
        <v>7262.0</v>
      </c>
      <c r="D66" s="392">
        <v>188292.25</v>
      </c>
      <c r="E66" s="246">
        <v>199422.527</v>
      </c>
      <c r="F66" s="300" t="s">
        <v>3265</v>
      </c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2.75" customHeight="1">
      <c r="A67" s="302" t="s">
        <v>1086</v>
      </c>
      <c r="B67" s="201" t="s">
        <v>15</v>
      </c>
      <c r="C67" s="297">
        <v>10861.0</v>
      </c>
      <c r="D67" s="392">
        <v>287650.65</v>
      </c>
      <c r="E67" s="132">
        <v>300065.473</v>
      </c>
      <c r="F67" s="300" t="s">
        <v>3266</v>
      </c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2.75" customHeight="1">
      <c r="A68" s="200"/>
      <c r="B68" s="198"/>
      <c r="C68" s="297"/>
      <c r="D68" s="392"/>
      <c r="E68" s="132"/>
      <c r="F68" s="295" t="s">
        <v>3267</v>
      </c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2.75" customHeight="1">
      <c r="A69" s="200" t="s">
        <v>3268</v>
      </c>
      <c r="B69" s="198" t="s">
        <v>3269</v>
      </c>
      <c r="C69" s="297"/>
      <c r="D69" s="392"/>
      <c r="E69" s="132"/>
      <c r="F69" s="295" t="s">
        <v>3270</v>
      </c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2.75" customHeight="1">
      <c r="A70" s="200" t="s">
        <v>3271</v>
      </c>
      <c r="B70" s="198" t="s">
        <v>3272</v>
      </c>
      <c r="C70" s="297"/>
      <c r="D70" s="392"/>
      <c r="E70" s="132"/>
      <c r="F70" s="316" t="s">
        <v>3273</v>
      </c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0" customHeight="1">
      <c r="A71" s="200" t="s">
        <v>3274</v>
      </c>
      <c r="B71" s="198" t="s">
        <v>3275</v>
      </c>
      <c r="C71" s="297"/>
      <c r="D71" s="392"/>
      <c r="E71" s="132"/>
      <c r="F71" s="316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0" customHeight="1">
      <c r="A72" s="200" t="s">
        <v>3276</v>
      </c>
      <c r="B72" s="198" t="s">
        <v>3277</v>
      </c>
      <c r="C72" s="297"/>
      <c r="D72" s="392"/>
      <c r="E72" s="132"/>
      <c r="F72" s="132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0" customHeight="1">
      <c r="A73" s="200" t="s">
        <v>3278</v>
      </c>
      <c r="B73" s="198" t="s">
        <v>3279</v>
      </c>
      <c r="C73" s="297"/>
      <c r="D73" s="392"/>
      <c r="E73" s="132"/>
      <c r="F73" s="316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0" customHeight="1">
      <c r="A74" s="200" t="s">
        <v>3280</v>
      </c>
      <c r="B74" s="198" t="s">
        <v>3281</v>
      </c>
      <c r="C74" s="297"/>
      <c r="D74" s="392"/>
      <c r="E74" s="132"/>
      <c r="F74" s="316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0" customHeight="1">
      <c r="A75" s="200" t="s">
        <v>3282</v>
      </c>
      <c r="B75" s="198" t="s">
        <v>3283</v>
      </c>
      <c r="C75" s="297"/>
      <c r="D75" s="392"/>
      <c r="E75" s="132"/>
      <c r="F75" s="316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0" customHeight="1">
      <c r="A76" s="200" t="s">
        <v>3284</v>
      </c>
      <c r="B76" s="198" t="s">
        <v>3285</v>
      </c>
      <c r="C76" s="297"/>
      <c r="D76" s="392"/>
      <c r="E76" s="132"/>
      <c r="F76" s="316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0" customHeight="1">
      <c r="A77" s="200" t="s">
        <v>3286</v>
      </c>
      <c r="B77" s="134"/>
      <c r="C77" s="297"/>
      <c r="D77" s="392"/>
      <c r="E77" s="132"/>
      <c r="F77" s="316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0" customHeight="1">
      <c r="A78" s="352"/>
      <c r="B78" s="134"/>
      <c r="C78" s="297"/>
      <c r="D78" s="392"/>
      <c r="E78" s="132"/>
      <c r="F78" s="316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0" customHeight="1">
      <c r="A79" s="128" t="s">
        <v>316</v>
      </c>
      <c r="B79" s="134"/>
      <c r="C79" s="297"/>
      <c r="D79" s="392"/>
      <c r="E79" s="132"/>
      <c r="F79" s="316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8.75" customHeight="1">
      <c r="A80" s="142"/>
      <c r="B80" s="143"/>
      <c r="C80" s="361">
        <f t="shared" ref="C80:E80" si="5">SUM(C64:C79)</f>
        <v>18123</v>
      </c>
      <c r="D80" s="393">
        <f t="shared" si="5"/>
        <v>475942.9</v>
      </c>
      <c r="E80" s="146">
        <f t="shared" si="5"/>
        <v>499488</v>
      </c>
      <c r="F80" s="39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41.25" customHeight="1">
      <c r="A81" s="110" t="s">
        <v>3287</v>
      </c>
      <c r="B81" s="111"/>
      <c r="C81" s="112" t="s">
        <v>299</v>
      </c>
      <c r="D81" s="113" t="s">
        <v>9</v>
      </c>
      <c r="E81" s="284" t="s">
        <v>10</v>
      </c>
      <c r="F81" s="311" t="s">
        <v>11</v>
      </c>
      <c r="G81" s="52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2.75" customHeight="1">
      <c r="A82" s="194" t="s">
        <v>385</v>
      </c>
      <c r="B82" s="195"/>
      <c r="C82" s="189"/>
      <c r="D82" s="183"/>
      <c r="E82" s="183"/>
      <c r="F82" s="536" t="s">
        <v>3288</v>
      </c>
      <c r="G82" s="52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2.75" customHeight="1">
      <c r="A83" s="197" t="s">
        <v>303</v>
      </c>
      <c r="B83" s="198" t="s">
        <v>304</v>
      </c>
      <c r="C83" s="191"/>
      <c r="D83" s="186"/>
      <c r="E83" s="186"/>
      <c r="F83" s="300" t="s">
        <v>3289</v>
      </c>
      <c r="G83" s="52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2.75" customHeight="1">
      <c r="A84" s="302" t="s">
        <v>1086</v>
      </c>
      <c r="B84" s="201" t="s">
        <v>15</v>
      </c>
      <c r="C84" s="192">
        <v>2055.0</v>
      </c>
      <c r="D84" s="132">
        <v>53808.75</v>
      </c>
      <c r="E84" s="186">
        <v>56583.0</v>
      </c>
      <c r="F84" s="300" t="s">
        <v>3290</v>
      </c>
      <c r="G84" s="52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2.75" customHeight="1">
      <c r="A85" s="200"/>
      <c r="B85" s="202"/>
      <c r="C85" s="192"/>
      <c r="D85" s="132"/>
      <c r="E85" s="132"/>
      <c r="F85" s="300" t="s">
        <v>3291</v>
      </c>
      <c r="G85" s="52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2.75" customHeight="1">
      <c r="A86" s="200" t="s">
        <v>3292</v>
      </c>
      <c r="B86" s="202" t="s">
        <v>3293</v>
      </c>
      <c r="C86" s="192"/>
      <c r="D86" s="132"/>
      <c r="E86" s="132"/>
      <c r="F86" s="295" t="s">
        <v>3294</v>
      </c>
      <c r="G86" s="52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2.75" customHeight="1">
      <c r="A87" s="200"/>
      <c r="B87" s="202"/>
      <c r="C87" s="192"/>
      <c r="D87" s="132"/>
      <c r="E87" s="132"/>
      <c r="F87" s="295" t="s">
        <v>3295</v>
      </c>
      <c r="G87" s="52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2.75" customHeight="1">
      <c r="A88" s="128" t="s">
        <v>316</v>
      </c>
      <c r="B88" s="202"/>
      <c r="C88" s="192"/>
      <c r="D88" s="132"/>
      <c r="E88" s="132"/>
      <c r="F88" s="316" t="s">
        <v>3296</v>
      </c>
      <c r="G88" s="52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8.75" customHeight="1">
      <c r="A89" s="203"/>
      <c r="B89" s="143"/>
      <c r="C89" s="355">
        <f t="shared" ref="C89:E89" si="6">SUM(C82:C88)</f>
        <v>2055</v>
      </c>
      <c r="D89" s="146">
        <f t="shared" si="6"/>
        <v>53808.75</v>
      </c>
      <c r="E89" s="146">
        <f t="shared" si="6"/>
        <v>56583</v>
      </c>
      <c r="F89" s="358"/>
      <c r="G89" s="52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40.5" customHeight="1">
      <c r="A90" s="179" t="s">
        <v>3297</v>
      </c>
      <c r="B90" s="149"/>
      <c r="C90" s="112" t="s">
        <v>299</v>
      </c>
      <c r="D90" s="113" t="s">
        <v>9</v>
      </c>
      <c r="E90" s="284" t="s">
        <v>10</v>
      </c>
      <c r="F90" s="311" t="s">
        <v>11</v>
      </c>
      <c r="G90" s="52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0" customHeight="1">
      <c r="A91" s="116" t="s">
        <v>486</v>
      </c>
      <c r="B91" s="117"/>
      <c r="C91" s="189"/>
      <c r="D91" s="183"/>
      <c r="E91" s="183"/>
      <c r="F91" s="290" t="s">
        <v>3298</v>
      </c>
      <c r="G91" s="52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0" customHeight="1">
      <c r="A92" s="122" t="s">
        <v>303</v>
      </c>
      <c r="B92" s="123" t="s">
        <v>304</v>
      </c>
      <c r="C92" s="359"/>
      <c r="D92" s="186"/>
      <c r="E92" s="186"/>
      <c r="F92" s="300" t="s">
        <v>3299</v>
      </c>
      <c r="G92" s="52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0" customHeight="1">
      <c r="A93" s="128" t="s">
        <v>308</v>
      </c>
      <c r="B93" s="129" t="s">
        <v>309</v>
      </c>
      <c r="C93" s="297">
        <v>2.0</v>
      </c>
      <c r="D93" s="132">
        <v>51.5</v>
      </c>
      <c r="E93" s="132">
        <v>55.978</v>
      </c>
      <c r="F93" s="300" t="s">
        <v>3300</v>
      </c>
      <c r="G93" s="52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customHeight="1">
      <c r="A94" s="302" t="s">
        <v>1086</v>
      </c>
      <c r="B94" s="201" t="s">
        <v>15</v>
      </c>
      <c r="C94" s="297">
        <v>3191.0</v>
      </c>
      <c r="D94" s="132">
        <v>84350.26</v>
      </c>
      <c r="E94" s="132">
        <v>88341.982</v>
      </c>
      <c r="F94" s="300" t="s">
        <v>3301</v>
      </c>
      <c r="G94" s="52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6.5" customHeight="1">
      <c r="A95" s="200"/>
      <c r="B95" s="202"/>
      <c r="C95" s="297"/>
      <c r="D95" s="132"/>
      <c r="E95" s="132"/>
      <c r="F95" s="295" t="s">
        <v>3302</v>
      </c>
      <c r="G95" s="52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0" customHeight="1">
      <c r="A96" s="200" t="s">
        <v>3303</v>
      </c>
      <c r="B96" s="202" t="s">
        <v>3304</v>
      </c>
      <c r="C96" s="297"/>
      <c r="D96" s="132"/>
      <c r="E96" s="132"/>
      <c r="F96" s="295" t="s">
        <v>3305</v>
      </c>
      <c r="G96" s="52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2.75" customHeight="1">
      <c r="A97" s="200" t="s">
        <v>3306</v>
      </c>
      <c r="B97" s="202"/>
      <c r="C97" s="297"/>
      <c r="D97" s="132"/>
      <c r="E97" s="132"/>
      <c r="F97" s="316" t="s">
        <v>3307</v>
      </c>
      <c r="G97" s="52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2.75" customHeight="1">
      <c r="A98" s="137"/>
      <c r="B98" s="134"/>
      <c r="C98" s="297"/>
      <c r="D98" s="132"/>
      <c r="E98" s="132"/>
      <c r="F98" s="316"/>
      <c r="G98" s="52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75" customHeight="1">
      <c r="A99" s="137" t="s">
        <v>316</v>
      </c>
      <c r="B99" s="134"/>
      <c r="C99" s="297"/>
      <c r="D99" s="132"/>
      <c r="E99" s="132"/>
      <c r="F99" s="316"/>
      <c r="G99" s="52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21.75" customHeight="1">
      <c r="A100" s="142"/>
      <c r="B100" s="143"/>
      <c r="C100" s="361">
        <f t="shared" ref="C100:E100" si="7">SUM(C91:C99)</f>
        <v>3193</v>
      </c>
      <c r="D100" s="146">
        <f t="shared" si="7"/>
        <v>84401.76</v>
      </c>
      <c r="E100" s="146">
        <f t="shared" si="7"/>
        <v>88397.96</v>
      </c>
      <c r="F100" s="358"/>
      <c r="G100" s="52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8.75" customHeight="1">
      <c r="A101" s="203"/>
      <c r="B101" s="143"/>
      <c r="C101" s="144"/>
      <c r="D101" s="145"/>
      <c r="E101" s="146"/>
      <c r="F101" s="147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8.0" customHeight="1">
      <c r="A102" s="266"/>
      <c r="B102" s="267"/>
      <c r="C102" s="268" t="s">
        <v>292</v>
      </c>
      <c r="D102" s="269" t="s">
        <v>292</v>
      </c>
      <c r="E102" s="270" t="s">
        <v>292</v>
      </c>
      <c r="F102" s="271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8.75" customHeight="1">
      <c r="A103" s="272"/>
      <c r="B103" s="273"/>
      <c r="C103" s="274">
        <f t="shared" ref="C103:E103" si="8">SUM(C22+C34+C44+C62+C80+C89+C100)</f>
        <v>57576</v>
      </c>
      <c r="D103" s="98">
        <f t="shared" si="8"/>
        <v>1477694.57</v>
      </c>
      <c r="E103" s="98">
        <f t="shared" si="8"/>
        <v>1552641.97</v>
      </c>
      <c r="F103" s="277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2.75" customHeight="1">
      <c r="A104" s="4"/>
      <c r="B104" s="101"/>
      <c r="C104" s="4"/>
      <c r="D104" s="102"/>
      <c r="E104" s="103"/>
      <c r="F104" s="10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2.75" customHeight="1">
      <c r="A105" s="4"/>
      <c r="B105" s="101"/>
      <c r="C105" s="4"/>
      <c r="D105" s="102"/>
      <c r="E105" s="103"/>
      <c r="F105" s="10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2.75" customHeight="1">
      <c r="A106" s="4"/>
      <c r="B106" s="101"/>
      <c r="C106" s="4"/>
      <c r="D106" s="102"/>
      <c r="E106" s="103"/>
      <c r="F106" s="10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2.75" customHeight="1">
      <c r="A107" s="4"/>
      <c r="B107" s="101"/>
      <c r="C107" s="4"/>
      <c r="D107" s="102"/>
      <c r="E107" s="103"/>
      <c r="F107" s="10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2.75" customHeight="1">
      <c r="A108" s="4"/>
      <c r="B108" s="101"/>
      <c r="C108" s="4"/>
      <c r="D108" s="102"/>
      <c r="E108" s="103"/>
      <c r="F108" s="10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2.75" customHeight="1">
      <c r="A109" s="4"/>
      <c r="B109" s="101"/>
      <c r="C109" s="4"/>
      <c r="D109" s="102"/>
      <c r="E109" s="103"/>
      <c r="F109" s="10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2.75" customHeight="1">
      <c r="A110" s="4"/>
      <c r="B110" s="101"/>
      <c r="C110" s="4"/>
      <c r="D110" s="102"/>
      <c r="E110" s="103"/>
      <c r="F110" s="10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2.75" customHeight="1">
      <c r="A111" s="4"/>
      <c r="B111" s="101"/>
      <c r="C111" s="4"/>
      <c r="D111" s="102"/>
      <c r="E111" s="103"/>
      <c r="F111" s="10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2.75" customHeight="1">
      <c r="A112" s="4"/>
      <c r="B112" s="101"/>
      <c r="C112" s="4"/>
      <c r="D112" s="102"/>
      <c r="E112" s="103"/>
      <c r="F112" s="10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2.75" customHeight="1">
      <c r="A113" s="4"/>
      <c r="B113" s="101"/>
      <c r="C113" s="4"/>
      <c r="D113" s="102"/>
      <c r="E113" s="103"/>
      <c r="F113" s="10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2.75" customHeight="1">
      <c r="A114" s="4"/>
      <c r="B114" s="101"/>
      <c r="C114" s="4"/>
      <c r="D114" s="102"/>
      <c r="E114" s="103"/>
      <c r="F114" s="10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2.75" customHeight="1">
      <c r="A115" s="4"/>
      <c r="B115" s="101"/>
      <c r="C115" s="4"/>
      <c r="D115" s="102"/>
      <c r="E115" s="103"/>
      <c r="F115" s="10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2.75" customHeight="1">
      <c r="A116" s="4"/>
      <c r="B116" s="101"/>
      <c r="C116" s="4"/>
      <c r="D116" s="102"/>
      <c r="E116" s="103"/>
      <c r="F116" s="10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2.75" customHeight="1">
      <c r="A117" s="4"/>
      <c r="B117" s="101"/>
      <c r="C117" s="4"/>
      <c r="D117" s="102"/>
      <c r="E117" s="103"/>
      <c r="F117" s="10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2.75" customHeight="1">
      <c r="A118" s="4"/>
      <c r="B118" s="101"/>
      <c r="C118" s="4"/>
      <c r="D118" s="102"/>
      <c r="E118" s="103"/>
      <c r="F118" s="10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2.75" customHeight="1">
      <c r="A119" s="4"/>
      <c r="B119" s="101"/>
      <c r="C119" s="4"/>
      <c r="D119" s="102"/>
      <c r="E119" s="103"/>
      <c r="F119" s="10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2.75" customHeight="1">
      <c r="A120" s="4"/>
      <c r="B120" s="101"/>
      <c r="C120" s="4"/>
      <c r="D120" s="102"/>
      <c r="E120" s="103"/>
      <c r="F120" s="10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75" customHeight="1">
      <c r="A121" s="4"/>
      <c r="B121" s="101"/>
      <c r="C121" s="4"/>
      <c r="D121" s="102"/>
      <c r="E121" s="103"/>
      <c r="F121" s="10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75" customHeight="1">
      <c r="A122" s="4"/>
      <c r="B122" s="101"/>
      <c r="C122" s="4"/>
      <c r="D122" s="102"/>
      <c r="E122" s="103"/>
      <c r="F122" s="10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2.75" customHeight="1">
      <c r="A123" s="4"/>
      <c r="B123" s="101"/>
      <c r="C123" s="4"/>
      <c r="D123" s="102"/>
      <c r="E123" s="103"/>
      <c r="F123" s="10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2.75" customHeight="1">
      <c r="A124" s="4"/>
      <c r="B124" s="101"/>
      <c r="C124" s="4"/>
      <c r="D124" s="102"/>
      <c r="E124" s="103"/>
      <c r="F124" s="10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2.75" customHeight="1">
      <c r="A125" s="4"/>
      <c r="B125" s="101"/>
      <c r="C125" s="4"/>
      <c r="D125" s="102"/>
      <c r="E125" s="103"/>
      <c r="F125" s="10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2.75" customHeight="1">
      <c r="A126" s="4"/>
      <c r="B126" s="101"/>
      <c r="C126" s="4"/>
      <c r="D126" s="102"/>
      <c r="E126" s="103"/>
      <c r="F126" s="10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2.75" customHeight="1">
      <c r="A127" s="4"/>
      <c r="B127" s="101"/>
      <c r="C127" s="4"/>
      <c r="D127" s="102"/>
      <c r="E127" s="103"/>
      <c r="F127" s="10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2.75" customHeight="1">
      <c r="A128" s="4"/>
      <c r="B128" s="101"/>
      <c r="C128" s="4"/>
      <c r="D128" s="102"/>
      <c r="E128" s="103"/>
      <c r="F128" s="10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2.75" customHeight="1">
      <c r="A129" s="4"/>
      <c r="B129" s="101"/>
      <c r="C129" s="4"/>
      <c r="D129" s="102"/>
      <c r="E129" s="103"/>
      <c r="F129" s="10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2.75" customHeight="1">
      <c r="A130" s="4"/>
      <c r="B130" s="101"/>
      <c r="C130" s="4"/>
      <c r="D130" s="102"/>
      <c r="E130" s="103"/>
      <c r="F130" s="10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2.75" customHeight="1">
      <c r="A131" s="4"/>
      <c r="B131" s="101"/>
      <c r="C131" s="4"/>
      <c r="D131" s="102"/>
      <c r="E131" s="103"/>
      <c r="F131" s="10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2.75" customHeight="1">
      <c r="A132" s="4"/>
      <c r="B132" s="101"/>
      <c r="C132" s="4"/>
      <c r="D132" s="102"/>
      <c r="E132" s="103"/>
      <c r="F132" s="10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2.75" customHeight="1">
      <c r="A133" s="4"/>
      <c r="B133" s="101"/>
      <c r="C133" s="4"/>
      <c r="D133" s="102"/>
      <c r="E133" s="103"/>
      <c r="F133" s="10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75" customHeight="1">
      <c r="A134" s="4"/>
      <c r="B134" s="101"/>
      <c r="C134" s="4"/>
      <c r="D134" s="102"/>
      <c r="E134" s="103"/>
      <c r="F134" s="10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75" customHeight="1">
      <c r="A135" s="4"/>
      <c r="B135" s="101"/>
      <c r="C135" s="4"/>
      <c r="D135" s="102"/>
      <c r="E135" s="103"/>
      <c r="F135" s="10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.75" customHeight="1">
      <c r="A136" s="4"/>
      <c r="B136" s="101"/>
      <c r="C136" s="4"/>
      <c r="D136" s="102"/>
      <c r="E136" s="103"/>
      <c r="F136" s="10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.75" customHeight="1">
      <c r="A137" s="4"/>
      <c r="B137" s="101"/>
      <c r="C137" s="4"/>
      <c r="D137" s="102"/>
      <c r="E137" s="103"/>
      <c r="F137" s="10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2.75" customHeight="1">
      <c r="A138" s="4"/>
      <c r="B138" s="101"/>
      <c r="C138" s="4"/>
      <c r="D138" s="102"/>
      <c r="E138" s="103"/>
      <c r="F138" s="10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2.75" customHeight="1">
      <c r="A139" s="4"/>
      <c r="B139" s="101"/>
      <c r="C139" s="4"/>
      <c r="D139" s="102"/>
      <c r="E139" s="103"/>
      <c r="F139" s="10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2.75" customHeight="1">
      <c r="A140" s="4"/>
      <c r="B140" s="101"/>
      <c r="C140" s="4"/>
      <c r="D140" s="102"/>
      <c r="E140" s="103"/>
      <c r="F140" s="10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2.75" customHeight="1">
      <c r="A141" s="4"/>
      <c r="B141" s="101"/>
      <c r="C141" s="4"/>
      <c r="D141" s="102"/>
      <c r="E141" s="103"/>
      <c r="F141" s="10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.75" customHeight="1">
      <c r="A142" s="4"/>
      <c r="B142" s="101"/>
      <c r="C142" s="4"/>
      <c r="D142" s="102"/>
      <c r="E142" s="103"/>
      <c r="F142" s="10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.75" customHeight="1">
      <c r="A143" s="4"/>
      <c r="B143" s="101"/>
      <c r="C143" s="4"/>
      <c r="D143" s="102"/>
      <c r="E143" s="103"/>
      <c r="F143" s="10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.75" customHeight="1">
      <c r="A144" s="4"/>
      <c r="B144" s="101"/>
      <c r="C144" s="4"/>
      <c r="D144" s="102"/>
      <c r="E144" s="103"/>
      <c r="F144" s="10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.75" customHeight="1">
      <c r="A145" s="4"/>
      <c r="B145" s="101"/>
      <c r="C145" s="4"/>
      <c r="D145" s="102"/>
      <c r="E145" s="103"/>
      <c r="F145" s="10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2.75" customHeight="1">
      <c r="A146" s="4"/>
      <c r="B146" s="101"/>
      <c r="C146" s="4"/>
      <c r="D146" s="102"/>
      <c r="E146" s="103"/>
      <c r="F146" s="10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75" customHeight="1">
      <c r="A147" s="4"/>
      <c r="B147" s="101"/>
      <c r="C147" s="4"/>
      <c r="D147" s="102"/>
      <c r="E147" s="103"/>
      <c r="F147" s="10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75" customHeight="1">
      <c r="A148" s="4"/>
      <c r="B148" s="101"/>
      <c r="C148" s="4"/>
      <c r="D148" s="102"/>
      <c r="E148" s="103"/>
      <c r="F148" s="10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2.75" customHeight="1">
      <c r="A149" s="4"/>
      <c r="B149" s="101"/>
      <c r="C149" s="4"/>
      <c r="D149" s="102"/>
      <c r="E149" s="103"/>
      <c r="F149" s="10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2.75" customHeight="1">
      <c r="A150" s="4"/>
      <c r="B150" s="101"/>
      <c r="C150" s="4"/>
      <c r="D150" s="102"/>
      <c r="E150" s="103"/>
      <c r="F150" s="10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.75" customHeight="1">
      <c r="A151" s="4"/>
      <c r="B151" s="101"/>
      <c r="C151" s="4"/>
      <c r="D151" s="102"/>
      <c r="E151" s="103"/>
      <c r="F151" s="10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.75" customHeight="1">
      <c r="A152" s="4"/>
      <c r="B152" s="101"/>
      <c r="C152" s="4"/>
      <c r="D152" s="102"/>
      <c r="E152" s="103"/>
      <c r="F152" s="10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.75" customHeight="1">
      <c r="A153" s="4"/>
      <c r="B153" s="101"/>
      <c r="C153" s="4"/>
      <c r="D153" s="102"/>
      <c r="E153" s="103"/>
      <c r="F153" s="10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.75" customHeight="1">
      <c r="A154" s="4"/>
      <c r="B154" s="101"/>
      <c r="C154" s="4"/>
      <c r="D154" s="102"/>
      <c r="E154" s="103"/>
      <c r="F154" s="10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.75" customHeight="1">
      <c r="A155" s="4"/>
      <c r="B155" s="101"/>
      <c r="C155" s="4"/>
      <c r="D155" s="102"/>
      <c r="E155" s="103"/>
      <c r="F155" s="10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.75" customHeight="1">
      <c r="A156" s="4"/>
      <c r="B156" s="101"/>
      <c r="C156" s="4"/>
      <c r="D156" s="102"/>
      <c r="E156" s="103"/>
      <c r="F156" s="10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.75" customHeight="1">
      <c r="A157" s="4"/>
      <c r="B157" s="101"/>
      <c r="C157" s="4"/>
      <c r="D157" s="102"/>
      <c r="E157" s="103"/>
      <c r="F157" s="10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.75" customHeight="1">
      <c r="A158" s="4"/>
      <c r="B158" s="101"/>
      <c r="C158" s="4"/>
      <c r="D158" s="102"/>
      <c r="E158" s="103"/>
      <c r="F158" s="10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2.75" customHeight="1">
      <c r="A159" s="4"/>
      <c r="B159" s="101"/>
      <c r="C159" s="4"/>
      <c r="D159" s="102"/>
      <c r="E159" s="103"/>
      <c r="F159" s="10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.75" customHeight="1">
      <c r="A160" s="4"/>
      <c r="B160" s="101"/>
      <c r="C160" s="4"/>
      <c r="D160" s="102"/>
      <c r="E160" s="103"/>
      <c r="F160" s="10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.75" customHeight="1">
      <c r="A161" s="4"/>
      <c r="B161" s="101"/>
      <c r="C161" s="4"/>
      <c r="D161" s="102"/>
      <c r="E161" s="103"/>
      <c r="F161" s="10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75" customHeight="1">
      <c r="A162" s="4"/>
      <c r="B162" s="101"/>
      <c r="C162" s="4"/>
      <c r="D162" s="102"/>
      <c r="E162" s="103"/>
      <c r="F162" s="10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.75" customHeight="1">
      <c r="A163" s="4"/>
      <c r="B163" s="101"/>
      <c r="C163" s="4"/>
      <c r="D163" s="102"/>
      <c r="E163" s="103"/>
      <c r="F163" s="10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75" customHeight="1">
      <c r="A164" s="4"/>
      <c r="B164" s="101"/>
      <c r="C164" s="4"/>
      <c r="D164" s="102"/>
      <c r="E164" s="103"/>
      <c r="F164" s="10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75" customHeight="1">
      <c r="A165" s="4"/>
      <c r="B165" s="101"/>
      <c r="C165" s="4"/>
      <c r="D165" s="102"/>
      <c r="E165" s="103"/>
      <c r="F165" s="10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75" customHeight="1">
      <c r="A166" s="4"/>
      <c r="B166" s="101"/>
      <c r="C166" s="4"/>
      <c r="D166" s="102"/>
      <c r="E166" s="103"/>
      <c r="F166" s="10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.75" customHeight="1">
      <c r="A167" s="4"/>
      <c r="B167" s="101"/>
      <c r="C167" s="4"/>
      <c r="D167" s="102"/>
      <c r="E167" s="103"/>
      <c r="F167" s="10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75" customHeight="1">
      <c r="A168" s="4"/>
      <c r="B168" s="101"/>
      <c r="C168" s="4"/>
      <c r="D168" s="102"/>
      <c r="E168" s="103"/>
      <c r="F168" s="10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75" customHeight="1">
      <c r="A169" s="4"/>
      <c r="B169" s="101"/>
      <c r="C169" s="4"/>
      <c r="D169" s="102"/>
      <c r="E169" s="103"/>
      <c r="F169" s="10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75" customHeight="1">
      <c r="A170" s="4"/>
      <c r="B170" s="101"/>
      <c r="C170" s="4"/>
      <c r="D170" s="102"/>
      <c r="E170" s="103"/>
      <c r="F170" s="10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75" customHeight="1">
      <c r="A171" s="4"/>
      <c r="B171" s="101"/>
      <c r="C171" s="4"/>
      <c r="D171" s="102"/>
      <c r="E171" s="103"/>
      <c r="F171" s="10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75" customHeight="1">
      <c r="A172" s="4"/>
      <c r="B172" s="101"/>
      <c r="C172" s="4"/>
      <c r="D172" s="102"/>
      <c r="E172" s="103"/>
      <c r="F172" s="10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75" customHeight="1">
      <c r="A173" s="4"/>
      <c r="B173" s="101"/>
      <c r="C173" s="4"/>
      <c r="D173" s="102"/>
      <c r="E173" s="103"/>
      <c r="F173" s="10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75" customHeight="1">
      <c r="A174" s="4"/>
      <c r="B174" s="101"/>
      <c r="C174" s="4"/>
      <c r="D174" s="102"/>
      <c r="E174" s="103"/>
      <c r="F174" s="10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75" customHeight="1">
      <c r="A175" s="4"/>
      <c r="B175" s="101"/>
      <c r="C175" s="4"/>
      <c r="D175" s="102"/>
      <c r="E175" s="103"/>
      <c r="F175" s="10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75" customHeight="1">
      <c r="A176" s="4"/>
      <c r="B176" s="101"/>
      <c r="C176" s="4"/>
      <c r="D176" s="102"/>
      <c r="E176" s="103"/>
      <c r="F176" s="10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75" customHeight="1">
      <c r="A177" s="4"/>
      <c r="B177" s="101"/>
      <c r="C177" s="4"/>
      <c r="D177" s="102"/>
      <c r="E177" s="103"/>
      <c r="F177" s="10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75" customHeight="1">
      <c r="A178" s="4"/>
      <c r="B178" s="101"/>
      <c r="C178" s="4"/>
      <c r="D178" s="102"/>
      <c r="E178" s="103"/>
      <c r="F178" s="10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75" customHeight="1">
      <c r="A179" s="4"/>
      <c r="B179" s="101"/>
      <c r="C179" s="4"/>
      <c r="D179" s="102"/>
      <c r="E179" s="103"/>
      <c r="F179" s="10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75" customHeight="1">
      <c r="A180" s="4"/>
      <c r="B180" s="101"/>
      <c r="C180" s="4"/>
      <c r="D180" s="102"/>
      <c r="E180" s="103"/>
      <c r="F180" s="10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75" customHeight="1">
      <c r="A181" s="4"/>
      <c r="B181" s="101"/>
      <c r="C181" s="4"/>
      <c r="D181" s="102"/>
      <c r="E181" s="103"/>
      <c r="F181" s="10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75" customHeight="1">
      <c r="A182" s="4"/>
      <c r="B182" s="101"/>
      <c r="C182" s="4"/>
      <c r="D182" s="102"/>
      <c r="E182" s="103"/>
      <c r="F182" s="10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75" customHeight="1">
      <c r="A183" s="4"/>
      <c r="B183" s="101"/>
      <c r="C183" s="4"/>
      <c r="D183" s="102"/>
      <c r="E183" s="103"/>
      <c r="F183" s="10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75" customHeight="1">
      <c r="A184" s="4"/>
      <c r="B184" s="101"/>
      <c r="C184" s="4"/>
      <c r="D184" s="102"/>
      <c r="E184" s="103"/>
      <c r="F184" s="10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75" customHeight="1">
      <c r="A185" s="4"/>
      <c r="B185" s="101"/>
      <c r="C185" s="4"/>
      <c r="D185" s="102"/>
      <c r="E185" s="103"/>
      <c r="F185" s="10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75" customHeight="1">
      <c r="A186" s="4"/>
      <c r="B186" s="101"/>
      <c r="C186" s="4"/>
      <c r="D186" s="102"/>
      <c r="E186" s="103"/>
      <c r="F186" s="10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75" customHeight="1">
      <c r="A187" s="4"/>
      <c r="B187" s="101"/>
      <c r="C187" s="4"/>
      <c r="D187" s="102"/>
      <c r="E187" s="103"/>
      <c r="F187" s="10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75" customHeight="1">
      <c r="A188" s="4"/>
      <c r="B188" s="101"/>
      <c r="C188" s="4"/>
      <c r="D188" s="102"/>
      <c r="E188" s="103"/>
      <c r="F188" s="10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75" customHeight="1">
      <c r="A189" s="4"/>
      <c r="B189" s="101"/>
      <c r="C189" s="4"/>
      <c r="D189" s="102"/>
      <c r="E189" s="103"/>
      <c r="F189" s="10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75" customHeight="1">
      <c r="A190" s="4"/>
      <c r="B190" s="101"/>
      <c r="C190" s="4"/>
      <c r="D190" s="102"/>
      <c r="E190" s="103"/>
      <c r="F190" s="10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75" customHeight="1">
      <c r="A191" s="4"/>
      <c r="B191" s="101"/>
      <c r="C191" s="4"/>
      <c r="D191" s="102"/>
      <c r="E191" s="103"/>
      <c r="F191" s="10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75" customHeight="1">
      <c r="A192" s="4"/>
      <c r="B192" s="101"/>
      <c r="C192" s="4"/>
      <c r="D192" s="102"/>
      <c r="E192" s="103"/>
      <c r="F192" s="10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75" customHeight="1">
      <c r="A193" s="4"/>
      <c r="B193" s="101"/>
      <c r="C193" s="4"/>
      <c r="D193" s="102"/>
      <c r="E193" s="103"/>
      <c r="F193" s="10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75" customHeight="1">
      <c r="A194" s="4"/>
      <c r="B194" s="101"/>
      <c r="C194" s="4"/>
      <c r="D194" s="102"/>
      <c r="E194" s="103"/>
      <c r="F194" s="10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75" customHeight="1">
      <c r="A195" s="4"/>
      <c r="B195" s="101"/>
      <c r="C195" s="4"/>
      <c r="D195" s="102"/>
      <c r="E195" s="103"/>
      <c r="F195" s="10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75" customHeight="1">
      <c r="A196" s="4"/>
      <c r="B196" s="101"/>
      <c r="C196" s="4"/>
      <c r="D196" s="102"/>
      <c r="E196" s="103"/>
      <c r="F196" s="10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75" customHeight="1">
      <c r="A197" s="4"/>
      <c r="B197" s="101"/>
      <c r="C197" s="4"/>
      <c r="D197" s="102"/>
      <c r="E197" s="103"/>
      <c r="F197" s="10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75" customHeight="1">
      <c r="A198" s="4"/>
      <c r="B198" s="101"/>
      <c r="C198" s="4"/>
      <c r="D198" s="102"/>
      <c r="E198" s="103"/>
      <c r="F198" s="10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75" customHeight="1">
      <c r="A199" s="4"/>
      <c r="B199" s="101"/>
      <c r="C199" s="4"/>
      <c r="D199" s="102"/>
      <c r="E199" s="103"/>
      <c r="F199" s="10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75" customHeight="1">
      <c r="A200" s="4"/>
      <c r="B200" s="101"/>
      <c r="C200" s="4"/>
      <c r="D200" s="102"/>
      <c r="E200" s="103"/>
      <c r="F200" s="10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75" customHeight="1">
      <c r="A201" s="4"/>
      <c r="B201" s="101"/>
      <c r="C201" s="4"/>
      <c r="D201" s="102"/>
      <c r="E201" s="103"/>
      <c r="F201" s="10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.75" customHeight="1">
      <c r="A202" s="4"/>
      <c r="B202" s="101"/>
      <c r="C202" s="4"/>
      <c r="D202" s="102"/>
      <c r="E202" s="103"/>
      <c r="F202" s="10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75" customHeight="1">
      <c r="A203" s="4"/>
      <c r="B203" s="101"/>
      <c r="C203" s="4"/>
      <c r="D203" s="102"/>
      <c r="E203" s="103"/>
      <c r="F203" s="10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75" customHeight="1">
      <c r="A204" s="4"/>
      <c r="B204" s="101"/>
      <c r="C204" s="4"/>
      <c r="D204" s="102"/>
      <c r="E204" s="103"/>
      <c r="F204" s="10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75" customHeight="1">
      <c r="A205" s="4"/>
      <c r="B205" s="101"/>
      <c r="C205" s="4"/>
      <c r="D205" s="102"/>
      <c r="E205" s="103"/>
      <c r="F205" s="10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75" customHeight="1">
      <c r="A206" s="4"/>
      <c r="B206" s="101"/>
      <c r="C206" s="4"/>
      <c r="D206" s="102"/>
      <c r="E206" s="103"/>
      <c r="F206" s="10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75" customHeight="1">
      <c r="A207" s="4"/>
      <c r="B207" s="101"/>
      <c r="C207" s="4"/>
      <c r="D207" s="102"/>
      <c r="E207" s="103"/>
      <c r="F207" s="10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75" customHeight="1">
      <c r="A208" s="4"/>
      <c r="B208" s="101"/>
      <c r="C208" s="4"/>
      <c r="D208" s="102"/>
      <c r="E208" s="103"/>
      <c r="F208" s="10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75" customHeight="1">
      <c r="A209" s="4"/>
      <c r="B209" s="101"/>
      <c r="C209" s="4"/>
      <c r="D209" s="102"/>
      <c r="E209" s="103"/>
      <c r="F209" s="10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75" customHeight="1">
      <c r="A210" s="4"/>
      <c r="B210" s="101"/>
      <c r="C210" s="4"/>
      <c r="D210" s="102"/>
      <c r="E210" s="103"/>
      <c r="F210" s="10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.75" customHeight="1">
      <c r="A211" s="4"/>
      <c r="B211" s="101"/>
      <c r="C211" s="4"/>
      <c r="D211" s="102"/>
      <c r="E211" s="103"/>
      <c r="F211" s="10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75" customHeight="1">
      <c r="A212" s="4"/>
      <c r="B212" s="101"/>
      <c r="C212" s="4"/>
      <c r="D212" s="102"/>
      <c r="E212" s="103"/>
      <c r="F212" s="10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75" customHeight="1">
      <c r="A213" s="4"/>
      <c r="B213" s="101"/>
      <c r="C213" s="4"/>
      <c r="D213" s="102"/>
      <c r="E213" s="103"/>
      <c r="F213" s="10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75" customHeight="1">
      <c r="A214" s="4"/>
      <c r="B214" s="101"/>
      <c r="C214" s="4"/>
      <c r="D214" s="102"/>
      <c r="E214" s="103"/>
      <c r="F214" s="10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75" customHeight="1">
      <c r="A215" s="4"/>
      <c r="B215" s="101"/>
      <c r="C215" s="4"/>
      <c r="D215" s="102"/>
      <c r="E215" s="103"/>
      <c r="F215" s="10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75" customHeight="1">
      <c r="A216" s="4"/>
      <c r="B216" s="101"/>
      <c r="C216" s="4"/>
      <c r="D216" s="102"/>
      <c r="E216" s="103"/>
      <c r="F216" s="10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75" customHeight="1">
      <c r="A217" s="4"/>
      <c r="B217" s="101"/>
      <c r="C217" s="4"/>
      <c r="D217" s="102"/>
      <c r="E217" s="103"/>
      <c r="F217" s="10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75" customHeight="1">
      <c r="A218" s="4"/>
      <c r="B218" s="101"/>
      <c r="C218" s="4"/>
      <c r="D218" s="102"/>
      <c r="E218" s="103"/>
      <c r="F218" s="10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75" customHeight="1">
      <c r="A219" s="4"/>
      <c r="B219" s="101"/>
      <c r="C219" s="4"/>
      <c r="D219" s="102"/>
      <c r="E219" s="103"/>
      <c r="F219" s="10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75" customHeight="1">
      <c r="A220" s="4"/>
      <c r="B220" s="101"/>
      <c r="C220" s="4"/>
      <c r="D220" s="102"/>
      <c r="E220" s="103"/>
      <c r="F220" s="10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2.75" customHeight="1">
      <c r="A221" s="4"/>
      <c r="B221" s="101"/>
      <c r="C221" s="4"/>
      <c r="D221" s="102"/>
      <c r="E221" s="103"/>
      <c r="F221" s="10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2.75" customHeight="1">
      <c r="A222" s="4"/>
      <c r="B222" s="101"/>
      <c r="C222" s="4"/>
      <c r="D222" s="102"/>
      <c r="E222" s="103"/>
      <c r="F222" s="10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2.75" customHeight="1">
      <c r="A223" s="4"/>
      <c r="B223" s="101"/>
      <c r="C223" s="4"/>
      <c r="D223" s="102"/>
      <c r="E223" s="103"/>
      <c r="F223" s="10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2.75" customHeight="1">
      <c r="A224" s="4"/>
      <c r="B224" s="101"/>
      <c r="C224" s="4"/>
      <c r="D224" s="102"/>
      <c r="E224" s="103"/>
      <c r="F224" s="10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2.75" customHeight="1">
      <c r="A225" s="4"/>
      <c r="B225" s="101"/>
      <c r="C225" s="4"/>
      <c r="D225" s="102"/>
      <c r="E225" s="103"/>
      <c r="F225" s="10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2.75" customHeight="1">
      <c r="A226" s="4"/>
      <c r="B226" s="101"/>
      <c r="C226" s="4"/>
      <c r="D226" s="102"/>
      <c r="E226" s="103"/>
      <c r="F226" s="10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2.75" customHeight="1">
      <c r="A227" s="4"/>
      <c r="B227" s="101"/>
      <c r="C227" s="4"/>
      <c r="D227" s="102"/>
      <c r="E227" s="103"/>
      <c r="F227" s="10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2.75" customHeight="1">
      <c r="A228" s="4"/>
      <c r="B228" s="101"/>
      <c r="C228" s="4"/>
      <c r="D228" s="102"/>
      <c r="E228" s="103"/>
      <c r="F228" s="10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2.75" customHeight="1">
      <c r="A229" s="4"/>
      <c r="B229" s="101"/>
      <c r="C229" s="4"/>
      <c r="D229" s="102"/>
      <c r="E229" s="103"/>
      <c r="F229" s="10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2.75" customHeight="1">
      <c r="A230" s="4"/>
      <c r="B230" s="101"/>
      <c r="C230" s="4"/>
      <c r="D230" s="102"/>
      <c r="E230" s="103"/>
      <c r="F230" s="10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2.75" customHeight="1">
      <c r="A231" s="4"/>
      <c r="B231" s="101"/>
      <c r="C231" s="4"/>
      <c r="D231" s="102"/>
      <c r="E231" s="103"/>
      <c r="F231" s="10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2.75" customHeight="1">
      <c r="A232" s="4"/>
      <c r="B232" s="101"/>
      <c r="C232" s="4"/>
      <c r="D232" s="102"/>
      <c r="E232" s="103"/>
      <c r="F232" s="10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2.75" customHeight="1">
      <c r="A233" s="4"/>
      <c r="B233" s="101"/>
      <c r="C233" s="4"/>
      <c r="D233" s="102"/>
      <c r="E233" s="103"/>
      <c r="F233" s="10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2.75" customHeight="1">
      <c r="A234" s="4"/>
      <c r="B234" s="101"/>
      <c r="C234" s="4"/>
      <c r="D234" s="102"/>
      <c r="E234" s="103"/>
      <c r="F234" s="10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2.75" customHeight="1">
      <c r="A235" s="4"/>
      <c r="B235" s="101"/>
      <c r="C235" s="4"/>
      <c r="D235" s="102"/>
      <c r="E235" s="103"/>
      <c r="F235" s="10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2.75" customHeight="1">
      <c r="A236" s="4"/>
      <c r="B236" s="101"/>
      <c r="C236" s="4"/>
      <c r="D236" s="102"/>
      <c r="E236" s="103"/>
      <c r="F236" s="10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2.75" customHeight="1">
      <c r="A237" s="4"/>
      <c r="B237" s="101"/>
      <c r="C237" s="4"/>
      <c r="D237" s="102"/>
      <c r="E237" s="103"/>
      <c r="F237" s="10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2.75" customHeight="1">
      <c r="A238" s="4"/>
      <c r="B238" s="101"/>
      <c r="C238" s="4"/>
      <c r="D238" s="102"/>
      <c r="E238" s="103"/>
      <c r="F238" s="10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2.75" customHeight="1">
      <c r="A239" s="4"/>
      <c r="B239" s="101"/>
      <c r="C239" s="4"/>
      <c r="D239" s="102"/>
      <c r="E239" s="103"/>
      <c r="F239" s="10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2.75" customHeight="1">
      <c r="A240" s="4"/>
      <c r="B240" s="101"/>
      <c r="C240" s="4"/>
      <c r="D240" s="102"/>
      <c r="E240" s="103"/>
      <c r="F240" s="10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2.75" customHeight="1">
      <c r="A241" s="4"/>
      <c r="B241" s="101"/>
      <c r="C241" s="4"/>
      <c r="D241" s="102"/>
      <c r="E241" s="103"/>
      <c r="F241" s="10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2.75" customHeight="1">
      <c r="A242" s="4"/>
      <c r="B242" s="101"/>
      <c r="C242" s="4"/>
      <c r="D242" s="102"/>
      <c r="E242" s="103"/>
      <c r="F242" s="10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2.75" customHeight="1">
      <c r="A243" s="4"/>
      <c r="B243" s="101"/>
      <c r="C243" s="4"/>
      <c r="D243" s="102"/>
      <c r="E243" s="103"/>
      <c r="F243" s="10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2.75" customHeight="1">
      <c r="A244" s="4"/>
      <c r="B244" s="101"/>
      <c r="C244" s="4"/>
      <c r="D244" s="102"/>
      <c r="E244" s="103"/>
      <c r="F244" s="10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2.75" customHeight="1">
      <c r="A245" s="4"/>
      <c r="B245" s="101"/>
      <c r="C245" s="4"/>
      <c r="D245" s="102"/>
      <c r="E245" s="103"/>
      <c r="F245" s="10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2.75" customHeight="1">
      <c r="A246" s="4"/>
      <c r="B246" s="101"/>
      <c r="C246" s="4"/>
      <c r="D246" s="102"/>
      <c r="E246" s="103"/>
      <c r="F246" s="10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2.75" customHeight="1">
      <c r="A247" s="4"/>
      <c r="B247" s="101"/>
      <c r="C247" s="4"/>
      <c r="D247" s="102"/>
      <c r="E247" s="103"/>
      <c r="F247" s="10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2.75" customHeight="1">
      <c r="A248" s="4"/>
      <c r="B248" s="101"/>
      <c r="C248" s="4"/>
      <c r="D248" s="102"/>
      <c r="E248" s="103"/>
      <c r="F248" s="10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2.75" customHeight="1">
      <c r="A249" s="4"/>
      <c r="B249" s="101"/>
      <c r="C249" s="4"/>
      <c r="D249" s="102"/>
      <c r="E249" s="103"/>
      <c r="F249" s="10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2.75" customHeight="1">
      <c r="A250" s="4"/>
      <c r="B250" s="101"/>
      <c r="C250" s="4"/>
      <c r="D250" s="102"/>
      <c r="E250" s="103"/>
      <c r="F250" s="10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2.75" customHeight="1">
      <c r="A251" s="4"/>
      <c r="B251" s="101"/>
      <c r="C251" s="4"/>
      <c r="D251" s="102"/>
      <c r="E251" s="103"/>
      <c r="F251" s="10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2.75" customHeight="1">
      <c r="A252" s="4"/>
      <c r="B252" s="101"/>
      <c r="C252" s="4"/>
      <c r="D252" s="102"/>
      <c r="E252" s="103"/>
      <c r="F252" s="10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2.75" customHeight="1">
      <c r="A253" s="4"/>
      <c r="B253" s="101"/>
      <c r="C253" s="4"/>
      <c r="D253" s="102"/>
      <c r="E253" s="103"/>
      <c r="F253" s="10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2.75" customHeight="1">
      <c r="A254" s="4"/>
      <c r="B254" s="101"/>
      <c r="C254" s="4"/>
      <c r="D254" s="102"/>
      <c r="E254" s="103"/>
      <c r="F254" s="10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2.75" customHeight="1">
      <c r="A255" s="4"/>
      <c r="B255" s="101"/>
      <c r="C255" s="4"/>
      <c r="D255" s="102"/>
      <c r="E255" s="103"/>
      <c r="F255" s="10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2.75" customHeight="1">
      <c r="A256" s="4"/>
      <c r="B256" s="101"/>
      <c r="C256" s="4"/>
      <c r="D256" s="102"/>
      <c r="E256" s="103"/>
      <c r="F256" s="10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2.75" customHeight="1">
      <c r="A257" s="4"/>
      <c r="B257" s="101"/>
      <c r="C257" s="4"/>
      <c r="D257" s="102"/>
      <c r="E257" s="103"/>
      <c r="F257" s="10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2.75" customHeight="1">
      <c r="A258" s="4"/>
      <c r="B258" s="101"/>
      <c r="C258" s="4"/>
      <c r="D258" s="102"/>
      <c r="E258" s="103"/>
      <c r="F258" s="10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2.75" customHeight="1">
      <c r="A259" s="4"/>
      <c r="B259" s="101"/>
      <c r="C259" s="4"/>
      <c r="D259" s="102"/>
      <c r="E259" s="103"/>
      <c r="F259" s="10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2.75" customHeight="1">
      <c r="A260" s="4"/>
      <c r="B260" s="101"/>
      <c r="C260" s="4"/>
      <c r="D260" s="102"/>
      <c r="E260" s="103"/>
      <c r="F260" s="10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2.75" customHeight="1">
      <c r="A261" s="4"/>
      <c r="B261" s="101"/>
      <c r="C261" s="4"/>
      <c r="D261" s="102"/>
      <c r="E261" s="103"/>
      <c r="F261" s="10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2.75" customHeight="1">
      <c r="A262" s="4"/>
      <c r="B262" s="101"/>
      <c r="C262" s="4"/>
      <c r="D262" s="102"/>
      <c r="E262" s="103"/>
      <c r="F262" s="10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2.75" customHeight="1">
      <c r="A263" s="4"/>
      <c r="B263" s="101"/>
      <c r="C263" s="4"/>
      <c r="D263" s="102"/>
      <c r="E263" s="103"/>
      <c r="F263" s="10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2.75" customHeight="1">
      <c r="A264" s="4"/>
      <c r="B264" s="101"/>
      <c r="C264" s="4"/>
      <c r="D264" s="102"/>
      <c r="E264" s="103"/>
      <c r="F264" s="10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2.75" customHeight="1">
      <c r="A265" s="4"/>
      <c r="B265" s="101"/>
      <c r="C265" s="4"/>
      <c r="D265" s="102"/>
      <c r="E265" s="103"/>
      <c r="F265" s="10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2.75" customHeight="1">
      <c r="A266" s="4"/>
      <c r="B266" s="101"/>
      <c r="C266" s="4"/>
      <c r="D266" s="102"/>
      <c r="E266" s="103"/>
      <c r="F266" s="10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2.75" customHeight="1">
      <c r="A267" s="4"/>
      <c r="B267" s="101"/>
      <c r="C267" s="4"/>
      <c r="D267" s="102"/>
      <c r="E267" s="103"/>
      <c r="F267" s="10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2.75" customHeight="1">
      <c r="A268" s="4"/>
      <c r="B268" s="101"/>
      <c r="C268" s="4"/>
      <c r="D268" s="102"/>
      <c r="E268" s="103"/>
      <c r="F268" s="10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2.75" customHeight="1">
      <c r="A269" s="4"/>
      <c r="B269" s="101"/>
      <c r="C269" s="4"/>
      <c r="D269" s="102"/>
      <c r="E269" s="103"/>
      <c r="F269" s="10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2.75" customHeight="1">
      <c r="A270" s="4"/>
      <c r="B270" s="101"/>
      <c r="C270" s="4"/>
      <c r="D270" s="102"/>
      <c r="E270" s="103"/>
      <c r="F270" s="10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2.75" customHeight="1">
      <c r="A271" s="4"/>
      <c r="B271" s="101"/>
      <c r="C271" s="4"/>
      <c r="D271" s="102"/>
      <c r="E271" s="103"/>
      <c r="F271" s="10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2.75" customHeight="1">
      <c r="A272" s="4"/>
      <c r="B272" s="101"/>
      <c r="C272" s="4"/>
      <c r="D272" s="102"/>
      <c r="E272" s="103"/>
      <c r="F272" s="10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2.75" customHeight="1">
      <c r="A273" s="4"/>
      <c r="B273" s="101"/>
      <c r="C273" s="4"/>
      <c r="D273" s="102"/>
      <c r="E273" s="103"/>
      <c r="F273" s="10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2.75" customHeight="1">
      <c r="A274" s="4"/>
      <c r="B274" s="101"/>
      <c r="C274" s="4"/>
      <c r="D274" s="102"/>
      <c r="E274" s="103"/>
      <c r="F274" s="10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2.75" customHeight="1">
      <c r="A275" s="4"/>
      <c r="B275" s="101"/>
      <c r="C275" s="4"/>
      <c r="D275" s="102"/>
      <c r="E275" s="103"/>
      <c r="F275" s="10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2.75" customHeight="1">
      <c r="A276" s="4"/>
      <c r="B276" s="101"/>
      <c r="C276" s="4"/>
      <c r="D276" s="102"/>
      <c r="E276" s="103"/>
      <c r="F276" s="10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2.75" customHeight="1">
      <c r="A277" s="4"/>
      <c r="B277" s="101"/>
      <c r="C277" s="4"/>
      <c r="D277" s="102"/>
      <c r="E277" s="103"/>
      <c r="F277" s="10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2.75" customHeight="1">
      <c r="A278" s="4"/>
      <c r="B278" s="101"/>
      <c r="C278" s="4"/>
      <c r="D278" s="102"/>
      <c r="E278" s="103"/>
      <c r="F278" s="10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2.75" customHeight="1">
      <c r="A279" s="4"/>
      <c r="B279" s="101"/>
      <c r="C279" s="4"/>
      <c r="D279" s="102"/>
      <c r="E279" s="103"/>
      <c r="F279" s="10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2.75" customHeight="1">
      <c r="A280" s="4"/>
      <c r="B280" s="101"/>
      <c r="C280" s="4"/>
      <c r="D280" s="102"/>
      <c r="E280" s="103"/>
      <c r="F280" s="10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2.75" customHeight="1">
      <c r="A281" s="4"/>
      <c r="B281" s="101"/>
      <c r="C281" s="4"/>
      <c r="D281" s="102"/>
      <c r="E281" s="103"/>
      <c r="F281" s="10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2.75" customHeight="1">
      <c r="A282" s="4"/>
      <c r="B282" s="101"/>
      <c r="C282" s="4"/>
      <c r="D282" s="102"/>
      <c r="E282" s="103"/>
      <c r="F282" s="10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2.75" customHeight="1">
      <c r="A283" s="4"/>
      <c r="B283" s="101"/>
      <c r="C283" s="4"/>
      <c r="D283" s="102"/>
      <c r="E283" s="103"/>
      <c r="F283" s="10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2.75" customHeight="1">
      <c r="A284" s="4"/>
      <c r="B284" s="101"/>
      <c r="C284" s="4"/>
      <c r="D284" s="102"/>
      <c r="E284" s="103"/>
      <c r="F284" s="10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2.75" customHeight="1">
      <c r="A285" s="4"/>
      <c r="B285" s="101"/>
      <c r="C285" s="4"/>
      <c r="D285" s="102"/>
      <c r="E285" s="103"/>
      <c r="F285" s="10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2.75" customHeight="1">
      <c r="A286" s="4"/>
      <c r="B286" s="101"/>
      <c r="C286" s="4"/>
      <c r="D286" s="102"/>
      <c r="E286" s="103"/>
      <c r="F286" s="10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2.75" customHeight="1">
      <c r="A287" s="4"/>
      <c r="B287" s="101"/>
      <c r="C287" s="4"/>
      <c r="D287" s="102"/>
      <c r="E287" s="103"/>
      <c r="F287" s="10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2.75" customHeight="1">
      <c r="A288" s="4"/>
      <c r="B288" s="101"/>
      <c r="C288" s="4"/>
      <c r="D288" s="102"/>
      <c r="E288" s="103"/>
      <c r="F288" s="10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2.75" customHeight="1">
      <c r="A289" s="4"/>
      <c r="B289" s="101"/>
      <c r="C289" s="4"/>
      <c r="D289" s="102"/>
      <c r="E289" s="103"/>
      <c r="F289" s="10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2.75" customHeight="1">
      <c r="A290" s="4"/>
      <c r="B290" s="101"/>
      <c r="C290" s="4"/>
      <c r="D290" s="102"/>
      <c r="E290" s="103"/>
      <c r="F290" s="10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2.75" customHeight="1">
      <c r="A291" s="4"/>
      <c r="B291" s="101"/>
      <c r="C291" s="4"/>
      <c r="D291" s="102"/>
      <c r="E291" s="103"/>
      <c r="F291" s="10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2.75" customHeight="1">
      <c r="A292" s="4"/>
      <c r="B292" s="101"/>
      <c r="C292" s="4"/>
      <c r="D292" s="102"/>
      <c r="E292" s="103"/>
      <c r="F292" s="10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2.75" customHeight="1">
      <c r="A293" s="4"/>
      <c r="B293" s="101"/>
      <c r="C293" s="4"/>
      <c r="D293" s="102"/>
      <c r="E293" s="103"/>
      <c r="F293" s="10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2.75" customHeight="1">
      <c r="A294" s="4"/>
      <c r="B294" s="101"/>
      <c r="C294" s="4"/>
      <c r="D294" s="102"/>
      <c r="E294" s="103"/>
      <c r="F294" s="10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2.75" customHeight="1">
      <c r="A295" s="4"/>
      <c r="B295" s="101"/>
      <c r="C295" s="4"/>
      <c r="D295" s="102"/>
      <c r="E295" s="103"/>
      <c r="F295" s="10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2.75" customHeight="1">
      <c r="A296" s="4"/>
      <c r="B296" s="101"/>
      <c r="C296" s="4"/>
      <c r="D296" s="102"/>
      <c r="E296" s="103"/>
      <c r="F296" s="10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2.75" customHeight="1">
      <c r="A297" s="4"/>
      <c r="B297" s="101"/>
      <c r="C297" s="4"/>
      <c r="D297" s="102"/>
      <c r="E297" s="103"/>
      <c r="F297" s="10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2.75" customHeight="1">
      <c r="A298" s="4"/>
      <c r="B298" s="101"/>
      <c r="C298" s="4"/>
      <c r="D298" s="102"/>
      <c r="E298" s="103"/>
      <c r="F298" s="10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2.75" customHeight="1">
      <c r="A299" s="4"/>
      <c r="B299" s="101"/>
      <c r="C299" s="4"/>
      <c r="D299" s="102"/>
      <c r="E299" s="103"/>
      <c r="F299" s="10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2.75" customHeight="1">
      <c r="A300" s="4"/>
      <c r="B300" s="101"/>
      <c r="C300" s="4"/>
      <c r="D300" s="102"/>
      <c r="E300" s="103"/>
      <c r="F300" s="10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2.75" customHeight="1">
      <c r="A301" s="4"/>
      <c r="B301" s="101"/>
      <c r="C301" s="4"/>
      <c r="D301" s="102"/>
      <c r="E301" s="103"/>
      <c r="F301" s="10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2.75" customHeight="1">
      <c r="A302" s="4"/>
      <c r="B302" s="101"/>
      <c r="C302" s="4"/>
      <c r="D302" s="102"/>
      <c r="E302" s="103"/>
      <c r="F302" s="10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2.75" customHeight="1">
      <c r="A303" s="4"/>
      <c r="B303" s="101"/>
      <c r="C303" s="4"/>
      <c r="D303" s="102"/>
      <c r="E303" s="103"/>
      <c r="F303" s="10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F1"/>
    <mergeCell ref="A2:F2"/>
    <mergeCell ref="A3:F3"/>
    <mergeCell ref="A4:F4"/>
    <mergeCell ref="D7:E7"/>
    <mergeCell ref="A9:F9"/>
    <mergeCell ref="A44:B44"/>
    <mergeCell ref="A45:B45"/>
  </mergeCells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2.63" defaultRowHeight="15.0"/>
  <cols>
    <col customWidth="1" min="1" max="1" width="62.5"/>
    <col customWidth="1" min="2" max="2" width="42.5"/>
    <col customWidth="1" min="3" max="3" width="14.88"/>
    <col customWidth="1" min="4" max="4" width="21.0"/>
    <col customWidth="1" min="5" max="5" width="21.63"/>
    <col customWidth="1" min="6" max="6" width="73.38"/>
    <col customWidth="1" min="7" max="7" width="50.13"/>
    <col customWidth="1" min="8" max="26" width="8.0"/>
  </cols>
  <sheetData>
    <row r="1" ht="12.75" customHeight="1">
      <c r="A1" s="1" t="s">
        <v>293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2.75" customHeight="1">
      <c r="A2" s="5" t="s">
        <v>707</v>
      </c>
      <c r="B2" s="6"/>
      <c r="C2" s="6"/>
      <c r="D2" s="6"/>
      <c r="E2" s="6"/>
      <c r="F2" s="7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2.75" customHeight="1">
      <c r="A3" s="5" t="s">
        <v>2</v>
      </c>
      <c r="B3" s="6"/>
      <c r="C3" s="6"/>
      <c r="D3" s="6"/>
      <c r="E3" s="6"/>
      <c r="F3" s="7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2.75" customHeight="1">
      <c r="A4" s="5" t="s">
        <v>3</v>
      </c>
      <c r="B4" s="6"/>
      <c r="C4" s="6"/>
      <c r="D4" s="6"/>
      <c r="E4" s="6"/>
      <c r="F4" s="7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2.75" customHeight="1">
      <c r="A5" s="8"/>
      <c r="B5" s="9"/>
      <c r="C5" s="10"/>
      <c r="D5" s="11"/>
      <c r="E5" s="11"/>
      <c r="F5" s="12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2.75" customHeight="1">
      <c r="A6" s="13"/>
      <c r="B6" s="9"/>
      <c r="C6" s="10"/>
      <c r="D6" s="14"/>
      <c r="E6" s="14"/>
      <c r="F6" s="15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30.0" customHeight="1">
      <c r="A7" s="16"/>
      <c r="B7" s="9"/>
      <c r="C7" s="17"/>
      <c r="D7" s="18"/>
      <c r="E7" s="19"/>
      <c r="F7" s="15" t="s">
        <v>3308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0.0" customHeight="1">
      <c r="A8" s="20" t="s">
        <v>296</v>
      </c>
      <c r="B8" s="21"/>
      <c r="C8" s="22"/>
      <c r="D8" s="23"/>
      <c r="E8" s="23"/>
      <c r="F8" s="2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7.75" customHeight="1">
      <c r="A9" s="25" t="s">
        <v>912</v>
      </c>
      <c r="B9" s="26"/>
      <c r="C9" s="26"/>
      <c r="D9" s="26"/>
      <c r="E9" s="26"/>
      <c r="F9" s="27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8.5" customHeight="1">
      <c r="A10" s="105"/>
      <c r="B10" s="106"/>
      <c r="C10" s="107"/>
      <c r="D10" s="108"/>
      <c r="E10" s="108"/>
      <c r="F10" s="109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</row>
    <row r="11" ht="40.5" customHeight="1">
      <c r="A11" s="110" t="s">
        <v>3309</v>
      </c>
      <c r="B11" s="111"/>
      <c r="C11" s="112" t="s">
        <v>299</v>
      </c>
      <c r="D11" s="113" t="s">
        <v>9</v>
      </c>
      <c r="E11" s="284" t="s">
        <v>10</v>
      </c>
      <c r="F11" s="311" t="s">
        <v>11</v>
      </c>
      <c r="G11" s="52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2.75" customHeight="1">
      <c r="A12" s="116" t="s">
        <v>637</v>
      </c>
      <c r="B12" s="117"/>
      <c r="C12" s="189"/>
      <c r="D12" s="183"/>
      <c r="E12" s="183"/>
      <c r="F12" s="290" t="s">
        <v>3310</v>
      </c>
      <c r="G12" s="52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2.75" customHeight="1">
      <c r="A13" s="197" t="s">
        <v>303</v>
      </c>
      <c r="B13" s="198" t="s">
        <v>304</v>
      </c>
      <c r="C13" s="191"/>
      <c r="D13" s="186"/>
      <c r="E13" s="186"/>
      <c r="F13" s="300" t="s">
        <v>3311</v>
      </c>
      <c r="G13" s="52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2.75" customHeight="1">
      <c r="A14" s="128" t="s">
        <v>3312</v>
      </c>
      <c r="B14" s="129" t="s">
        <v>3313</v>
      </c>
      <c r="C14" s="192">
        <v>980.0</v>
      </c>
      <c r="D14" s="132">
        <v>23893.15</v>
      </c>
      <c r="E14" s="132">
        <v>24901.4</v>
      </c>
      <c r="F14" s="300" t="s">
        <v>3314</v>
      </c>
      <c r="G14" s="52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2.75" customHeight="1">
      <c r="A15" s="128" t="s">
        <v>3315</v>
      </c>
      <c r="B15" s="129" t="s">
        <v>361</v>
      </c>
      <c r="C15" s="192">
        <v>11.0</v>
      </c>
      <c r="D15" s="132">
        <v>297.0</v>
      </c>
      <c r="E15" s="132">
        <v>445.8</v>
      </c>
      <c r="F15" s="300" t="s">
        <v>3316</v>
      </c>
      <c r="G15" s="52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2.75" customHeight="1">
      <c r="A16" s="128" t="s">
        <v>3317</v>
      </c>
      <c r="B16" s="129" t="s">
        <v>361</v>
      </c>
      <c r="C16" s="192">
        <v>79.0</v>
      </c>
      <c r="D16" s="132">
        <v>2133.0</v>
      </c>
      <c r="E16" s="132">
        <v>2296.2</v>
      </c>
      <c r="F16" s="295" t="s">
        <v>1020</v>
      </c>
      <c r="G16" s="52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0" customHeight="1">
      <c r="A17" s="352"/>
      <c r="B17" s="225"/>
      <c r="C17" s="192"/>
      <c r="D17" s="132"/>
      <c r="E17" s="132"/>
      <c r="F17" s="295" t="s">
        <v>3318</v>
      </c>
      <c r="G17" s="52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0" customHeight="1">
      <c r="A18" s="200" t="s">
        <v>3319</v>
      </c>
      <c r="B18" s="123"/>
      <c r="C18" s="192"/>
      <c r="D18" s="132"/>
      <c r="E18" s="132"/>
      <c r="F18" s="316" t="s">
        <v>3320</v>
      </c>
      <c r="G18" s="52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0" customHeight="1">
      <c r="A19" s="128"/>
      <c r="B19" s="123"/>
      <c r="C19" s="192"/>
      <c r="D19" s="132"/>
      <c r="E19" s="132"/>
      <c r="F19" s="316"/>
      <c r="G19" s="52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0" customHeight="1">
      <c r="A20" s="128" t="s">
        <v>316</v>
      </c>
      <c r="B20" s="123"/>
      <c r="C20" s="192"/>
      <c r="D20" s="132"/>
      <c r="E20" s="132"/>
      <c r="F20" s="316"/>
      <c r="G20" s="52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8.75" customHeight="1">
      <c r="A21" s="142"/>
      <c r="B21" s="143"/>
      <c r="C21" s="355">
        <f t="shared" ref="C21:E21" si="1">SUM(C12:C20)</f>
        <v>1070</v>
      </c>
      <c r="D21" s="146">
        <f t="shared" si="1"/>
        <v>26323.15</v>
      </c>
      <c r="E21" s="146">
        <f t="shared" si="1"/>
        <v>27643.4</v>
      </c>
      <c r="F21" s="307"/>
      <c r="G21" s="52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40.5" customHeight="1">
      <c r="A22" s="110" t="s">
        <v>3321</v>
      </c>
      <c r="B22" s="111"/>
      <c r="C22" s="112" t="s">
        <v>299</v>
      </c>
      <c r="D22" s="113" t="s">
        <v>9</v>
      </c>
      <c r="E22" s="284" t="s">
        <v>10</v>
      </c>
      <c r="F22" s="311" t="s">
        <v>11</v>
      </c>
      <c r="G22" s="52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2.75" customHeight="1">
      <c r="A23" s="116" t="s">
        <v>637</v>
      </c>
      <c r="B23" s="117"/>
      <c r="C23" s="189"/>
      <c r="D23" s="183"/>
      <c r="E23" s="183"/>
      <c r="F23" s="290" t="s">
        <v>3310</v>
      </c>
      <c r="G23" s="52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2.75" customHeight="1">
      <c r="A24" s="197" t="s">
        <v>303</v>
      </c>
      <c r="B24" s="198" t="s">
        <v>304</v>
      </c>
      <c r="C24" s="191"/>
      <c r="D24" s="186"/>
      <c r="E24" s="186"/>
      <c r="F24" s="300" t="s">
        <v>3322</v>
      </c>
      <c r="G24" s="52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2.75" customHeight="1">
      <c r="A25" s="128" t="s">
        <v>3323</v>
      </c>
      <c r="B25" s="129" t="s">
        <v>3324</v>
      </c>
      <c r="C25" s="192">
        <v>820.0</v>
      </c>
      <c r="D25" s="132">
        <v>19925.83</v>
      </c>
      <c r="E25" s="132">
        <v>20844.03</v>
      </c>
      <c r="F25" s="300" t="s">
        <v>3325</v>
      </c>
      <c r="G25" s="52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2.75" customHeight="1">
      <c r="A26" s="128" t="s">
        <v>3312</v>
      </c>
      <c r="B26" s="129" t="s">
        <v>3313</v>
      </c>
      <c r="C26" s="192">
        <v>180.0</v>
      </c>
      <c r="D26" s="132">
        <v>4296.41</v>
      </c>
      <c r="E26" s="132">
        <v>4645.91</v>
      </c>
      <c r="F26" s="300" t="s">
        <v>3326</v>
      </c>
      <c r="G26" s="52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2.75" customHeight="1">
      <c r="A27" s="352"/>
      <c r="B27" s="225"/>
      <c r="C27" s="192"/>
      <c r="D27" s="132"/>
      <c r="E27" s="132"/>
      <c r="F27" s="295" t="s">
        <v>1020</v>
      </c>
      <c r="G27" s="52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0" customHeight="1">
      <c r="A28" s="200" t="s">
        <v>3327</v>
      </c>
      <c r="B28" s="225"/>
      <c r="C28" s="192"/>
      <c r="D28" s="132"/>
      <c r="E28" s="132"/>
      <c r="F28" s="295" t="s">
        <v>3328</v>
      </c>
      <c r="G28" s="52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0" customHeight="1">
      <c r="A29" s="352"/>
      <c r="B29" s="123"/>
      <c r="C29" s="192"/>
      <c r="D29" s="132"/>
      <c r="E29" s="132"/>
      <c r="F29" s="316" t="s">
        <v>3329</v>
      </c>
      <c r="G29" s="52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0" customHeight="1">
      <c r="A30" s="128" t="s">
        <v>316</v>
      </c>
      <c r="B30" s="123"/>
      <c r="C30" s="192"/>
      <c r="D30" s="132"/>
      <c r="E30" s="132"/>
      <c r="F30" s="316"/>
      <c r="G30" s="52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8.75" customHeight="1">
      <c r="A31" s="142"/>
      <c r="B31" s="143"/>
      <c r="C31" s="355">
        <f t="shared" ref="C31:E31" si="2">SUM(C23:C30)</f>
        <v>1000</v>
      </c>
      <c r="D31" s="146">
        <f t="shared" si="2"/>
        <v>24222.24</v>
      </c>
      <c r="E31" s="146">
        <f t="shared" si="2"/>
        <v>25489.94</v>
      </c>
      <c r="F31" s="307"/>
      <c r="G31" s="52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42.75" customHeight="1">
      <c r="A32" s="540" t="s">
        <v>3330</v>
      </c>
      <c r="B32" s="541"/>
      <c r="C32" s="113" t="s">
        <v>299</v>
      </c>
      <c r="D32" s="113" t="s">
        <v>9</v>
      </c>
      <c r="E32" s="113" t="s">
        <v>10</v>
      </c>
      <c r="F32" s="542" t="s">
        <v>11</v>
      </c>
      <c r="G32" s="543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2.75" customHeight="1">
      <c r="A33" s="544" t="s">
        <v>3331</v>
      </c>
      <c r="B33" s="545"/>
      <c r="C33" s="545"/>
      <c r="D33" s="546"/>
      <c r="E33" s="546"/>
      <c r="F33" s="290" t="s">
        <v>3332</v>
      </c>
      <c r="G33" s="543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2.75" customHeight="1">
      <c r="A34" s="544" t="s">
        <v>303</v>
      </c>
      <c r="B34" s="123" t="s">
        <v>304</v>
      </c>
      <c r="C34" s="547"/>
      <c r="D34" s="546"/>
      <c r="E34" s="546"/>
      <c r="F34" s="300" t="s">
        <v>3333</v>
      </c>
      <c r="G34" s="543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2.75" customHeight="1">
      <c r="A35" s="128" t="s">
        <v>3315</v>
      </c>
      <c r="B35" s="129" t="s">
        <v>361</v>
      </c>
      <c r="C35" s="156">
        <v>1007.0</v>
      </c>
      <c r="D35" s="131">
        <v>27182.0</v>
      </c>
      <c r="E35" s="131">
        <v>28456.6</v>
      </c>
      <c r="F35" s="300" t="s">
        <v>3334</v>
      </c>
      <c r="G35" s="543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2.75" customHeight="1">
      <c r="A36" s="548"/>
      <c r="B36" s="549"/>
      <c r="C36" s="547"/>
      <c r="D36" s="546"/>
      <c r="E36" s="546"/>
      <c r="F36" s="523" t="s">
        <v>3335</v>
      </c>
      <c r="G36" s="543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2.75" customHeight="1">
      <c r="A37" s="200" t="s">
        <v>3336</v>
      </c>
      <c r="B37" s="549"/>
      <c r="C37" s="547"/>
      <c r="D37" s="546"/>
      <c r="E37" s="546"/>
      <c r="F37" s="523" t="s">
        <v>921</v>
      </c>
      <c r="G37" s="543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2.75" customHeight="1">
      <c r="A38" s="548"/>
      <c r="B38" s="549"/>
      <c r="C38" s="547"/>
      <c r="D38" s="546"/>
      <c r="E38" s="546"/>
      <c r="F38" s="523" t="s">
        <v>3337</v>
      </c>
      <c r="G38" s="543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2.75" customHeight="1">
      <c r="A39" s="128" t="s">
        <v>316</v>
      </c>
      <c r="B39" s="545"/>
      <c r="C39" s="547"/>
      <c r="D39" s="546"/>
      <c r="E39" s="546"/>
      <c r="F39" s="316" t="s">
        <v>3338</v>
      </c>
      <c r="G39" s="543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2.75" customHeight="1">
      <c r="A40" s="550"/>
      <c r="B40" s="551"/>
      <c r="C40" s="552">
        <f t="shared" ref="C40:E40" si="3">SUM(C33:C39)</f>
        <v>1007</v>
      </c>
      <c r="D40" s="145">
        <f t="shared" si="3"/>
        <v>27182</v>
      </c>
      <c r="E40" s="145">
        <f t="shared" si="3"/>
        <v>28456.6</v>
      </c>
      <c r="F40" s="491"/>
      <c r="G40" s="543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42.75" customHeight="1">
      <c r="A41" s="540" t="s">
        <v>3339</v>
      </c>
      <c r="B41" s="541"/>
      <c r="C41" s="113" t="s">
        <v>299</v>
      </c>
      <c r="D41" s="113" t="s">
        <v>9</v>
      </c>
      <c r="E41" s="113" t="s">
        <v>10</v>
      </c>
      <c r="F41" s="542" t="s">
        <v>11</v>
      </c>
      <c r="G41" s="543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2.75" customHeight="1">
      <c r="A42" s="544" t="s">
        <v>3340</v>
      </c>
      <c r="B42" s="545"/>
      <c r="C42" s="545"/>
      <c r="D42" s="546"/>
      <c r="E42" s="546"/>
      <c r="F42" s="290" t="s">
        <v>3341</v>
      </c>
      <c r="G42" s="543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2.75" customHeight="1">
      <c r="A43" s="544" t="s">
        <v>303</v>
      </c>
      <c r="B43" s="123" t="s">
        <v>304</v>
      </c>
      <c r="C43" s="547"/>
      <c r="D43" s="546"/>
      <c r="E43" s="546"/>
      <c r="F43" s="300" t="s">
        <v>3342</v>
      </c>
      <c r="G43" s="543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2.75" customHeight="1">
      <c r="A44" s="128" t="s">
        <v>3317</v>
      </c>
      <c r="B44" s="129" t="s">
        <v>361</v>
      </c>
      <c r="C44" s="156">
        <v>748.0</v>
      </c>
      <c r="D44" s="131">
        <v>20196.0</v>
      </c>
      <c r="E44" s="131">
        <v>21124.4</v>
      </c>
      <c r="F44" s="300" t="s">
        <v>3343</v>
      </c>
      <c r="G44" s="543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2.75" customHeight="1">
      <c r="A45" s="548"/>
      <c r="B45" s="549"/>
      <c r="C45" s="547"/>
      <c r="D45" s="546"/>
      <c r="E45" s="546"/>
      <c r="F45" s="523" t="s">
        <v>3344</v>
      </c>
      <c r="G45" s="543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2.75" customHeight="1">
      <c r="A46" s="200" t="s">
        <v>3345</v>
      </c>
      <c r="B46" s="549"/>
      <c r="C46" s="547"/>
      <c r="D46" s="546"/>
      <c r="E46" s="546"/>
      <c r="F46" s="523" t="s">
        <v>3346</v>
      </c>
      <c r="G46" s="543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2.75" customHeight="1">
      <c r="A47" s="548"/>
      <c r="B47" s="549"/>
      <c r="C47" s="547"/>
      <c r="D47" s="546"/>
      <c r="E47" s="546"/>
      <c r="F47" s="523" t="s">
        <v>3347</v>
      </c>
      <c r="G47" s="543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2.75" customHeight="1">
      <c r="A48" s="128" t="s">
        <v>316</v>
      </c>
      <c r="B48" s="545"/>
      <c r="C48" s="547"/>
      <c r="D48" s="546"/>
      <c r="E48" s="546"/>
      <c r="F48" s="316" t="s">
        <v>3348</v>
      </c>
      <c r="G48" s="543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2.75" customHeight="1">
      <c r="A49" s="550"/>
      <c r="B49" s="551"/>
      <c r="C49" s="552">
        <f t="shared" ref="C49:E49" si="4">SUM(C42:C48)</f>
        <v>748</v>
      </c>
      <c r="D49" s="145">
        <f t="shared" si="4"/>
        <v>20196</v>
      </c>
      <c r="E49" s="145">
        <f t="shared" si="4"/>
        <v>21124.4</v>
      </c>
      <c r="F49" s="491"/>
      <c r="G49" s="543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42.75" customHeight="1">
      <c r="A50" s="540" t="s">
        <v>3349</v>
      </c>
      <c r="B50" s="541"/>
      <c r="C50" s="113" t="s">
        <v>299</v>
      </c>
      <c r="D50" s="113" t="s">
        <v>9</v>
      </c>
      <c r="E50" s="113" t="s">
        <v>10</v>
      </c>
      <c r="F50" s="542" t="s">
        <v>11</v>
      </c>
      <c r="G50" s="543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2.75" customHeight="1">
      <c r="A51" s="544" t="s">
        <v>3340</v>
      </c>
      <c r="B51" s="545"/>
      <c r="C51" s="545"/>
      <c r="D51" s="546"/>
      <c r="E51" s="546"/>
      <c r="F51" s="290" t="s">
        <v>3350</v>
      </c>
      <c r="G51" s="543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75" customHeight="1">
      <c r="A52" s="544" t="s">
        <v>303</v>
      </c>
      <c r="B52" s="123" t="s">
        <v>304</v>
      </c>
      <c r="C52" s="547"/>
      <c r="D52" s="546"/>
      <c r="E52" s="546"/>
      <c r="F52" s="300" t="s">
        <v>3351</v>
      </c>
      <c r="G52" s="543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2.75" customHeight="1">
      <c r="A53" s="128" t="s">
        <v>3323</v>
      </c>
      <c r="B53" s="129" t="s">
        <v>3324</v>
      </c>
      <c r="C53" s="156">
        <v>743.0</v>
      </c>
      <c r="D53" s="131">
        <v>19831.29</v>
      </c>
      <c r="E53" s="131">
        <v>20792.84</v>
      </c>
      <c r="F53" s="300" t="s">
        <v>3352</v>
      </c>
      <c r="G53" s="543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2.75" customHeight="1">
      <c r="A54" s="548"/>
      <c r="B54" s="549"/>
      <c r="C54" s="547"/>
      <c r="D54" s="546"/>
      <c r="E54" s="546"/>
      <c r="F54" s="523" t="s">
        <v>3353</v>
      </c>
      <c r="G54" s="543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2.75" customHeight="1">
      <c r="A55" s="200" t="s">
        <v>3354</v>
      </c>
      <c r="B55" s="549"/>
      <c r="C55" s="547"/>
      <c r="D55" s="546"/>
      <c r="E55" s="546"/>
      <c r="F55" s="523" t="s">
        <v>3346</v>
      </c>
      <c r="G55" s="543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2.75" customHeight="1">
      <c r="A56" s="548"/>
      <c r="B56" s="549"/>
      <c r="C56" s="547"/>
      <c r="D56" s="546"/>
      <c r="E56" s="546"/>
      <c r="F56" s="523" t="s">
        <v>3355</v>
      </c>
      <c r="G56" s="543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2.75" customHeight="1">
      <c r="A57" s="128" t="s">
        <v>316</v>
      </c>
      <c r="B57" s="545"/>
      <c r="C57" s="547"/>
      <c r="D57" s="546"/>
      <c r="E57" s="546"/>
      <c r="F57" s="316" t="s">
        <v>3356</v>
      </c>
      <c r="G57" s="543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2.75" customHeight="1">
      <c r="A58" s="550"/>
      <c r="B58" s="551"/>
      <c r="C58" s="552">
        <f t="shared" ref="C58:E58" si="5">SUM(C51:C57)</f>
        <v>743</v>
      </c>
      <c r="D58" s="145">
        <f t="shared" si="5"/>
        <v>19831.29</v>
      </c>
      <c r="E58" s="145">
        <f t="shared" si="5"/>
        <v>20792.84</v>
      </c>
      <c r="F58" s="491"/>
      <c r="G58" s="543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42.75" customHeight="1">
      <c r="A59" s="540" t="s">
        <v>3357</v>
      </c>
      <c r="B59" s="541"/>
      <c r="C59" s="113" t="s">
        <v>299</v>
      </c>
      <c r="D59" s="113" t="s">
        <v>9</v>
      </c>
      <c r="E59" s="113" t="s">
        <v>10</v>
      </c>
      <c r="F59" s="542" t="s">
        <v>11</v>
      </c>
      <c r="G59" s="52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2.75" customHeight="1">
      <c r="A60" s="544" t="s">
        <v>3340</v>
      </c>
      <c r="B60" s="545"/>
      <c r="C60" s="545"/>
      <c r="D60" s="546"/>
      <c r="E60" s="546"/>
      <c r="F60" s="290" t="s">
        <v>3358</v>
      </c>
      <c r="G60" s="52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2.75" customHeight="1">
      <c r="A61" s="544" t="s">
        <v>303</v>
      </c>
      <c r="B61" s="123" t="s">
        <v>304</v>
      </c>
      <c r="C61" s="547"/>
      <c r="D61" s="546"/>
      <c r="E61" s="546"/>
      <c r="F61" s="300" t="s">
        <v>3359</v>
      </c>
      <c r="G61" s="52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2.75" customHeight="1">
      <c r="A62" s="128" t="s">
        <v>3323</v>
      </c>
      <c r="B62" s="129" t="s">
        <v>3324</v>
      </c>
      <c r="C62" s="156">
        <v>716.0</v>
      </c>
      <c r="D62" s="131">
        <v>18848.71</v>
      </c>
      <c r="E62" s="131">
        <v>19787.31</v>
      </c>
      <c r="F62" s="300" t="s">
        <v>3360</v>
      </c>
      <c r="G62" s="52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2.75" customHeight="1">
      <c r="A63" s="548"/>
      <c r="B63" s="549"/>
      <c r="C63" s="547"/>
      <c r="D63" s="546"/>
      <c r="E63" s="546"/>
      <c r="F63" s="523" t="s">
        <v>3361</v>
      </c>
      <c r="G63" s="52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2.75" customHeight="1">
      <c r="A64" s="200" t="s">
        <v>3362</v>
      </c>
      <c r="B64" s="549"/>
      <c r="C64" s="547"/>
      <c r="D64" s="546"/>
      <c r="E64" s="546"/>
      <c r="F64" s="523" t="s">
        <v>3346</v>
      </c>
      <c r="G64" s="52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2.75" customHeight="1">
      <c r="A65" s="548"/>
      <c r="B65" s="549"/>
      <c r="C65" s="547"/>
      <c r="D65" s="546"/>
      <c r="E65" s="546"/>
      <c r="F65" s="523" t="s">
        <v>3363</v>
      </c>
      <c r="G65" s="52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2.75" customHeight="1">
      <c r="A66" s="128" t="s">
        <v>316</v>
      </c>
      <c r="B66" s="545"/>
      <c r="C66" s="547"/>
      <c r="D66" s="546"/>
      <c r="E66" s="546"/>
      <c r="F66" s="316" t="s">
        <v>3364</v>
      </c>
      <c r="G66" s="52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8.75" customHeight="1">
      <c r="A67" s="550"/>
      <c r="B67" s="551"/>
      <c r="C67" s="552">
        <f t="shared" ref="C67:E67" si="6">SUM(C60:C66)</f>
        <v>716</v>
      </c>
      <c r="D67" s="145">
        <f t="shared" si="6"/>
        <v>18848.71</v>
      </c>
      <c r="E67" s="145">
        <f t="shared" si="6"/>
        <v>19787.31</v>
      </c>
      <c r="F67" s="491"/>
      <c r="G67" s="52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42.75" customHeight="1">
      <c r="A68" s="540" t="s">
        <v>3365</v>
      </c>
      <c r="B68" s="541"/>
      <c r="C68" s="113" t="s">
        <v>299</v>
      </c>
      <c r="D68" s="113" t="s">
        <v>9</v>
      </c>
      <c r="E68" s="113" t="s">
        <v>10</v>
      </c>
      <c r="F68" s="542" t="s">
        <v>11</v>
      </c>
      <c r="G68" s="52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2.75" customHeight="1">
      <c r="A69" s="544" t="s">
        <v>3340</v>
      </c>
      <c r="B69" s="545"/>
      <c r="C69" s="545"/>
      <c r="D69" s="546"/>
      <c r="E69" s="546"/>
      <c r="F69" s="290" t="s">
        <v>3366</v>
      </c>
      <c r="G69" s="52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2.75" customHeight="1">
      <c r="A70" s="544" t="s">
        <v>303</v>
      </c>
      <c r="B70" s="123" t="s">
        <v>304</v>
      </c>
      <c r="C70" s="547"/>
      <c r="D70" s="546"/>
      <c r="E70" s="546"/>
      <c r="F70" s="300" t="s">
        <v>3367</v>
      </c>
      <c r="G70" s="52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2.75" customHeight="1">
      <c r="A71" s="128" t="s">
        <v>3312</v>
      </c>
      <c r="B71" s="129" t="s">
        <v>3313</v>
      </c>
      <c r="C71" s="156">
        <v>854.0</v>
      </c>
      <c r="D71" s="131">
        <v>22064.03</v>
      </c>
      <c r="E71" s="131">
        <v>23141.93</v>
      </c>
      <c r="F71" s="300" t="s">
        <v>3368</v>
      </c>
      <c r="G71" s="52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75" customHeight="1">
      <c r="A72" s="548"/>
      <c r="B72" s="549"/>
      <c r="C72" s="547"/>
      <c r="D72" s="546"/>
      <c r="E72" s="546"/>
      <c r="F72" s="523" t="s">
        <v>3369</v>
      </c>
      <c r="G72" s="52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.75" customHeight="1">
      <c r="A73" s="200" t="s">
        <v>3370</v>
      </c>
      <c r="B73" s="549"/>
      <c r="C73" s="547"/>
      <c r="D73" s="546"/>
      <c r="E73" s="546"/>
      <c r="F73" s="523" t="s">
        <v>3371</v>
      </c>
      <c r="G73" s="52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2.75" customHeight="1">
      <c r="A74" s="548"/>
      <c r="B74" s="549"/>
      <c r="C74" s="547"/>
      <c r="D74" s="546"/>
      <c r="E74" s="546"/>
      <c r="F74" s="523" t="s">
        <v>614</v>
      </c>
      <c r="G74" s="52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75" customHeight="1">
      <c r="A75" s="128" t="s">
        <v>316</v>
      </c>
      <c r="B75" s="545"/>
      <c r="C75" s="547"/>
      <c r="D75" s="546"/>
      <c r="E75" s="546"/>
      <c r="F75" s="316" t="s">
        <v>3372</v>
      </c>
      <c r="G75" s="52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8.75" customHeight="1">
      <c r="A76" s="550"/>
      <c r="B76" s="551"/>
      <c r="C76" s="552">
        <f t="shared" ref="C76:E76" si="7">SUM(C69:C75)</f>
        <v>854</v>
      </c>
      <c r="D76" s="145">
        <f t="shared" si="7"/>
        <v>22064.03</v>
      </c>
      <c r="E76" s="145">
        <f t="shared" si="7"/>
        <v>23141.93</v>
      </c>
      <c r="F76" s="491"/>
      <c r="G76" s="52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42.75" customHeight="1">
      <c r="A77" s="540" t="s">
        <v>3373</v>
      </c>
      <c r="B77" s="541"/>
      <c r="C77" s="113" t="s">
        <v>299</v>
      </c>
      <c r="D77" s="113" t="s">
        <v>9</v>
      </c>
      <c r="E77" s="113" t="s">
        <v>10</v>
      </c>
      <c r="F77" s="542" t="s">
        <v>11</v>
      </c>
      <c r="G77" s="52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2.75" customHeight="1">
      <c r="A78" s="544" t="s">
        <v>3340</v>
      </c>
      <c r="B78" s="545"/>
      <c r="C78" s="545"/>
      <c r="D78" s="546"/>
      <c r="E78" s="546"/>
      <c r="F78" s="290" t="s">
        <v>3374</v>
      </c>
      <c r="G78" s="52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2.75" customHeight="1">
      <c r="A79" s="544" t="s">
        <v>303</v>
      </c>
      <c r="B79" s="123" t="s">
        <v>304</v>
      </c>
      <c r="C79" s="547"/>
      <c r="D79" s="546"/>
      <c r="E79" s="546"/>
      <c r="F79" s="300" t="s">
        <v>3375</v>
      </c>
      <c r="G79" s="52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2.75" customHeight="1">
      <c r="A80" s="128" t="s">
        <v>3312</v>
      </c>
      <c r="B80" s="129" t="s">
        <v>3313</v>
      </c>
      <c r="C80" s="156">
        <v>1081.0</v>
      </c>
      <c r="D80" s="131">
        <v>27868.08</v>
      </c>
      <c r="E80" s="131">
        <v>29248.93</v>
      </c>
      <c r="F80" s="300" t="s">
        <v>3376</v>
      </c>
      <c r="G80" s="52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2.75" customHeight="1">
      <c r="A81" s="548"/>
      <c r="B81" s="549"/>
      <c r="C81" s="547"/>
      <c r="D81" s="546"/>
      <c r="E81" s="546"/>
      <c r="F81" s="523" t="s">
        <v>3377</v>
      </c>
      <c r="G81" s="52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2.75" customHeight="1">
      <c r="A82" s="200" t="s">
        <v>3378</v>
      </c>
      <c r="B82" s="549"/>
      <c r="C82" s="547"/>
      <c r="D82" s="546"/>
      <c r="E82" s="546"/>
      <c r="F82" s="523" t="s">
        <v>921</v>
      </c>
      <c r="G82" s="52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2.75" customHeight="1">
      <c r="A83" s="548"/>
      <c r="B83" s="549"/>
      <c r="C83" s="547"/>
      <c r="D83" s="546"/>
      <c r="E83" s="546"/>
      <c r="F83" s="523" t="s">
        <v>3379</v>
      </c>
      <c r="G83" s="52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2.75" customHeight="1">
      <c r="A84" s="128" t="s">
        <v>316</v>
      </c>
      <c r="B84" s="545"/>
      <c r="C84" s="547"/>
      <c r="D84" s="546"/>
      <c r="E84" s="546"/>
      <c r="F84" s="316" t="s">
        <v>3380</v>
      </c>
      <c r="G84" s="52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8.75" customHeight="1">
      <c r="A85" s="550"/>
      <c r="B85" s="551"/>
      <c r="C85" s="552">
        <f t="shared" ref="C85:E85" si="8">SUM(C78:C84)</f>
        <v>1081</v>
      </c>
      <c r="D85" s="145">
        <f t="shared" si="8"/>
        <v>27868.08</v>
      </c>
      <c r="E85" s="145">
        <f t="shared" si="8"/>
        <v>29248.93</v>
      </c>
      <c r="F85" s="491"/>
      <c r="G85" s="52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42.75" customHeight="1">
      <c r="A86" s="540" t="s">
        <v>3381</v>
      </c>
      <c r="B86" s="541"/>
      <c r="C86" s="113" t="s">
        <v>299</v>
      </c>
      <c r="D86" s="113" t="s">
        <v>9</v>
      </c>
      <c r="E86" s="113" t="s">
        <v>10</v>
      </c>
      <c r="F86" s="542" t="s">
        <v>11</v>
      </c>
      <c r="G86" s="52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2.75" customHeight="1">
      <c r="A87" s="544" t="s">
        <v>3340</v>
      </c>
      <c r="B87" s="545"/>
      <c r="C87" s="545"/>
      <c r="D87" s="546"/>
      <c r="E87" s="546"/>
      <c r="F87" s="290" t="s">
        <v>3382</v>
      </c>
      <c r="G87" s="52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2.75" customHeight="1">
      <c r="A88" s="544" t="s">
        <v>303</v>
      </c>
      <c r="B88" s="123" t="s">
        <v>304</v>
      </c>
      <c r="C88" s="547"/>
      <c r="D88" s="546"/>
      <c r="E88" s="546"/>
      <c r="F88" s="300" t="s">
        <v>3383</v>
      </c>
      <c r="G88" s="52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2.75" customHeight="1">
      <c r="A89" s="128" t="s">
        <v>3312</v>
      </c>
      <c r="B89" s="129" t="s">
        <v>3313</v>
      </c>
      <c r="C89" s="156">
        <v>848.0</v>
      </c>
      <c r="D89" s="131">
        <v>21792.36</v>
      </c>
      <c r="E89" s="131">
        <v>22887.16</v>
      </c>
      <c r="F89" s="300" t="s">
        <v>3384</v>
      </c>
      <c r="G89" s="52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2.75" customHeight="1">
      <c r="A90" s="548"/>
      <c r="B90" s="549"/>
      <c r="C90" s="547"/>
      <c r="D90" s="546"/>
      <c r="E90" s="546"/>
      <c r="F90" s="523" t="s">
        <v>3385</v>
      </c>
      <c r="G90" s="52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2.75" customHeight="1">
      <c r="A91" s="200" t="s">
        <v>3386</v>
      </c>
      <c r="B91" s="549"/>
      <c r="C91" s="547"/>
      <c r="D91" s="546"/>
      <c r="E91" s="546"/>
      <c r="F91" s="523" t="s">
        <v>3387</v>
      </c>
      <c r="G91" s="52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2.75" customHeight="1">
      <c r="A92" s="548"/>
      <c r="B92" s="549"/>
      <c r="C92" s="547"/>
      <c r="D92" s="546"/>
      <c r="E92" s="546"/>
      <c r="F92" s="523" t="s">
        <v>3388</v>
      </c>
      <c r="G92" s="52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2.75" customHeight="1">
      <c r="A93" s="128" t="s">
        <v>316</v>
      </c>
      <c r="B93" s="545"/>
      <c r="C93" s="547"/>
      <c r="D93" s="546"/>
      <c r="E93" s="546"/>
      <c r="F93" s="316" t="s">
        <v>3389</v>
      </c>
      <c r="G93" s="52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8.75" customHeight="1">
      <c r="A94" s="550"/>
      <c r="B94" s="551"/>
      <c r="C94" s="552">
        <f t="shared" ref="C94:E94" si="9">SUM(C87:C93)</f>
        <v>848</v>
      </c>
      <c r="D94" s="145">
        <f t="shared" si="9"/>
        <v>21792.36</v>
      </c>
      <c r="E94" s="145">
        <f t="shared" si="9"/>
        <v>22887.16</v>
      </c>
      <c r="F94" s="491"/>
      <c r="G94" s="52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42.75" customHeight="1">
      <c r="A95" s="540" t="s">
        <v>3390</v>
      </c>
      <c r="B95" s="541"/>
      <c r="C95" s="113" t="s">
        <v>299</v>
      </c>
      <c r="D95" s="113" t="s">
        <v>9</v>
      </c>
      <c r="E95" s="113" t="s">
        <v>10</v>
      </c>
      <c r="F95" s="542" t="s">
        <v>11</v>
      </c>
      <c r="G95" s="52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2.75" customHeight="1">
      <c r="A96" s="544" t="s">
        <v>3340</v>
      </c>
      <c r="B96" s="545"/>
      <c r="C96" s="545"/>
      <c r="D96" s="546"/>
      <c r="E96" s="546"/>
      <c r="F96" s="290" t="s">
        <v>3391</v>
      </c>
      <c r="G96" s="52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2.75" customHeight="1">
      <c r="A97" s="544" t="s">
        <v>303</v>
      </c>
      <c r="B97" s="123" t="s">
        <v>304</v>
      </c>
      <c r="C97" s="547"/>
      <c r="D97" s="546"/>
      <c r="E97" s="546"/>
      <c r="F97" s="300" t="s">
        <v>3392</v>
      </c>
      <c r="G97" s="52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2.75" customHeight="1">
      <c r="A98" s="128" t="s">
        <v>3312</v>
      </c>
      <c r="B98" s="129" t="s">
        <v>3313</v>
      </c>
      <c r="C98" s="156">
        <v>927.0</v>
      </c>
      <c r="D98" s="131">
        <v>21898.1</v>
      </c>
      <c r="E98" s="131">
        <v>23050.85</v>
      </c>
      <c r="F98" s="300" t="s">
        <v>3393</v>
      </c>
      <c r="G98" s="52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75" customHeight="1">
      <c r="A99" s="548"/>
      <c r="B99" s="549"/>
      <c r="C99" s="547"/>
      <c r="D99" s="546"/>
      <c r="E99" s="546"/>
      <c r="F99" s="523" t="s">
        <v>3394</v>
      </c>
      <c r="G99" s="52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.75" customHeight="1">
      <c r="A100" s="200" t="s">
        <v>3395</v>
      </c>
      <c r="B100" s="549"/>
      <c r="C100" s="547"/>
      <c r="D100" s="546"/>
      <c r="E100" s="546"/>
      <c r="F100" s="523" t="s">
        <v>3396</v>
      </c>
      <c r="G100" s="52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2.75" customHeight="1">
      <c r="A101" s="548"/>
      <c r="B101" s="549"/>
      <c r="C101" s="547"/>
      <c r="D101" s="546"/>
      <c r="E101" s="546"/>
      <c r="F101" s="523" t="s">
        <v>3397</v>
      </c>
      <c r="G101" s="52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75" customHeight="1">
      <c r="A102" s="128" t="s">
        <v>3398</v>
      </c>
      <c r="B102" s="545"/>
      <c r="C102" s="547"/>
      <c r="D102" s="546"/>
      <c r="E102" s="546"/>
      <c r="F102" s="316" t="s">
        <v>3399</v>
      </c>
      <c r="G102" s="52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8.75" customHeight="1">
      <c r="A103" s="550"/>
      <c r="B103" s="551"/>
      <c r="C103" s="552">
        <f t="shared" ref="C103:E103" si="10">SUM(C96:C102)</f>
        <v>927</v>
      </c>
      <c r="D103" s="145">
        <f t="shared" si="10"/>
        <v>21898.1</v>
      </c>
      <c r="E103" s="145">
        <f t="shared" si="10"/>
        <v>23050.85</v>
      </c>
      <c r="F103" s="491"/>
      <c r="G103" s="52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8.75" customHeight="1">
      <c r="A104" s="203"/>
      <c r="B104" s="143"/>
      <c r="C104" s="144"/>
      <c r="D104" s="145"/>
      <c r="E104" s="146"/>
      <c r="F104" s="147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8.0" customHeight="1">
      <c r="A105" s="266"/>
      <c r="B105" s="267"/>
      <c r="C105" s="268" t="s">
        <v>292</v>
      </c>
      <c r="D105" s="269" t="s">
        <v>292</v>
      </c>
      <c r="E105" s="270" t="s">
        <v>292</v>
      </c>
      <c r="F105" s="271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8.75" customHeight="1">
      <c r="A106" s="272"/>
      <c r="B106" s="273"/>
      <c r="C106" s="274">
        <f t="shared" ref="C106:E106" si="11">SUM(C21+C31+C40+C49+C58+C67+C76+C85+C94+C103)</f>
        <v>8994</v>
      </c>
      <c r="D106" s="98">
        <f t="shared" si="11"/>
        <v>230225.96</v>
      </c>
      <c r="E106" s="98">
        <f t="shared" si="11"/>
        <v>241623.36</v>
      </c>
      <c r="F106" s="277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2.75" customHeight="1">
      <c r="A107" s="4"/>
      <c r="B107" s="101"/>
      <c r="C107" s="4"/>
      <c r="D107" s="102"/>
      <c r="E107" s="103"/>
      <c r="F107" s="10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2.75" customHeight="1">
      <c r="A108" s="4"/>
      <c r="B108" s="101"/>
      <c r="C108" s="4"/>
      <c r="D108" s="102"/>
      <c r="E108" s="103"/>
      <c r="F108" s="10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2.75" customHeight="1">
      <c r="A109" s="4"/>
      <c r="B109" s="101"/>
      <c r="C109" s="4"/>
      <c r="D109" s="102"/>
      <c r="E109" s="103"/>
      <c r="F109" s="10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2.75" customHeight="1">
      <c r="A110" s="4"/>
      <c r="B110" s="101"/>
      <c r="C110" s="4"/>
      <c r="D110" s="102"/>
      <c r="E110" s="103"/>
      <c r="F110" s="10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2.75" customHeight="1">
      <c r="A111" s="4"/>
      <c r="B111" s="101"/>
      <c r="C111" s="4"/>
      <c r="D111" s="102"/>
      <c r="E111" s="103"/>
      <c r="F111" s="10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2.75" customHeight="1">
      <c r="A112" s="4"/>
      <c r="B112" s="101"/>
      <c r="C112" s="4"/>
      <c r="D112" s="102"/>
      <c r="E112" s="103"/>
      <c r="F112" s="10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2.75" customHeight="1">
      <c r="A113" s="4"/>
      <c r="B113" s="101"/>
      <c r="C113" s="4"/>
      <c r="D113" s="102"/>
      <c r="E113" s="103"/>
      <c r="F113" s="10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2.75" customHeight="1">
      <c r="A114" s="4"/>
      <c r="B114" s="101"/>
      <c r="C114" s="4"/>
      <c r="D114" s="102"/>
      <c r="E114" s="103"/>
      <c r="F114" s="10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2.75" customHeight="1">
      <c r="A115" s="4"/>
      <c r="B115" s="101"/>
      <c r="C115" s="4"/>
      <c r="D115" s="102"/>
      <c r="E115" s="103"/>
      <c r="F115" s="10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2.75" customHeight="1">
      <c r="A116" s="4"/>
      <c r="B116" s="101"/>
      <c r="C116" s="4"/>
      <c r="D116" s="102"/>
      <c r="E116" s="103"/>
      <c r="F116" s="10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2.75" customHeight="1">
      <c r="A117" s="4"/>
      <c r="B117" s="101"/>
      <c r="C117" s="4"/>
      <c r="D117" s="102"/>
      <c r="E117" s="103"/>
      <c r="F117" s="10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2.75" customHeight="1">
      <c r="A118" s="4"/>
      <c r="B118" s="101"/>
      <c r="C118" s="4"/>
      <c r="D118" s="102"/>
      <c r="E118" s="103"/>
      <c r="F118" s="10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2.75" customHeight="1">
      <c r="A119" s="4"/>
      <c r="B119" s="101"/>
      <c r="C119" s="4"/>
      <c r="D119" s="102"/>
      <c r="E119" s="103"/>
      <c r="F119" s="10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2.75" customHeight="1">
      <c r="A120" s="4"/>
      <c r="B120" s="101"/>
      <c r="C120" s="4"/>
      <c r="D120" s="102"/>
      <c r="E120" s="103"/>
      <c r="F120" s="10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75" customHeight="1">
      <c r="A121" s="4"/>
      <c r="B121" s="101"/>
      <c r="C121" s="4"/>
      <c r="D121" s="102"/>
      <c r="E121" s="103"/>
      <c r="F121" s="10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75" customHeight="1">
      <c r="A122" s="4"/>
      <c r="B122" s="101"/>
      <c r="C122" s="4"/>
      <c r="D122" s="102"/>
      <c r="E122" s="103"/>
      <c r="F122" s="10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2.75" customHeight="1">
      <c r="A123" s="4"/>
      <c r="B123" s="101"/>
      <c r="C123" s="4"/>
      <c r="D123" s="102"/>
      <c r="E123" s="103"/>
      <c r="F123" s="10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2.75" customHeight="1">
      <c r="A124" s="4"/>
      <c r="B124" s="101"/>
      <c r="C124" s="4"/>
      <c r="D124" s="102"/>
      <c r="E124" s="103"/>
      <c r="F124" s="10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2.75" customHeight="1">
      <c r="A125" s="4"/>
      <c r="B125" s="101"/>
      <c r="C125" s="4"/>
      <c r="D125" s="102"/>
      <c r="E125" s="103"/>
      <c r="F125" s="10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2.75" customHeight="1">
      <c r="A126" s="4"/>
      <c r="B126" s="101"/>
      <c r="C126" s="4"/>
      <c r="D126" s="102"/>
      <c r="E126" s="103"/>
      <c r="F126" s="10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2.75" customHeight="1">
      <c r="A127" s="4"/>
      <c r="B127" s="101"/>
      <c r="C127" s="4"/>
      <c r="D127" s="102"/>
      <c r="E127" s="103"/>
      <c r="F127" s="10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2.75" customHeight="1">
      <c r="A128" s="4"/>
      <c r="B128" s="101"/>
      <c r="C128" s="4"/>
      <c r="D128" s="102"/>
      <c r="E128" s="103"/>
      <c r="F128" s="10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2.75" customHeight="1">
      <c r="A129" s="4"/>
      <c r="B129" s="101"/>
      <c r="C129" s="4"/>
      <c r="D129" s="102"/>
      <c r="E129" s="103"/>
      <c r="F129" s="10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2.75" customHeight="1">
      <c r="A130" s="4"/>
      <c r="B130" s="101"/>
      <c r="C130" s="4"/>
      <c r="D130" s="102"/>
      <c r="E130" s="103"/>
      <c r="F130" s="10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2.75" customHeight="1">
      <c r="A131" s="4"/>
      <c r="B131" s="101"/>
      <c r="C131" s="4"/>
      <c r="D131" s="102"/>
      <c r="E131" s="103"/>
      <c r="F131" s="10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2.75" customHeight="1">
      <c r="A132" s="4"/>
      <c r="B132" s="101"/>
      <c r="C132" s="4"/>
      <c r="D132" s="102"/>
      <c r="E132" s="103"/>
      <c r="F132" s="10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2.75" customHeight="1">
      <c r="A133" s="4"/>
      <c r="B133" s="101"/>
      <c r="C133" s="4"/>
      <c r="D133" s="102"/>
      <c r="E133" s="103"/>
      <c r="F133" s="10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75" customHeight="1">
      <c r="A134" s="4"/>
      <c r="B134" s="101"/>
      <c r="C134" s="4"/>
      <c r="D134" s="102"/>
      <c r="E134" s="103"/>
      <c r="F134" s="10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75" customHeight="1">
      <c r="A135" s="4"/>
      <c r="B135" s="101"/>
      <c r="C135" s="4"/>
      <c r="D135" s="102"/>
      <c r="E135" s="103"/>
      <c r="F135" s="10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.75" customHeight="1">
      <c r="A136" s="4"/>
      <c r="B136" s="101"/>
      <c r="C136" s="4"/>
      <c r="D136" s="102"/>
      <c r="E136" s="103"/>
      <c r="F136" s="10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.75" customHeight="1">
      <c r="A137" s="4"/>
      <c r="B137" s="101"/>
      <c r="C137" s="4"/>
      <c r="D137" s="102"/>
      <c r="E137" s="103"/>
      <c r="F137" s="10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2.75" customHeight="1">
      <c r="A138" s="4"/>
      <c r="B138" s="101"/>
      <c r="C138" s="4"/>
      <c r="D138" s="102"/>
      <c r="E138" s="103"/>
      <c r="F138" s="10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2.75" customHeight="1">
      <c r="A139" s="4"/>
      <c r="B139" s="101"/>
      <c r="C139" s="4"/>
      <c r="D139" s="102"/>
      <c r="E139" s="103"/>
      <c r="F139" s="10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2.75" customHeight="1">
      <c r="A140" s="4"/>
      <c r="B140" s="101"/>
      <c r="C140" s="4"/>
      <c r="D140" s="102"/>
      <c r="E140" s="103"/>
      <c r="F140" s="10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2.75" customHeight="1">
      <c r="A141" s="4"/>
      <c r="B141" s="101"/>
      <c r="C141" s="4"/>
      <c r="D141" s="102"/>
      <c r="E141" s="103"/>
      <c r="F141" s="10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.75" customHeight="1">
      <c r="A142" s="4"/>
      <c r="B142" s="101"/>
      <c r="C142" s="4"/>
      <c r="D142" s="102"/>
      <c r="E142" s="103"/>
      <c r="F142" s="10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.75" customHeight="1">
      <c r="A143" s="4"/>
      <c r="B143" s="101"/>
      <c r="C143" s="4"/>
      <c r="D143" s="102"/>
      <c r="E143" s="103"/>
      <c r="F143" s="10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.75" customHeight="1">
      <c r="A144" s="4"/>
      <c r="B144" s="101"/>
      <c r="C144" s="4"/>
      <c r="D144" s="102"/>
      <c r="E144" s="103"/>
      <c r="F144" s="10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.75" customHeight="1">
      <c r="A145" s="4"/>
      <c r="B145" s="101"/>
      <c r="C145" s="4"/>
      <c r="D145" s="102"/>
      <c r="E145" s="103"/>
      <c r="F145" s="10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2.75" customHeight="1">
      <c r="A146" s="4"/>
      <c r="B146" s="101"/>
      <c r="C146" s="4"/>
      <c r="D146" s="102"/>
      <c r="E146" s="103"/>
      <c r="F146" s="10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75" customHeight="1">
      <c r="A147" s="4"/>
      <c r="B147" s="101"/>
      <c r="C147" s="4"/>
      <c r="D147" s="102"/>
      <c r="E147" s="103"/>
      <c r="F147" s="10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75" customHeight="1">
      <c r="A148" s="4"/>
      <c r="B148" s="101"/>
      <c r="C148" s="4"/>
      <c r="D148" s="102"/>
      <c r="E148" s="103"/>
      <c r="F148" s="10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2.75" customHeight="1">
      <c r="A149" s="4"/>
      <c r="B149" s="101"/>
      <c r="C149" s="4"/>
      <c r="D149" s="102"/>
      <c r="E149" s="103"/>
      <c r="F149" s="10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2.75" customHeight="1">
      <c r="A150" s="4"/>
      <c r="B150" s="101"/>
      <c r="C150" s="4"/>
      <c r="D150" s="102"/>
      <c r="E150" s="103"/>
      <c r="F150" s="10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.75" customHeight="1">
      <c r="A151" s="4"/>
      <c r="B151" s="101"/>
      <c r="C151" s="4"/>
      <c r="D151" s="102"/>
      <c r="E151" s="103"/>
      <c r="F151" s="10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.75" customHeight="1">
      <c r="A152" s="4"/>
      <c r="B152" s="101"/>
      <c r="C152" s="4"/>
      <c r="D152" s="102"/>
      <c r="E152" s="103"/>
      <c r="F152" s="10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.75" customHeight="1">
      <c r="A153" s="4"/>
      <c r="B153" s="101"/>
      <c r="C153" s="4"/>
      <c r="D153" s="102"/>
      <c r="E153" s="103"/>
      <c r="F153" s="10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.75" customHeight="1">
      <c r="A154" s="4"/>
      <c r="B154" s="101"/>
      <c r="C154" s="4"/>
      <c r="D154" s="102"/>
      <c r="E154" s="103"/>
      <c r="F154" s="10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.75" customHeight="1">
      <c r="A155" s="4"/>
      <c r="B155" s="101"/>
      <c r="C155" s="4"/>
      <c r="D155" s="102"/>
      <c r="E155" s="103"/>
      <c r="F155" s="10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.75" customHeight="1">
      <c r="A156" s="4"/>
      <c r="B156" s="101"/>
      <c r="C156" s="4"/>
      <c r="D156" s="102"/>
      <c r="E156" s="103"/>
      <c r="F156" s="10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.75" customHeight="1">
      <c r="A157" s="4"/>
      <c r="B157" s="101"/>
      <c r="C157" s="4"/>
      <c r="D157" s="102"/>
      <c r="E157" s="103"/>
      <c r="F157" s="10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.75" customHeight="1">
      <c r="A158" s="4"/>
      <c r="B158" s="101"/>
      <c r="C158" s="4"/>
      <c r="D158" s="102"/>
      <c r="E158" s="103"/>
      <c r="F158" s="10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2.75" customHeight="1">
      <c r="A159" s="4"/>
      <c r="B159" s="101"/>
      <c r="C159" s="4"/>
      <c r="D159" s="102"/>
      <c r="E159" s="103"/>
      <c r="F159" s="10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.75" customHeight="1">
      <c r="A160" s="4"/>
      <c r="B160" s="101"/>
      <c r="C160" s="4"/>
      <c r="D160" s="102"/>
      <c r="E160" s="103"/>
      <c r="F160" s="10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.75" customHeight="1">
      <c r="A161" s="4"/>
      <c r="B161" s="101"/>
      <c r="C161" s="4"/>
      <c r="D161" s="102"/>
      <c r="E161" s="103"/>
      <c r="F161" s="10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75" customHeight="1">
      <c r="A162" s="4"/>
      <c r="B162" s="101"/>
      <c r="C162" s="4"/>
      <c r="D162" s="102"/>
      <c r="E162" s="103"/>
      <c r="F162" s="10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.75" customHeight="1">
      <c r="A163" s="4"/>
      <c r="B163" s="101"/>
      <c r="C163" s="4"/>
      <c r="D163" s="102"/>
      <c r="E163" s="103"/>
      <c r="F163" s="10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75" customHeight="1">
      <c r="A164" s="4"/>
      <c r="B164" s="101"/>
      <c r="C164" s="4"/>
      <c r="D164" s="102"/>
      <c r="E164" s="103"/>
      <c r="F164" s="10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75" customHeight="1">
      <c r="A165" s="4"/>
      <c r="B165" s="101"/>
      <c r="C165" s="4"/>
      <c r="D165" s="102"/>
      <c r="E165" s="103"/>
      <c r="F165" s="10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75" customHeight="1">
      <c r="A166" s="4"/>
      <c r="B166" s="101"/>
      <c r="C166" s="4"/>
      <c r="D166" s="102"/>
      <c r="E166" s="103"/>
      <c r="F166" s="10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.75" customHeight="1">
      <c r="A167" s="4"/>
      <c r="B167" s="101"/>
      <c r="C167" s="4"/>
      <c r="D167" s="102"/>
      <c r="E167" s="103"/>
      <c r="F167" s="10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75" customHeight="1">
      <c r="A168" s="4"/>
      <c r="B168" s="101"/>
      <c r="C168" s="4"/>
      <c r="D168" s="102"/>
      <c r="E168" s="103"/>
      <c r="F168" s="10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75" customHeight="1">
      <c r="A169" s="4"/>
      <c r="B169" s="101"/>
      <c r="C169" s="4"/>
      <c r="D169" s="102"/>
      <c r="E169" s="103"/>
      <c r="F169" s="10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75" customHeight="1">
      <c r="A170" s="4"/>
      <c r="B170" s="101"/>
      <c r="C170" s="4"/>
      <c r="D170" s="102"/>
      <c r="E170" s="103"/>
      <c r="F170" s="10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75" customHeight="1">
      <c r="A171" s="4"/>
      <c r="B171" s="101"/>
      <c r="C171" s="4"/>
      <c r="D171" s="102"/>
      <c r="E171" s="103"/>
      <c r="F171" s="10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75" customHeight="1">
      <c r="A172" s="4"/>
      <c r="B172" s="101"/>
      <c r="C172" s="4"/>
      <c r="D172" s="102"/>
      <c r="E172" s="103"/>
      <c r="F172" s="10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75" customHeight="1">
      <c r="A173" s="4"/>
      <c r="B173" s="101"/>
      <c r="C173" s="4"/>
      <c r="D173" s="102"/>
      <c r="E173" s="103"/>
      <c r="F173" s="10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75" customHeight="1">
      <c r="A174" s="4"/>
      <c r="B174" s="101"/>
      <c r="C174" s="4"/>
      <c r="D174" s="102"/>
      <c r="E174" s="103"/>
      <c r="F174" s="10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75" customHeight="1">
      <c r="A175" s="4"/>
      <c r="B175" s="101"/>
      <c r="C175" s="4"/>
      <c r="D175" s="102"/>
      <c r="E175" s="103"/>
      <c r="F175" s="10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75" customHeight="1">
      <c r="A176" s="4"/>
      <c r="B176" s="101"/>
      <c r="C176" s="4"/>
      <c r="D176" s="102"/>
      <c r="E176" s="103"/>
      <c r="F176" s="10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75" customHeight="1">
      <c r="A177" s="4"/>
      <c r="B177" s="101"/>
      <c r="C177" s="4"/>
      <c r="D177" s="102"/>
      <c r="E177" s="103"/>
      <c r="F177" s="10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75" customHeight="1">
      <c r="A178" s="4"/>
      <c r="B178" s="101"/>
      <c r="C178" s="4"/>
      <c r="D178" s="102"/>
      <c r="E178" s="103"/>
      <c r="F178" s="10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75" customHeight="1">
      <c r="A179" s="4"/>
      <c r="B179" s="101"/>
      <c r="C179" s="4"/>
      <c r="D179" s="102"/>
      <c r="E179" s="103"/>
      <c r="F179" s="10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75" customHeight="1">
      <c r="A180" s="4"/>
      <c r="B180" s="101"/>
      <c r="C180" s="4"/>
      <c r="D180" s="102"/>
      <c r="E180" s="103"/>
      <c r="F180" s="10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75" customHeight="1">
      <c r="A181" s="4"/>
      <c r="B181" s="101"/>
      <c r="C181" s="4"/>
      <c r="D181" s="102"/>
      <c r="E181" s="103"/>
      <c r="F181" s="10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75" customHeight="1">
      <c r="A182" s="4"/>
      <c r="B182" s="101"/>
      <c r="C182" s="4"/>
      <c r="D182" s="102"/>
      <c r="E182" s="103"/>
      <c r="F182" s="10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75" customHeight="1">
      <c r="A183" s="4"/>
      <c r="B183" s="101"/>
      <c r="C183" s="4"/>
      <c r="D183" s="102"/>
      <c r="E183" s="103"/>
      <c r="F183" s="10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75" customHeight="1">
      <c r="A184" s="4"/>
      <c r="B184" s="101"/>
      <c r="C184" s="4"/>
      <c r="D184" s="102"/>
      <c r="E184" s="103"/>
      <c r="F184" s="10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75" customHeight="1">
      <c r="A185" s="4"/>
      <c r="B185" s="101"/>
      <c r="C185" s="4"/>
      <c r="D185" s="102"/>
      <c r="E185" s="103"/>
      <c r="F185" s="10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75" customHeight="1">
      <c r="A186" s="4"/>
      <c r="B186" s="101"/>
      <c r="C186" s="4"/>
      <c r="D186" s="102"/>
      <c r="E186" s="103"/>
      <c r="F186" s="10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75" customHeight="1">
      <c r="A187" s="4"/>
      <c r="B187" s="101"/>
      <c r="C187" s="4"/>
      <c r="D187" s="102"/>
      <c r="E187" s="103"/>
      <c r="F187" s="10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75" customHeight="1">
      <c r="A188" s="4"/>
      <c r="B188" s="101"/>
      <c r="C188" s="4"/>
      <c r="D188" s="102"/>
      <c r="E188" s="103"/>
      <c r="F188" s="10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75" customHeight="1">
      <c r="A189" s="4"/>
      <c r="B189" s="101"/>
      <c r="C189" s="4"/>
      <c r="D189" s="102"/>
      <c r="E189" s="103"/>
      <c r="F189" s="10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75" customHeight="1">
      <c r="A190" s="4"/>
      <c r="B190" s="101"/>
      <c r="C190" s="4"/>
      <c r="D190" s="102"/>
      <c r="E190" s="103"/>
      <c r="F190" s="10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75" customHeight="1">
      <c r="A191" s="4"/>
      <c r="B191" s="101"/>
      <c r="C191" s="4"/>
      <c r="D191" s="102"/>
      <c r="E191" s="103"/>
      <c r="F191" s="10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75" customHeight="1">
      <c r="A192" s="4"/>
      <c r="B192" s="101"/>
      <c r="C192" s="4"/>
      <c r="D192" s="102"/>
      <c r="E192" s="103"/>
      <c r="F192" s="10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75" customHeight="1">
      <c r="A193" s="4"/>
      <c r="B193" s="101"/>
      <c r="C193" s="4"/>
      <c r="D193" s="102"/>
      <c r="E193" s="103"/>
      <c r="F193" s="10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75" customHeight="1">
      <c r="A194" s="4"/>
      <c r="B194" s="101"/>
      <c r="C194" s="4"/>
      <c r="D194" s="102"/>
      <c r="E194" s="103"/>
      <c r="F194" s="10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75" customHeight="1">
      <c r="A195" s="4"/>
      <c r="B195" s="101"/>
      <c r="C195" s="4"/>
      <c r="D195" s="102"/>
      <c r="E195" s="103"/>
      <c r="F195" s="10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75" customHeight="1">
      <c r="A196" s="4"/>
      <c r="B196" s="101"/>
      <c r="C196" s="4"/>
      <c r="D196" s="102"/>
      <c r="E196" s="103"/>
      <c r="F196" s="10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75" customHeight="1">
      <c r="A197" s="4"/>
      <c r="B197" s="101"/>
      <c r="C197" s="4"/>
      <c r="D197" s="102"/>
      <c r="E197" s="103"/>
      <c r="F197" s="10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75" customHeight="1">
      <c r="A198" s="4"/>
      <c r="B198" s="101"/>
      <c r="C198" s="4"/>
      <c r="D198" s="102"/>
      <c r="E198" s="103"/>
      <c r="F198" s="10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75" customHeight="1">
      <c r="A199" s="4"/>
      <c r="B199" s="101"/>
      <c r="C199" s="4"/>
      <c r="D199" s="102"/>
      <c r="E199" s="103"/>
      <c r="F199" s="10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75" customHeight="1">
      <c r="A200" s="4"/>
      <c r="B200" s="101"/>
      <c r="C200" s="4"/>
      <c r="D200" s="102"/>
      <c r="E200" s="103"/>
      <c r="F200" s="10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75" customHeight="1">
      <c r="A201" s="4"/>
      <c r="B201" s="101"/>
      <c r="C201" s="4"/>
      <c r="D201" s="102"/>
      <c r="E201" s="103"/>
      <c r="F201" s="10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.75" customHeight="1">
      <c r="A202" s="4"/>
      <c r="B202" s="101"/>
      <c r="C202" s="4"/>
      <c r="D202" s="102"/>
      <c r="E202" s="103"/>
      <c r="F202" s="10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75" customHeight="1">
      <c r="A203" s="4"/>
      <c r="B203" s="101"/>
      <c r="C203" s="4"/>
      <c r="D203" s="102"/>
      <c r="E203" s="103"/>
      <c r="F203" s="10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75" customHeight="1">
      <c r="A204" s="4"/>
      <c r="B204" s="101"/>
      <c r="C204" s="4"/>
      <c r="D204" s="102"/>
      <c r="E204" s="103"/>
      <c r="F204" s="10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75" customHeight="1">
      <c r="A205" s="4"/>
      <c r="B205" s="101"/>
      <c r="C205" s="4"/>
      <c r="D205" s="102"/>
      <c r="E205" s="103"/>
      <c r="F205" s="10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75" customHeight="1">
      <c r="A206" s="4"/>
      <c r="B206" s="101"/>
      <c r="C206" s="4"/>
      <c r="D206" s="102"/>
      <c r="E206" s="103"/>
      <c r="F206" s="10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75" customHeight="1">
      <c r="A207" s="4"/>
      <c r="B207" s="101"/>
      <c r="C207" s="4"/>
      <c r="D207" s="102"/>
      <c r="E207" s="103"/>
      <c r="F207" s="10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75" customHeight="1">
      <c r="A208" s="4"/>
      <c r="B208" s="101"/>
      <c r="C208" s="4"/>
      <c r="D208" s="102"/>
      <c r="E208" s="103"/>
      <c r="F208" s="10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75" customHeight="1">
      <c r="A209" s="4"/>
      <c r="B209" s="101"/>
      <c r="C209" s="4"/>
      <c r="D209" s="102"/>
      <c r="E209" s="103"/>
      <c r="F209" s="10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75" customHeight="1">
      <c r="A210" s="4"/>
      <c r="B210" s="101"/>
      <c r="C210" s="4"/>
      <c r="D210" s="102"/>
      <c r="E210" s="103"/>
      <c r="F210" s="10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.75" customHeight="1">
      <c r="A211" s="4"/>
      <c r="B211" s="101"/>
      <c r="C211" s="4"/>
      <c r="D211" s="102"/>
      <c r="E211" s="103"/>
      <c r="F211" s="10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75" customHeight="1">
      <c r="A212" s="4"/>
      <c r="B212" s="101"/>
      <c r="C212" s="4"/>
      <c r="D212" s="102"/>
      <c r="E212" s="103"/>
      <c r="F212" s="10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75" customHeight="1">
      <c r="A213" s="4"/>
      <c r="B213" s="101"/>
      <c r="C213" s="4"/>
      <c r="D213" s="102"/>
      <c r="E213" s="103"/>
      <c r="F213" s="10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75" customHeight="1">
      <c r="A214" s="4"/>
      <c r="B214" s="101"/>
      <c r="C214" s="4"/>
      <c r="D214" s="102"/>
      <c r="E214" s="103"/>
      <c r="F214" s="10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75" customHeight="1">
      <c r="A215" s="4"/>
      <c r="B215" s="101"/>
      <c r="C215" s="4"/>
      <c r="D215" s="102"/>
      <c r="E215" s="103"/>
      <c r="F215" s="10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75" customHeight="1">
      <c r="A216" s="4"/>
      <c r="B216" s="101"/>
      <c r="C216" s="4"/>
      <c r="D216" s="102"/>
      <c r="E216" s="103"/>
      <c r="F216" s="10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75" customHeight="1">
      <c r="A217" s="4"/>
      <c r="B217" s="101"/>
      <c r="C217" s="4"/>
      <c r="D217" s="102"/>
      <c r="E217" s="103"/>
      <c r="F217" s="10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75" customHeight="1">
      <c r="A218" s="4"/>
      <c r="B218" s="101"/>
      <c r="C218" s="4"/>
      <c r="D218" s="102"/>
      <c r="E218" s="103"/>
      <c r="F218" s="10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75" customHeight="1">
      <c r="A219" s="4"/>
      <c r="B219" s="101"/>
      <c r="C219" s="4"/>
      <c r="D219" s="102"/>
      <c r="E219" s="103"/>
      <c r="F219" s="10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75" customHeight="1">
      <c r="A220" s="4"/>
      <c r="B220" s="101"/>
      <c r="C220" s="4"/>
      <c r="D220" s="102"/>
      <c r="E220" s="103"/>
      <c r="F220" s="10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2.75" customHeight="1">
      <c r="A221" s="4"/>
      <c r="B221" s="101"/>
      <c r="C221" s="4"/>
      <c r="D221" s="102"/>
      <c r="E221" s="103"/>
      <c r="F221" s="10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2.75" customHeight="1">
      <c r="A222" s="4"/>
      <c r="B222" s="101"/>
      <c r="C222" s="4"/>
      <c r="D222" s="102"/>
      <c r="E222" s="103"/>
      <c r="F222" s="10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2.75" customHeight="1">
      <c r="A223" s="4"/>
      <c r="B223" s="101"/>
      <c r="C223" s="4"/>
      <c r="D223" s="102"/>
      <c r="E223" s="103"/>
      <c r="F223" s="10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2.75" customHeight="1">
      <c r="A224" s="4"/>
      <c r="B224" s="101"/>
      <c r="C224" s="4"/>
      <c r="D224" s="102"/>
      <c r="E224" s="103"/>
      <c r="F224" s="10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2.75" customHeight="1">
      <c r="A225" s="4"/>
      <c r="B225" s="101"/>
      <c r="C225" s="4"/>
      <c r="D225" s="102"/>
      <c r="E225" s="103"/>
      <c r="F225" s="10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2.75" customHeight="1">
      <c r="A226" s="4"/>
      <c r="B226" s="101"/>
      <c r="C226" s="4"/>
      <c r="D226" s="102"/>
      <c r="E226" s="103"/>
      <c r="F226" s="10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2.75" customHeight="1">
      <c r="A227" s="4"/>
      <c r="B227" s="101"/>
      <c r="C227" s="4"/>
      <c r="D227" s="102"/>
      <c r="E227" s="103"/>
      <c r="F227" s="10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2.75" customHeight="1">
      <c r="A228" s="4"/>
      <c r="B228" s="101"/>
      <c r="C228" s="4"/>
      <c r="D228" s="102"/>
      <c r="E228" s="103"/>
      <c r="F228" s="10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2.75" customHeight="1">
      <c r="A229" s="4"/>
      <c r="B229" s="101"/>
      <c r="C229" s="4"/>
      <c r="D229" s="102"/>
      <c r="E229" s="103"/>
      <c r="F229" s="10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2.75" customHeight="1">
      <c r="A230" s="4"/>
      <c r="B230" s="101"/>
      <c r="C230" s="4"/>
      <c r="D230" s="102"/>
      <c r="E230" s="103"/>
      <c r="F230" s="10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2.75" customHeight="1">
      <c r="A231" s="4"/>
      <c r="B231" s="101"/>
      <c r="C231" s="4"/>
      <c r="D231" s="102"/>
      <c r="E231" s="103"/>
      <c r="F231" s="10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2.75" customHeight="1">
      <c r="A232" s="4"/>
      <c r="B232" s="101"/>
      <c r="C232" s="4"/>
      <c r="D232" s="102"/>
      <c r="E232" s="103"/>
      <c r="F232" s="10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2.75" customHeight="1">
      <c r="A233" s="4"/>
      <c r="B233" s="101"/>
      <c r="C233" s="4"/>
      <c r="D233" s="102"/>
      <c r="E233" s="103"/>
      <c r="F233" s="10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2.75" customHeight="1">
      <c r="A234" s="4"/>
      <c r="B234" s="101"/>
      <c r="C234" s="4"/>
      <c r="D234" s="102"/>
      <c r="E234" s="103"/>
      <c r="F234" s="10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2.75" customHeight="1">
      <c r="A235" s="4"/>
      <c r="B235" s="101"/>
      <c r="C235" s="4"/>
      <c r="D235" s="102"/>
      <c r="E235" s="103"/>
      <c r="F235" s="10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2.75" customHeight="1">
      <c r="A236" s="4"/>
      <c r="B236" s="101"/>
      <c r="C236" s="4"/>
      <c r="D236" s="102"/>
      <c r="E236" s="103"/>
      <c r="F236" s="10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2.75" customHeight="1">
      <c r="A237" s="4"/>
      <c r="B237" s="101"/>
      <c r="C237" s="4"/>
      <c r="D237" s="102"/>
      <c r="E237" s="103"/>
      <c r="F237" s="10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2.75" customHeight="1">
      <c r="A238" s="4"/>
      <c r="B238" s="101"/>
      <c r="C238" s="4"/>
      <c r="D238" s="102"/>
      <c r="E238" s="103"/>
      <c r="F238" s="10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2.75" customHeight="1">
      <c r="A239" s="4"/>
      <c r="B239" s="101"/>
      <c r="C239" s="4"/>
      <c r="D239" s="102"/>
      <c r="E239" s="103"/>
      <c r="F239" s="10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2.75" customHeight="1">
      <c r="A240" s="4"/>
      <c r="B240" s="101"/>
      <c r="C240" s="4"/>
      <c r="D240" s="102"/>
      <c r="E240" s="103"/>
      <c r="F240" s="10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2.75" customHeight="1">
      <c r="A241" s="4"/>
      <c r="B241" s="101"/>
      <c r="C241" s="4"/>
      <c r="D241" s="102"/>
      <c r="E241" s="103"/>
      <c r="F241" s="10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2.75" customHeight="1">
      <c r="A242" s="4"/>
      <c r="B242" s="101"/>
      <c r="C242" s="4"/>
      <c r="D242" s="102"/>
      <c r="E242" s="103"/>
      <c r="F242" s="10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2.75" customHeight="1">
      <c r="A243" s="4"/>
      <c r="B243" s="101"/>
      <c r="C243" s="4"/>
      <c r="D243" s="102"/>
      <c r="E243" s="103"/>
      <c r="F243" s="10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2.75" customHeight="1">
      <c r="A244" s="4"/>
      <c r="B244" s="101"/>
      <c r="C244" s="4"/>
      <c r="D244" s="102"/>
      <c r="E244" s="103"/>
      <c r="F244" s="10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2.75" customHeight="1">
      <c r="A245" s="4"/>
      <c r="B245" s="101"/>
      <c r="C245" s="4"/>
      <c r="D245" s="102"/>
      <c r="E245" s="103"/>
      <c r="F245" s="10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2.75" customHeight="1">
      <c r="A246" s="4"/>
      <c r="B246" s="101"/>
      <c r="C246" s="4"/>
      <c r="D246" s="102"/>
      <c r="E246" s="103"/>
      <c r="F246" s="10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2.75" customHeight="1">
      <c r="A247" s="4"/>
      <c r="B247" s="101"/>
      <c r="C247" s="4"/>
      <c r="D247" s="102"/>
      <c r="E247" s="103"/>
      <c r="F247" s="10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2.75" customHeight="1">
      <c r="A248" s="4"/>
      <c r="B248" s="101"/>
      <c r="C248" s="4"/>
      <c r="D248" s="102"/>
      <c r="E248" s="103"/>
      <c r="F248" s="10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2.75" customHeight="1">
      <c r="A249" s="4"/>
      <c r="B249" s="101"/>
      <c r="C249" s="4"/>
      <c r="D249" s="102"/>
      <c r="E249" s="103"/>
      <c r="F249" s="10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2.75" customHeight="1">
      <c r="A250" s="4"/>
      <c r="B250" s="101"/>
      <c r="C250" s="4"/>
      <c r="D250" s="102"/>
      <c r="E250" s="103"/>
      <c r="F250" s="10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2.75" customHeight="1">
      <c r="A251" s="4"/>
      <c r="B251" s="101"/>
      <c r="C251" s="4"/>
      <c r="D251" s="102"/>
      <c r="E251" s="103"/>
      <c r="F251" s="10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2.75" customHeight="1">
      <c r="A252" s="4"/>
      <c r="B252" s="101"/>
      <c r="C252" s="4"/>
      <c r="D252" s="102"/>
      <c r="E252" s="103"/>
      <c r="F252" s="10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2.75" customHeight="1">
      <c r="A253" s="4"/>
      <c r="B253" s="101"/>
      <c r="C253" s="4"/>
      <c r="D253" s="102"/>
      <c r="E253" s="103"/>
      <c r="F253" s="10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2.75" customHeight="1">
      <c r="A254" s="4"/>
      <c r="B254" s="101"/>
      <c r="C254" s="4"/>
      <c r="D254" s="102"/>
      <c r="E254" s="103"/>
      <c r="F254" s="10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2.75" customHeight="1">
      <c r="A255" s="4"/>
      <c r="B255" s="101"/>
      <c r="C255" s="4"/>
      <c r="D255" s="102"/>
      <c r="E255" s="103"/>
      <c r="F255" s="10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2.75" customHeight="1">
      <c r="A256" s="4"/>
      <c r="B256" s="101"/>
      <c r="C256" s="4"/>
      <c r="D256" s="102"/>
      <c r="E256" s="103"/>
      <c r="F256" s="10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2.75" customHeight="1">
      <c r="A257" s="4"/>
      <c r="B257" s="101"/>
      <c r="C257" s="4"/>
      <c r="D257" s="102"/>
      <c r="E257" s="103"/>
      <c r="F257" s="10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2.75" customHeight="1">
      <c r="A258" s="4"/>
      <c r="B258" s="101"/>
      <c r="C258" s="4"/>
      <c r="D258" s="102"/>
      <c r="E258" s="103"/>
      <c r="F258" s="10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2.75" customHeight="1">
      <c r="A259" s="4"/>
      <c r="B259" s="101"/>
      <c r="C259" s="4"/>
      <c r="D259" s="102"/>
      <c r="E259" s="103"/>
      <c r="F259" s="10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2.75" customHeight="1">
      <c r="A260" s="4"/>
      <c r="B260" s="101"/>
      <c r="C260" s="4"/>
      <c r="D260" s="102"/>
      <c r="E260" s="103"/>
      <c r="F260" s="10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2.75" customHeight="1">
      <c r="A261" s="4"/>
      <c r="B261" s="101"/>
      <c r="C261" s="4"/>
      <c r="D261" s="102"/>
      <c r="E261" s="103"/>
      <c r="F261" s="10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2.75" customHeight="1">
      <c r="A262" s="4"/>
      <c r="B262" s="101"/>
      <c r="C262" s="4"/>
      <c r="D262" s="102"/>
      <c r="E262" s="103"/>
      <c r="F262" s="10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2.75" customHeight="1">
      <c r="A263" s="4"/>
      <c r="B263" s="101"/>
      <c r="C263" s="4"/>
      <c r="D263" s="102"/>
      <c r="E263" s="103"/>
      <c r="F263" s="10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2.75" customHeight="1">
      <c r="A264" s="4"/>
      <c r="B264" s="101"/>
      <c r="C264" s="4"/>
      <c r="D264" s="102"/>
      <c r="E264" s="103"/>
      <c r="F264" s="10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2.75" customHeight="1">
      <c r="A265" s="4"/>
      <c r="B265" s="101"/>
      <c r="C265" s="4"/>
      <c r="D265" s="102"/>
      <c r="E265" s="103"/>
      <c r="F265" s="10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2.75" customHeight="1">
      <c r="A266" s="4"/>
      <c r="B266" s="101"/>
      <c r="C266" s="4"/>
      <c r="D266" s="102"/>
      <c r="E266" s="103"/>
      <c r="F266" s="10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2.75" customHeight="1">
      <c r="A267" s="4"/>
      <c r="B267" s="101"/>
      <c r="C267" s="4"/>
      <c r="D267" s="102"/>
      <c r="E267" s="103"/>
      <c r="F267" s="10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2.75" customHeight="1">
      <c r="A268" s="4"/>
      <c r="B268" s="101"/>
      <c r="C268" s="4"/>
      <c r="D268" s="102"/>
      <c r="E268" s="103"/>
      <c r="F268" s="10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2.75" customHeight="1">
      <c r="A269" s="4"/>
      <c r="B269" s="101"/>
      <c r="C269" s="4"/>
      <c r="D269" s="102"/>
      <c r="E269" s="103"/>
      <c r="F269" s="10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2.75" customHeight="1">
      <c r="A270" s="4"/>
      <c r="B270" s="101"/>
      <c r="C270" s="4"/>
      <c r="D270" s="102"/>
      <c r="E270" s="103"/>
      <c r="F270" s="10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2.75" customHeight="1">
      <c r="A271" s="4"/>
      <c r="B271" s="101"/>
      <c r="C271" s="4"/>
      <c r="D271" s="102"/>
      <c r="E271" s="103"/>
      <c r="F271" s="10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2.75" customHeight="1">
      <c r="A272" s="4"/>
      <c r="B272" s="101"/>
      <c r="C272" s="4"/>
      <c r="D272" s="102"/>
      <c r="E272" s="103"/>
      <c r="F272" s="10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2.75" customHeight="1">
      <c r="A273" s="4"/>
      <c r="B273" s="101"/>
      <c r="C273" s="4"/>
      <c r="D273" s="102"/>
      <c r="E273" s="103"/>
      <c r="F273" s="10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2.75" customHeight="1">
      <c r="A274" s="4"/>
      <c r="B274" s="101"/>
      <c r="C274" s="4"/>
      <c r="D274" s="102"/>
      <c r="E274" s="103"/>
      <c r="F274" s="10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2.75" customHeight="1">
      <c r="A275" s="4"/>
      <c r="B275" s="101"/>
      <c r="C275" s="4"/>
      <c r="D275" s="102"/>
      <c r="E275" s="103"/>
      <c r="F275" s="10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2.75" customHeight="1">
      <c r="A276" s="4"/>
      <c r="B276" s="101"/>
      <c r="C276" s="4"/>
      <c r="D276" s="102"/>
      <c r="E276" s="103"/>
      <c r="F276" s="10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2.75" customHeight="1">
      <c r="A277" s="4"/>
      <c r="B277" s="101"/>
      <c r="C277" s="4"/>
      <c r="D277" s="102"/>
      <c r="E277" s="103"/>
      <c r="F277" s="10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2.75" customHeight="1">
      <c r="A278" s="4"/>
      <c r="B278" s="101"/>
      <c r="C278" s="4"/>
      <c r="D278" s="102"/>
      <c r="E278" s="103"/>
      <c r="F278" s="10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2.75" customHeight="1">
      <c r="A279" s="4"/>
      <c r="B279" s="101"/>
      <c r="C279" s="4"/>
      <c r="D279" s="102"/>
      <c r="E279" s="103"/>
      <c r="F279" s="10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2.75" customHeight="1">
      <c r="A280" s="4"/>
      <c r="B280" s="101"/>
      <c r="C280" s="4"/>
      <c r="D280" s="102"/>
      <c r="E280" s="103"/>
      <c r="F280" s="10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2.75" customHeight="1">
      <c r="A281" s="4"/>
      <c r="B281" s="101"/>
      <c r="C281" s="4"/>
      <c r="D281" s="102"/>
      <c r="E281" s="103"/>
      <c r="F281" s="10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2.75" customHeight="1">
      <c r="A282" s="4"/>
      <c r="B282" s="101"/>
      <c r="C282" s="4"/>
      <c r="D282" s="102"/>
      <c r="E282" s="103"/>
      <c r="F282" s="10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2.75" customHeight="1">
      <c r="A283" s="4"/>
      <c r="B283" s="101"/>
      <c r="C283" s="4"/>
      <c r="D283" s="102"/>
      <c r="E283" s="103"/>
      <c r="F283" s="10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2.75" customHeight="1">
      <c r="A284" s="4"/>
      <c r="B284" s="101"/>
      <c r="C284" s="4"/>
      <c r="D284" s="102"/>
      <c r="E284" s="103"/>
      <c r="F284" s="10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2.75" customHeight="1">
      <c r="A285" s="4"/>
      <c r="B285" s="101"/>
      <c r="C285" s="4"/>
      <c r="D285" s="102"/>
      <c r="E285" s="103"/>
      <c r="F285" s="10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2.75" customHeight="1">
      <c r="A286" s="4"/>
      <c r="B286" s="101"/>
      <c r="C286" s="4"/>
      <c r="D286" s="102"/>
      <c r="E286" s="103"/>
      <c r="F286" s="10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2.75" customHeight="1">
      <c r="A287" s="4"/>
      <c r="B287" s="101"/>
      <c r="C287" s="4"/>
      <c r="D287" s="102"/>
      <c r="E287" s="103"/>
      <c r="F287" s="10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2.75" customHeight="1">
      <c r="A288" s="4"/>
      <c r="B288" s="101"/>
      <c r="C288" s="4"/>
      <c r="D288" s="102"/>
      <c r="E288" s="103"/>
      <c r="F288" s="10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2.75" customHeight="1">
      <c r="A289" s="4"/>
      <c r="B289" s="101"/>
      <c r="C289" s="4"/>
      <c r="D289" s="102"/>
      <c r="E289" s="103"/>
      <c r="F289" s="10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2.75" customHeight="1">
      <c r="A290" s="4"/>
      <c r="B290" s="101"/>
      <c r="C290" s="4"/>
      <c r="D290" s="102"/>
      <c r="E290" s="103"/>
      <c r="F290" s="10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2.75" customHeight="1">
      <c r="A291" s="4"/>
      <c r="B291" s="101"/>
      <c r="C291" s="4"/>
      <c r="D291" s="102"/>
      <c r="E291" s="103"/>
      <c r="F291" s="10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2.75" customHeight="1">
      <c r="A292" s="4"/>
      <c r="B292" s="101"/>
      <c r="C292" s="4"/>
      <c r="D292" s="102"/>
      <c r="E292" s="103"/>
      <c r="F292" s="10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2.75" customHeight="1">
      <c r="A293" s="4"/>
      <c r="B293" s="101"/>
      <c r="C293" s="4"/>
      <c r="D293" s="102"/>
      <c r="E293" s="103"/>
      <c r="F293" s="10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2.75" customHeight="1">
      <c r="A294" s="4"/>
      <c r="B294" s="101"/>
      <c r="C294" s="4"/>
      <c r="D294" s="102"/>
      <c r="E294" s="103"/>
      <c r="F294" s="10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2.75" customHeight="1">
      <c r="A295" s="4"/>
      <c r="B295" s="101"/>
      <c r="C295" s="4"/>
      <c r="D295" s="102"/>
      <c r="E295" s="103"/>
      <c r="F295" s="10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2.75" customHeight="1">
      <c r="A296" s="4"/>
      <c r="B296" s="101"/>
      <c r="C296" s="4"/>
      <c r="D296" s="102"/>
      <c r="E296" s="103"/>
      <c r="F296" s="10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2.75" customHeight="1">
      <c r="A297" s="4"/>
      <c r="B297" s="101"/>
      <c r="C297" s="4"/>
      <c r="D297" s="102"/>
      <c r="E297" s="103"/>
      <c r="F297" s="10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2.75" customHeight="1">
      <c r="A298" s="4"/>
      <c r="B298" s="101"/>
      <c r="C298" s="4"/>
      <c r="D298" s="102"/>
      <c r="E298" s="103"/>
      <c r="F298" s="10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2.75" customHeight="1">
      <c r="A299" s="4"/>
      <c r="B299" s="101"/>
      <c r="C299" s="4"/>
      <c r="D299" s="102"/>
      <c r="E299" s="103"/>
      <c r="F299" s="10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2.75" customHeight="1">
      <c r="A300" s="4"/>
      <c r="B300" s="101"/>
      <c r="C300" s="4"/>
      <c r="D300" s="102"/>
      <c r="E300" s="103"/>
      <c r="F300" s="10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2.75" customHeight="1">
      <c r="A301" s="4"/>
      <c r="B301" s="101"/>
      <c r="C301" s="4"/>
      <c r="D301" s="102"/>
      <c r="E301" s="103"/>
      <c r="F301" s="10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2.75" customHeight="1">
      <c r="A302" s="4"/>
      <c r="B302" s="101"/>
      <c r="C302" s="4"/>
      <c r="D302" s="102"/>
      <c r="E302" s="103"/>
      <c r="F302" s="10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2.75" customHeight="1">
      <c r="A303" s="4"/>
      <c r="B303" s="101"/>
      <c r="C303" s="4"/>
      <c r="D303" s="102"/>
      <c r="E303" s="103"/>
      <c r="F303" s="10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2.75" customHeight="1">
      <c r="A304" s="4"/>
      <c r="B304" s="101"/>
      <c r="C304" s="4"/>
      <c r="D304" s="102"/>
      <c r="E304" s="103"/>
      <c r="F304" s="10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2.75" customHeight="1">
      <c r="A305" s="4"/>
      <c r="B305" s="101"/>
      <c r="C305" s="4"/>
      <c r="D305" s="102"/>
      <c r="E305" s="103"/>
      <c r="F305" s="10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2.75" customHeight="1">
      <c r="A306" s="4"/>
      <c r="B306" s="101"/>
      <c r="C306" s="4"/>
      <c r="D306" s="102"/>
      <c r="E306" s="103"/>
      <c r="F306" s="10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F1"/>
    <mergeCell ref="A2:F2"/>
    <mergeCell ref="A3:F3"/>
    <mergeCell ref="A4:F4"/>
    <mergeCell ref="D7:E7"/>
    <mergeCell ref="A9:F9"/>
  </mergeCells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2.63" defaultRowHeight="15.0"/>
  <cols>
    <col customWidth="1" min="1" max="1" width="49.13"/>
    <col customWidth="1" min="2" max="2" width="96.63"/>
    <col customWidth="1" min="3" max="3" width="21.88"/>
    <col customWidth="1" min="4" max="4" width="20.5"/>
    <col customWidth="1" min="5" max="5" width="22.88"/>
    <col customWidth="1" min="6" max="6" width="71.5"/>
    <col customWidth="1" min="7" max="7" width="50.13"/>
    <col customWidth="1" min="8" max="26" width="8.0"/>
  </cols>
  <sheetData>
    <row r="1" ht="12.75" customHeight="1">
      <c r="A1" s="1" t="s">
        <v>0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2.75" customHeight="1">
      <c r="A2" s="5" t="s">
        <v>1</v>
      </c>
      <c r="B2" s="6"/>
      <c r="C2" s="6"/>
      <c r="D2" s="6"/>
      <c r="E2" s="6"/>
      <c r="F2" s="7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2.75" customHeight="1">
      <c r="A3" s="5" t="s">
        <v>2</v>
      </c>
      <c r="B3" s="6"/>
      <c r="C3" s="6"/>
      <c r="D3" s="6"/>
      <c r="E3" s="6"/>
      <c r="F3" s="7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2.75" customHeight="1">
      <c r="A4" s="5" t="s">
        <v>3</v>
      </c>
      <c r="B4" s="6"/>
      <c r="C4" s="6"/>
      <c r="D4" s="6"/>
      <c r="E4" s="6"/>
      <c r="F4" s="7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2.75" customHeight="1">
      <c r="A5" s="8"/>
      <c r="B5" s="9"/>
      <c r="C5" s="10"/>
      <c r="D5" s="11"/>
      <c r="E5" s="11"/>
      <c r="F5" s="12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2.75" customHeight="1">
      <c r="A6" s="13"/>
      <c r="B6" s="9"/>
      <c r="C6" s="10"/>
      <c r="D6" s="14"/>
      <c r="E6" s="14"/>
      <c r="F6" s="15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30.0" customHeight="1">
      <c r="A7" s="16"/>
      <c r="B7" s="9"/>
      <c r="C7" s="17"/>
      <c r="D7" s="18"/>
      <c r="E7" s="19"/>
      <c r="F7" s="15" t="s">
        <v>3400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0.0" customHeight="1">
      <c r="A8" s="20" t="s">
        <v>5</v>
      </c>
      <c r="B8" s="21"/>
      <c r="C8" s="22"/>
      <c r="D8" s="23"/>
      <c r="E8" s="23"/>
      <c r="F8" s="2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7.75" customHeight="1">
      <c r="A9" s="25" t="s">
        <v>2612</v>
      </c>
      <c r="B9" s="26"/>
      <c r="C9" s="26"/>
      <c r="D9" s="26"/>
      <c r="E9" s="26"/>
      <c r="F9" s="27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8.5" customHeight="1">
      <c r="A10" s="28"/>
      <c r="B10" s="29"/>
      <c r="C10" s="29"/>
      <c r="D10" s="30"/>
      <c r="E10" s="30"/>
      <c r="F10" s="31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</row>
    <row r="11" ht="22.5" customHeight="1">
      <c r="A11" s="33" t="s">
        <v>3401</v>
      </c>
      <c r="B11" s="27"/>
      <c r="C11" s="411" t="s">
        <v>8</v>
      </c>
      <c r="D11" s="411" t="s">
        <v>9</v>
      </c>
      <c r="E11" s="411" t="s">
        <v>10</v>
      </c>
      <c r="F11" s="553" t="s">
        <v>11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75" customHeight="1">
      <c r="A12" s="187" t="s">
        <v>12</v>
      </c>
      <c r="B12" s="37"/>
      <c r="C12" s="38"/>
      <c r="D12" s="39"/>
      <c r="E12" s="39"/>
      <c r="F12" s="424" t="s">
        <v>13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75" customHeight="1">
      <c r="A13" s="173" t="s">
        <v>3402</v>
      </c>
      <c r="B13" s="415" t="s">
        <v>1226</v>
      </c>
      <c r="C13" s="44">
        <v>900.0</v>
      </c>
      <c r="D13" s="45">
        <v>26527.13</v>
      </c>
      <c r="E13" s="45">
        <v>27685.43</v>
      </c>
      <c r="F13" s="424" t="s">
        <v>3403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2.75" customHeight="1">
      <c r="A14" s="416" t="s">
        <v>1545</v>
      </c>
      <c r="B14" s="161"/>
      <c r="C14" s="50"/>
      <c r="D14" s="45"/>
      <c r="E14" s="45"/>
      <c r="F14" s="365" t="s">
        <v>3404</v>
      </c>
      <c r="G14" s="52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2.75" customHeight="1">
      <c r="A15" s="417"/>
      <c r="B15" s="418"/>
      <c r="C15" s="55"/>
      <c r="D15" s="56"/>
      <c r="E15" s="56"/>
      <c r="F15" s="425" t="s">
        <v>3405</v>
      </c>
      <c r="G15" s="52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2.75" customHeight="1">
      <c r="A16" s="33" t="s">
        <v>3406</v>
      </c>
      <c r="B16" s="27"/>
      <c r="C16" s="421" t="s">
        <v>8</v>
      </c>
      <c r="D16" s="422" t="s">
        <v>9</v>
      </c>
      <c r="E16" s="422" t="s">
        <v>10</v>
      </c>
      <c r="F16" s="423" t="s">
        <v>11</v>
      </c>
      <c r="G16" s="52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2.75" customHeight="1">
      <c r="A17" s="187" t="s">
        <v>12</v>
      </c>
      <c r="B17" s="37"/>
      <c r="C17" s="62"/>
      <c r="D17" s="39"/>
      <c r="E17" s="39"/>
      <c r="F17" s="424" t="s">
        <v>13</v>
      </c>
      <c r="G17" s="52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2.75" customHeight="1">
      <c r="A18" s="173" t="s">
        <v>3402</v>
      </c>
      <c r="B18" s="415" t="s">
        <v>1226</v>
      </c>
      <c r="C18" s="50">
        <v>900.0</v>
      </c>
      <c r="D18" s="45">
        <v>26428.7</v>
      </c>
      <c r="E18" s="45">
        <v>27682.05</v>
      </c>
      <c r="F18" s="424" t="s">
        <v>3407</v>
      </c>
      <c r="G18" s="52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416" t="s">
        <v>1653</v>
      </c>
      <c r="B19" s="161"/>
      <c r="C19" s="50"/>
      <c r="D19" s="45"/>
      <c r="E19" s="45"/>
      <c r="F19" s="365" t="s">
        <v>3408</v>
      </c>
      <c r="G19" s="52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4.25" customHeight="1">
      <c r="A20" s="417"/>
      <c r="B20" s="418"/>
      <c r="C20" s="55"/>
      <c r="D20" s="56"/>
      <c r="E20" s="56"/>
      <c r="F20" s="425" t="s">
        <v>3409</v>
      </c>
      <c r="G20" s="52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4.0" customHeight="1">
      <c r="A21" s="33" t="s">
        <v>3410</v>
      </c>
      <c r="B21" s="27"/>
      <c r="C21" s="422" t="s">
        <v>8</v>
      </c>
      <c r="D21" s="422" t="s">
        <v>9</v>
      </c>
      <c r="E21" s="422" t="s">
        <v>10</v>
      </c>
      <c r="F21" s="423" t="s">
        <v>11</v>
      </c>
      <c r="G21" s="52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187" t="s">
        <v>12</v>
      </c>
      <c r="B22" s="37"/>
      <c r="C22" s="38"/>
      <c r="D22" s="39"/>
      <c r="E22" s="39"/>
      <c r="F22" s="424" t="s">
        <v>13</v>
      </c>
      <c r="G22" s="52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173" t="s">
        <v>3411</v>
      </c>
      <c r="B23" s="415" t="s">
        <v>1226</v>
      </c>
      <c r="C23" s="50">
        <v>900.0</v>
      </c>
      <c r="D23" s="45">
        <v>26573.26</v>
      </c>
      <c r="E23" s="45">
        <v>27660.09</v>
      </c>
      <c r="F23" s="424" t="s">
        <v>3412</v>
      </c>
      <c r="G23" s="52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2.75" customHeight="1">
      <c r="A24" s="416" t="s">
        <v>3413</v>
      </c>
      <c r="B24" s="161"/>
      <c r="C24" s="50"/>
      <c r="D24" s="45"/>
      <c r="E24" s="45"/>
      <c r="F24" s="365" t="s">
        <v>3414</v>
      </c>
      <c r="G24" s="52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2.75" customHeight="1">
      <c r="A25" s="417"/>
      <c r="B25" s="418"/>
      <c r="C25" s="55"/>
      <c r="D25" s="56"/>
      <c r="E25" s="56"/>
      <c r="F25" s="425" t="s">
        <v>3415</v>
      </c>
      <c r="G25" s="52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2.75" customHeight="1">
      <c r="A26" s="33" t="s">
        <v>3416</v>
      </c>
      <c r="B26" s="27"/>
      <c r="C26" s="422" t="s">
        <v>8</v>
      </c>
      <c r="D26" s="422" t="s">
        <v>9</v>
      </c>
      <c r="E26" s="422" t="s">
        <v>10</v>
      </c>
      <c r="F26" s="423" t="s">
        <v>11</v>
      </c>
      <c r="G26" s="52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2.75" customHeight="1">
      <c r="A27" s="187" t="s">
        <v>12</v>
      </c>
      <c r="B27" s="37"/>
      <c r="C27" s="38"/>
      <c r="D27" s="39"/>
      <c r="E27" s="39"/>
      <c r="F27" s="424" t="s">
        <v>13</v>
      </c>
      <c r="G27" s="52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2.75" customHeight="1">
      <c r="A28" s="173" t="s">
        <v>3402</v>
      </c>
      <c r="B28" s="415" t="s">
        <v>1226</v>
      </c>
      <c r="C28" s="50">
        <v>900.0</v>
      </c>
      <c r="D28" s="45">
        <v>26593.35</v>
      </c>
      <c r="E28" s="45">
        <v>27857.0</v>
      </c>
      <c r="F28" s="424" t="s">
        <v>3417</v>
      </c>
      <c r="G28" s="52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2.75" customHeight="1">
      <c r="A29" s="416" t="s">
        <v>3418</v>
      </c>
      <c r="B29" s="161"/>
      <c r="C29" s="50"/>
      <c r="D29" s="45"/>
      <c r="E29" s="45"/>
      <c r="F29" s="365" t="s">
        <v>3419</v>
      </c>
      <c r="G29" s="52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2.75" customHeight="1">
      <c r="A30" s="417"/>
      <c r="B30" s="418"/>
      <c r="C30" s="55"/>
      <c r="D30" s="56"/>
      <c r="E30" s="56"/>
      <c r="F30" s="425" t="s">
        <v>3420</v>
      </c>
      <c r="G30" s="52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8.75" customHeight="1">
      <c r="A31" s="33" t="s">
        <v>3421</v>
      </c>
      <c r="B31" s="27"/>
      <c r="C31" s="422" t="s">
        <v>8</v>
      </c>
      <c r="D31" s="422" t="s">
        <v>9</v>
      </c>
      <c r="E31" s="422" t="s">
        <v>10</v>
      </c>
      <c r="F31" s="423" t="s">
        <v>11</v>
      </c>
      <c r="G31" s="52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8.75" customHeight="1">
      <c r="A32" s="187" t="s">
        <v>12</v>
      </c>
      <c r="B32" s="37"/>
      <c r="C32" s="38"/>
      <c r="D32" s="39"/>
      <c r="E32" s="39"/>
      <c r="F32" s="424" t="s">
        <v>13</v>
      </c>
      <c r="G32" s="52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8.75" customHeight="1">
      <c r="A33" s="173" t="s">
        <v>3402</v>
      </c>
      <c r="B33" s="415" t="s">
        <v>1226</v>
      </c>
      <c r="C33" s="50">
        <v>900.0</v>
      </c>
      <c r="D33" s="45">
        <v>26604.81</v>
      </c>
      <c r="E33" s="45">
        <v>27716.69</v>
      </c>
      <c r="F33" s="424" t="s">
        <v>3422</v>
      </c>
      <c r="G33" s="52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16" t="s">
        <v>1638</v>
      </c>
      <c r="B34" s="161"/>
      <c r="C34" s="50"/>
      <c r="D34" s="45"/>
      <c r="E34" s="45"/>
      <c r="F34" s="365" t="s">
        <v>3423</v>
      </c>
      <c r="G34" s="52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17"/>
      <c r="B35" s="418"/>
      <c r="C35" s="55"/>
      <c r="D35" s="56"/>
      <c r="E35" s="56"/>
      <c r="F35" s="425" t="s">
        <v>3424</v>
      </c>
      <c r="G35" s="52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2.75" customHeight="1">
      <c r="A36" s="33" t="s">
        <v>3425</v>
      </c>
      <c r="B36" s="27"/>
      <c r="C36" s="422" t="s">
        <v>8</v>
      </c>
      <c r="D36" s="422" t="s">
        <v>9</v>
      </c>
      <c r="E36" s="422" t="s">
        <v>10</v>
      </c>
      <c r="F36" s="423" t="s">
        <v>11</v>
      </c>
      <c r="G36" s="52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2.75" customHeight="1">
      <c r="A37" s="187" t="s">
        <v>12</v>
      </c>
      <c r="B37" s="37"/>
      <c r="C37" s="38"/>
      <c r="D37" s="39"/>
      <c r="E37" s="39"/>
      <c r="F37" s="424" t="s">
        <v>13</v>
      </c>
      <c r="G37" s="52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2.75" customHeight="1">
      <c r="A38" s="173" t="s">
        <v>1508</v>
      </c>
      <c r="B38" s="415" t="s">
        <v>15</v>
      </c>
      <c r="C38" s="50">
        <v>900.0</v>
      </c>
      <c r="D38" s="45">
        <v>26404.98</v>
      </c>
      <c r="E38" s="45">
        <v>27508.74</v>
      </c>
      <c r="F38" s="424" t="s">
        <v>3426</v>
      </c>
      <c r="G38" s="52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2.75" customHeight="1">
      <c r="A39" s="416" t="s">
        <v>3427</v>
      </c>
      <c r="B39" s="161"/>
      <c r="C39" s="50"/>
      <c r="D39" s="45"/>
      <c r="E39" s="45"/>
      <c r="F39" s="365" t="s">
        <v>3428</v>
      </c>
      <c r="G39" s="52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2.75" customHeight="1">
      <c r="A40" s="417"/>
      <c r="B40" s="418"/>
      <c r="C40" s="55"/>
      <c r="D40" s="56"/>
      <c r="E40" s="56"/>
      <c r="F40" s="425" t="s">
        <v>3429</v>
      </c>
      <c r="G40" s="52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8.75" customHeight="1">
      <c r="A41" s="33" t="s">
        <v>3430</v>
      </c>
      <c r="B41" s="27"/>
      <c r="C41" s="422" t="s">
        <v>8</v>
      </c>
      <c r="D41" s="422" t="s">
        <v>9</v>
      </c>
      <c r="E41" s="422" t="s">
        <v>10</v>
      </c>
      <c r="F41" s="423" t="s">
        <v>11</v>
      </c>
      <c r="G41" s="52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6.5" customHeight="1">
      <c r="A42" s="187" t="s">
        <v>12</v>
      </c>
      <c r="B42" s="37"/>
      <c r="C42" s="38"/>
      <c r="D42" s="39"/>
      <c r="E42" s="39"/>
      <c r="F42" s="424" t="s">
        <v>13</v>
      </c>
      <c r="G42" s="52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173" t="s">
        <v>1508</v>
      </c>
      <c r="B43" s="415" t="s">
        <v>15</v>
      </c>
      <c r="C43" s="50">
        <v>900.0</v>
      </c>
      <c r="D43" s="45">
        <v>26508.79</v>
      </c>
      <c r="E43" s="45">
        <v>27604.51</v>
      </c>
      <c r="F43" s="424" t="s">
        <v>3431</v>
      </c>
      <c r="G43" s="52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16" t="s">
        <v>3432</v>
      </c>
      <c r="B44" s="161"/>
      <c r="C44" s="50"/>
      <c r="D44" s="45"/>
      <c r="E44" s="45"/>
      <c r="F44" s="365" t="s">
        <v>3433</v>
      </c>
      <c r="G44" s="52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2.75" customHeight="1">
      <c r="A45" s="417"/>
      <c r="B45" s="418"/>
      <c r="C45" s="55"/>
      <c r="D45" s="56"/>
      <c r="E45" s="56"/>
      <c r="F45" s="425" t="s">
        <v>3434</v>
      </c>
      <c r="G45" s="52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2.75" customHeight="1">
      <c r="A46" s="33" t="s">
        <v>3435</v>
      </c>
      <c r="B46" s="27"/>
      <c r="C46" s="422" t="s">
        <v>8</v>
      </c>
      <c r="D46" s="422" t="s">
        <v>9</v>
      </c>
      <c r="E46" s="422" t="s">
        <v>10</v>
      </c>
      <c r="F46" s="423" t="s">
        <v>11</v>
      </c>
      <c r="G46" s="52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2.75" customHeight="1">
      <c r="A47" s="187" t="s">
        <v>12</v>
      </c>
      <c r="B47" s="37"/>
      <c r="C47" s="38"/>
      <c r="D47" s="39"/>
      <c r="E47" s="39"/>
      <c r="F47" s="424" t="s">
        <v>13</v>
      </c>
      <c r="G47" s="52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2.75" customHeight="1">
      <c r="A48" s="173" t="s">
        <v>1508</v>
      </c>
      <c r="B48" s="415" t="s">
        <v>15</v>
      </c>
      <c r="C48" s="50">
        <v>900.0</v>
      </c>
      <c r="D48" s="45">
        <v>26489.02</v>
      </c>
      <c r="E48" s="45">
        <v>27614.25</v>
      </c>
      <c r="F48" s="424" t="s">
        <v>3436</v>
      </c>
      <c r="G48" s="52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0" customHeight="1">
      <c r="A49" s="416" t="s">
        <v>3437</v>
      </c>
      <c r="B49" s="161"/>
      <c r="C49" s="50"/>
      <c r="D49" s="45"/>
      <c r="E49" s="45"/>
      <c r="F49" s="365" t="s">
        <v>3438</v>
      </c>
      <c r="G49" s="52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8.75" customHeight="1">
      <c r="A50" s="417"/>
      <c r="B50" s="418"/>
      <c r="C50" s="55"/>
      <c r="D50" s="56"/>
      <c r="E50" s="56"/>
      <c r="F50" s="425" t="s">
        <v>3439</v>
      </c>
      <c r="G50" s="52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8.75" customHeight="1">
      <c r="A51" s="33" t="s">
        <v>3440</v>
      </c>
      <c r="B51" s="27"/>
      <c r="C51" s="422" t="s">
        <v>8</v>
      </c>
      <c r="D51" s="422" t="s">
        <v>9</v>
      </c>
      <c r="E51" s="422" t="s">
        <v>10</v>
      </c>
      <c r="F51" s="423" t="s">
        <v>11</v>
      </c>
      <c r="G51" s="52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8.75" customHeight="1">
      <c r="A52" s="187" t="s">
        <v>12</v>
      </c>
      <c r="B52" s="37"/>
      <c r="C52" s="38"/>
      <c r="D52" s="39"/>
      <c r="E52" s="39"/>
      <c r="F52" s="424" t="s">
        <v>13</v>
      </c>
      <c r="G52" s="52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8.75" customHeight="1">
      <c r="A53" s="173" t="s">
        <v>1508</v>
      </c>
      <c r="B53" s="415" t="s">
        <v>15</v>
      </c>
      <c r="C53" s="50">
        <v>900.0</v>
      </c>
      <c r="D53" s="45">
        <v>24840.86</v>
      </c>
      <c r="E53" s="45">
        <v>26008.44</v>
      </c>
      <c r="F53" s="424" t="s">
        <v>3441</v>
      </c>
      <c r="G53" s="52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8.75" customHeight="1">
      <c r="A54" s="416" t="s">
        <v>67</v>
      </c>
      <c r="B54" s="161"/>
      <c r="C54" s="50"/>
      <c r="D54" s="45"/>
      <c r="E54" s="45"/>
      <c r="F54" s="365" t="s">
        <v>3442</v>
      </c>
      <c r="G54" s="52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8.75" customHeight="1">
      <c r="A55" s="417"/>
      <c r="B55" s="418"/>
      <c r="C55" s="55"/>
      <c r="D55" s="56"/>
      <c r="E55" s="56"/>
      <c r="F55" s="425" t="s">
        <v>3443</v>
      </c>
      <c r="G55" s="52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24.0" customHeight="1">
      <c r="A56" s="33" t="s">
        <v>3444</v>
      </c>
      <c r="B56" s="27"/>
      <c r="C56" s="422" t="s">
        <v>8</v>
      </c>
      <c r="D56" s="422" t="s">
        <v>9</v>
      </c>
      <c r="E56" s="422" t="s">
        <v>10</v>
      </c>
      <c r="F56" s="423" t="s">
        <v>11</v>
      </c>
      <c r="G56" s="52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2.75" customHeight="1">
      <c r="A57" s="187" t="s">
        <v>12</v>
      </c>
      <c r="B57" s="37"/>
      <c r="C57" s="38"/>
      <c r="D57" s="39"/>
      <c r="E57" s="39"/>
      <c r="F57" s="424" t="s">
        <v>13</v>
      </c>
      <c r="G57" s="52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2.75" customHeight="1">
      <c r="A58" s="173" t="s">
        <v>1508</v>
      </c>
      <c r="B58" s="415" t="s">
        <v>15</v>
      </c>
      <c r="C58" s="50">
        <v>900.0</v>
      </c>
      <c r="D58" s="45">
        <v>26440.79</v>
      </c>
      <c r="E58" s="45">
        <v>27516.49</v>
      </c>
      <c r="F58" s="424" t="s">
        <v>3445</v>
      </c>
      <c r="G58" s="52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2.75" customHeight="1">
      <c r="A59" s="416" t="s">
        <v>164</v>
      </c>
      <c r="B59" s="161"/>
      <c r="C59" s="50"/>
      <c r="D59" s="45"/>
      <c r="E59" s="45"/>
      <c r="F59" s="365" t="s">
        <v>3446</v>
      </c>
      <c r="G59" s="52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2.75" customHeight="1">
      <c r="A60" s="416"/>
      <c r="B60" s="467"/>
      <c r="C60" s="456"/>
      <c r="D60" s="457"/>
      <c r="E60" s="457"/>
      <c r="F60" s="365" t="s">
        <v>3447</v>
      </c>
      <c r="G60" s="52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2.75" customHeight="1">
      <c r="A61" s="33" t="s">
        <v>3448</v>
      </c>
      <c r="B61" s="27"/>
      <c r="C61" s="421" t="s">
        <v>8</v>
      </c>
      <c r="D61" s="422" t="s">
        <v>9</v>
      </c>
      <c r="E61" s="422" t="s">
        <v>10</v>
      </c>
      <c r="F61" s="423" t="s">
        <v>11</v>
      </c>
      <c r="G61" s="52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2.75" customHeight="1">
      <c r="A62" s="187" t="s">
        <v>12</v>
      </c>
      <c r="B62" s="37"/>
      <c r="C62" s="62"/>
      <c r="D62" s="39"/>
      <c r="E62" s="39"/>
      <c r="F62" s="424" t="s">
        <v>13</v>
      </c>
      <c r="G62" s="52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2.75" customHeight="1">
      <c r="A63" s="173" t="s">
        <v>1508</v>
      </c>
      <c r="B63" s="415" t="s">
        <v>15</v>
      </c>
      <c r="C63" s="50">
        <v>900.0</v>
      </c>
      <c r="D63" s="45">
        <v>26438.46</v>
      </c>
      <c r="E63" s="45">
        <v>27548.27</v>
      </c>
      <c r="F63" s="424" t="s">
        <v>3449</v>
      </c>
      <c r="G63" s="52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2.75" customHeight="1">
      <c r="A64" s="416" t="s">
        <v>3450</v>
      </c>
      <c r="B64" s="161"/>
      <c r="C64" s="50"/>
      <c r="D64" s="45"/>
      <c r="E64" s="45"/>
      <c r="F64" s="365" t="s">
        <v>3451</v>
      </c>
      <c r="G64" s="52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8.75" customHeight="1">
      <c r="A65" s="416"/>
      <c r="B65" s="467"/>
      <c r="C65" s="456"/>
      <c r="D65" s="457"/>
      <c r="E65" s="457"/>
      <c r="F65" s="365" t="s">
        <v>3452</v>
      </c>
      <c r="G65" s="52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2.75" customHeight="1">
      <c r="A66" s="33" t="s">
        <v>3453</v>
      </c>
      <c r="B66" s="27"/>
      <c r="C66" s="422" t="s">
        <v>8</v>
      </c>
      <c r="D66" s="422" t="s">
        <v>9</v>
      </c>
      <c r="E66" s="422" t="s">
        <v>10</v>
      </c>
      <c r="F66" s="423" t="s">
        <v>11</v>
      </c>
      <c r="G66" s="52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2.75" customHeight="1">
      <c r="A67" s="187" t="s">
        <v>12</v>
      </c>
      <c r="B67" s="37"/>
      <c r="C67" s="38"/>
      <c r="D67" s="39"/>
      <c r="E67" s="39"/>
      <c r="F67" s="424" t="s">
        <v>13</v>
      </c>
      <c r="G67" s="52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2.75" customHeight="1">
      <c r="A68" s="173" t="s">
        <v>1508</v>
      </c>
      <c r="B68" s="415" t="s">
        <v>15</v>
      </c>
      <c r="C68" s="50">
        <v>900.0</v>
      </c>
      <c r="D68" s="45">
        <v>26531.64</v>
      </c>
      <c r="E68" s="45">
        <v>27618.53</v>
      </c>
      <c r="F68" s="424" t="s">
        <v>3454</v>
      </c>
      <c r="G68" s="52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2.75" customHeight="1">
      <c r="A69" s="416" t="s">
        <v>149</v>
      </c>
      <c r="B69" s="161"/>
      <c r="C69" s="50"/>
      <c r="D69" s="45"/>
      <c r="E69" s="45"/>
      <c r="F69" s="365" t="s">
        <v>3455</v>
      </c>
      <c r="G69" s="52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17"/>
      <c r="B70" s="418"/>
      <c r="C70" s="55"/>
      <c r="D70" s="56"/>
      <c r="E70" s="56"/>
      <c r="F70" s="425" t="s">
        <v>3456</v>
      </c>
      <c r="G70" s="52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2.75" customHeight="1">
      <c r="A71" s="33" t="s">
        <v>3457</v>
      </c>
      <c r="B71" s="27"/>
      <c r="C71" s="422" t="s">
        <v>8</v>
      </c>
      <c r="D71" s="422" t="s">
        <v>9</v>
      </c>
      <c r="E71" s="422" t="s">
        <v>10</v>
      </c>
      <c r="F71" s="423" t="s">
        <v>11</v>
      </c>
      <c r="G71" s="52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75" customHeight="1">
      <c r="A72" s="187" t="s">
        <v>12</v>
      </c>
      <c r="B72" s="37"/>
      <c r="C72" s="38"/>
      <c r="D72" s="39"/>
      <c r="E72" s="39"/>
      <c r="F72" s="424" t="s">
        <v>13</v>
      </c>
      <c r="G72" s="52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.75" customHeight="1">
      <c r="A73" s="173" t="s">
        <v>1508</v>
      </c>
      <c r="B73" s="415" t="s">
        <v>15</v>
      </c>
      <c r="C73" s="50">
        <v>900.0</v>
      </c>
      <c r="D73" s="45">
        <v>26453.56</v>
      </c>
      <c r="E73" s="45">
        <v>27546.2</v>
      </c>
      <c r="F73" s="424" t="s">
        <v>3458</v>
      </c>
      <c r="G73" s="52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customHeight="1">
      <c r="A74" s="416" t="s">
        <v>159</v>
      </c>
      <c r="B74" s="161"/>
      <c r="C74" s="50"/>
      <c r="D74" s="45"/>
      <c r="E74" s="45"/>
      <c r="F74" s="365" t="s">
        <v>3459</v>
      </c>
      <c r="G74" s="52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16"/>
      <c r="B75" s="467"/>
      <c r="C75" s="456"/>
      <c r="D75" s="457"/>
      <c r="E75" s="457"/>
      <c r="F75" s="365" t="s">
        <v>3460</v>
      </c>
      <c r="G75" s="52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20.25" customHeight="1">
      <c r="A76" s="33" t="s">
        <v>3461</v>
      </c>
      <c r="B76" s="27"/>
      <c r="C76" s="421" t="s">
        <v>8</v>
      </c>
      <c r="D76" s="422" t="s">
        <v>9</v>
      </c>
      <c r="E76" s="422" t="s">
        <v>10</v>
      </c>
      <c r="F76" s="423" t="s">
        <v>11</v>
      </c>
      <c r="G76" s="52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187" t="s">
        <v>12</v>
      </c>
      <c r="B77" s="37"/>
      <c r="C77" s="62"/>
      <c r="D77" s="39"/>
      <c r="E77" s="39"/>
      <c r="F77" s="424" t="s">
        <v>13</v>
      </c>
      <c r="G77" s="52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173" t="s">
        <v>1508</v>
      </c>
      <c r="B78" s="415" t="s">
        <v>15</v>
      </c>
      <c r="C78" s="50">
        <v>900.0</v>
      </c>
      <c r="D78" s="45">
        <v>26311.54</v>
      </c>
      <c r="E78" s="45">
        <v>27401.18</v>
      </c>
      <c r="F78" s="424" t="s">
        <v>3462</v>
      </c>
      <c r="G78" s="52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16" t="s">
        <v>3463</v>
      </c>
      <c r="B79" s="161"/>
      <c r="C79" s="50"/>
      <c r="D79" s="45"/>
      <c r="E79" s="45"/>
      <c r="F79" s="365" t="s">
        <v>3464</v>
      </c>
      <c r="G79" s="52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17"/>
      <c r="B80" s="418"/>
      <c r="C80" s="55"/>
      <c r="D80" s="56"/>
      <c r="E80" s="56"/>
      <c r="F80" s="425" t="s">
        <v>3465</v>
      </c>
      <c r="G80" s="52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21.0" customHeight="1">
      <c r="A81" s="33" t="s">
        <v>3466</v>
      </c>
      <c r="B81" s="27"/>
      <c r="C81" s="422" t="s">
        <v>8</v>
      </c>
      <c r="D81" s="422" t="s">
        <v>9</v>
      </c>
      <c r="E81" s="422" t="s">
        <v>10</v>
      </c>
      <c r="F81" s="423" t="s">
        <v>11</v>
      </c>
      <c r="G81" s="52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187" t="s">
        <v>12</v>
      </c>
      <c r="B82" s="37"/>
      <c r="C82" s="38"/>
      <c r="D82" s="39"/>
      <c r="E82" s="39"/>
      <c r="F82" s="424" t="s">
        <v>13</v>
      </c>
      <c r="G82" s="52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173" t="s">
        <v>1508</v>
      </c>
      <c r="B83" s="415" t="s">
        <v>15</v>
      </c>
      <c r="C83" s="50">
        <v>900.0</v>
      </c>
      <c r="D83" s="45">
        <v>26612.99</v>
      </c>
      <c r="E83" s="45">
        <v>27704.46</v>
      </c>
      <c r="F83" s="424" t="s">
        <v>3467</v>
      </c>
      <c r="G83" s="52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16" t="s">
        <v>3468</v>
      </c>
      <c r="B84" s="161"/>
      <c r="C84" s="50"/>
      <c r="D84" s="45"/>
      <c r="E84" s="45"/>
      <c r="F84" s="365" t="s">
        <v>3469</v>
      </c>
      <c r="G84" s="52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16"/>
      <c r="B85" s="161"/>
      <c r="C85" s="50"/>
      <c r="D85" s="45"/>
      <c r="E85" s="45"/>
      <c r="F85" s="365" t="s">
        <v>3470</v>
      </c>
      <c r="G85" s="52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8.75" customHeight="1">
      <c r="A86" s="33" t="s">
        <v>3471</v>
      </c>
      <c r="B86" s="27"/>
      <c r="C86" s="422" t="s">
        <v>8</v>
      </c>
      <c r="D86" s="422" t="s">
        <v>9</v>
      </c>
      <c r="E86" s="422" t="s">
        <v>10</v>
      </c>
      <c r="F86" s="423" t="s">
        <v>11</v>
      </c>
      <c r="G86" s="52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187" t="s">
        <v>12</v>
      </c>
      <c r="B87" s="37"/>
      <c r="C87" s="38"/>
      <c r="D87" s="39"/>
      <c r="E87" s="39"/>
      <c r="F87" s="424" t="s">
        <v>13</v>
      </c>
      <c r="G87" s="52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173" t="s">
        <v>3402</v>
      </c>
      <c r="B88" s="415" t="s">
        <v>1226</v>
      </c>
      <c r="C88" s="50">
        <v>1000.0</v>
      </c>
      <c r="D88" s="45">
        <v>26674.91</v>
      </c>
      <c r="E88" s="45">
        <v>27973.55</v>
      </c>
      <c r="F88" s="424" t="s">
        <v>3472</v>
      </c>
      <c r="G88" s="52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16" t="s">
        <v>1550</v>
      </c>
      <c r="B89" s="161"/>
      <c r="C89" s="50"/>
      <c r="D89" s="45"/>
      <c r="E89" s="45"/>
      <c r="F89" s="365" t="s">
        <v>3473</v>
      </c>
      <c r="G89" s="52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17"/>
      <c r="B90" s="418"/>
      <c r="C90" s="55"/>
      <c r="D90" s="56"/>
      <c r="E90" s="56"/>
      <c r="F90" s="425" t="s">
        <v>3474</v>
      </c>
      <c r="G90" s="52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9.5" customHeight="1">
      <c r="A91" s="33" t="s">
        <v>3475</v>
      </c>
      <c r="B91" s="27"/>
      <c r="C91" s="422" t="s">
        <v>8</v>
      </c>
      <c r="D91" s="422" t="s">
        <v>9</v>
      </c>
      <c r="E91" s="422" t="s">
        <v>10</v>
      </c>
      <c r="F91" s="423" t="s">
        <v>11</v>
      </c>
      <c r="G91" s="52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187" t="s">
        <v>12</v>
      </c>
      <c r="B92" s="37"/>
      <c r="C92" s="38"/>
      <c r="D92" s="39"/>
      <c r="E92" s="39"/>
      <c r="F92" s="424" t="s">
        <v>13</v>
      </c>
      <c r="G92" s="52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173" t="s">
        <v>3402</v>
      </c>
      <c r="B93" s="415" t="s">
        <v>1226</v>
      </c>
      <c r="C93" s="50">
        <v>953.0</v>
      </c>
      <c r="D93" s="45">
        <v>25010.0</v>
      </c>
      <c r="E93" s="45">
        <v>26269.15</v>
      </c>
      <c r="F93" s="424" t="s">
        <v>3476</v>
      </c>
      <c r="G93" s="52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6.5" customHeight="1">
      <c r="A94" s="416" t="s">
        <v>3477</v>
      </c>
      <c r="B94" s="161"/>
      <c r="C94" s="50"/>
      <c r="D94" s="45"/>
      <c r="E94" s="45"/>
      <c r="F94" s="365" t="s">
        <v>3478</v>
      </c>
      <c r="G94" s="52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2.75" customHeight="1">
      <c r="A95" s="417"/>
      <c r="B95" s="418"/>
      <c r="C95" s="55"/>
      <c r="D95" s="56"/>
      <c r="E95" s="56"/>
      <c r="F95" s="425" t="s">
        <v>3479</v>
      </c>
      <c r="G95" s="52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2.75" customHeight="1">
      <c r="A96" s="33" t="s">
        <v>3480</v>
      </c>
      <c r="B96" s="27"/>
      <c r="C96" s="422" t="s">
        <v>8</v>
      </c>
      <c r="D96" s="422" t="s">
        <v>9</v>
      </c>
      <c r="E96" s="422" t="s">
        <v>10</v>
      </c>
      <c r="F96" s="423" t="s">
        <v>11</v>
      </c>
      <c r="G96" s="52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2.75" customHeight="1">
      <c r="A97" s="187" t="s">
        <v>12</v>
      </c>
      <c r="B97" s="37"/>
      <c r="C97" s="38"/>
      <c r="D97" s="39"/>
      <c r="E97" s="39"/>
      <c r="F97" s="424" t="s">
        <v>13</v>
      </c>
      <c r="G97" s="52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2.75" customHeight="1">
      <c r="A98" s="173" t="s">
        <v>3481</v>
      </c>
      <c r="B98" s="415" t="s">
        <v>1226</v>
      </c>
      <c r="C98" s="50">
        <v>925.0</v>
      </c>
      <c r="D98" s="45">
        <v>26928.66</v>
      </c>
      <c r="E98" s="45">
        <v>28147.93</v>
      </c>
      <c r="F98" s="424" t="s">
        <v>3482</v>
      </c>
      <c r="G98" s="52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75" customHeight="1">
      <c r="A99" s="416" t="s">
        <v>174</v>
      </c>
      <c r="B99" s="161"/>
      <c r="C99" s="50"/>
      <c r="D99" s="45"/>
      <c r="E99" s="45"/>
      <c r="F99" s="365" t="s">
        <v>3483</v>
      </c>
      <c r="G99" s="52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.75" customHeight="1">
      <c r="A100" s="417"/>
      <c r="B100" s="418"/>
      <c r="C100" s="55"/>
      <c r="D100" s="56"/>
      <c r="E100" s="56"/>
      <c r="F100" s="425" t="s">
        <v>3484</v>
      </c>
      <c r="G100" s="52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2.75" customHeight="1">
      <c r="A101" s="33" t="s">
        <v>3485</v>
      </c>
      <c r="B101" s="27"/>
      <c r="C101" s="422" t="s">
        <v>8</v>
      </c>
      <c r="D101" s="422" t="s">
        <v>9</v>
      </c>
      <c r="E101" s="422" t="s">
        <v>10</v>
      </c>
      <c r="F101" s="423" t="s">
        <v>11</v>
      </c>
      <c r="G101" s="52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75" customHeight="1">
      <c r="A102" s="187" t="s">
        <v>12</v>
      </c>
      <c r="B102" s="37"/>
      <c r="C102" s="38"/>
      <c r="D102" s="39"/>
      <c r="E102" s="39"/>
      <c r="F102" s="424" t="s">
        <v>13</v>
      </c>
      <c r="G102" s="52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.75" customHeight="1">
      <c r="A103" s="173" t="s">
        <v>3402</v>
      </c>
      <c r="B103" s="415" t="s">
        <v>1226</v>
      </c>
      <c r="C103" s="50">
        <v>1000.0</v>
      </c>
      <c r="D103" s="45">
        <v>26240.25</v>
      </c>
      <c r="E103" s="45">
        <v>27567.77</v>
      </c>
      <c r="F103" s="424" t="s">
        <v>3486</v>
      </c>
      <c r="G103" s="52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2.75" customHeight="1">
      <c r="A104" s="416" t="s">
        <v>1520</v>
      </c>
      <c r="B104" s="161"/>
      <c r="C104" s="50"/>
      <c r="D104" s="45"/>
      <c r="E104" s="45"/>
      <c r="F104" s="365" t="s">
        <v>3487</v>
      </c>
      <c r="G104" s="52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2.75" customHeight="1">
      <c r="A105" s="416"/>
      <c r="B105" s="467"/>
      <c r="C105" s="456"/>
      <c r="D105" s="457"/>
      <c r="E105" s="457"/>
      <c r="F105" s="365" t="s">
        <v>3488</v>
      </c>
      <c r="G105" s="52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2.75" customHeight="1">
      <c r="A106" s="33" t="s">
        <v>3489</v>
      </c>
      <c r="B106" s="27"/>
      <c r="C106" s="411" t="s">
        <v>8</v>
      </c>
      <c r="D106" s="411" t="s">
        <v>9</v>
      </c>
      <c r="E106" s="411" t="s">
        <v>10</v>
      </c>
      <c r="F106" s="553" t="s">
        <v>11</v>
      </c>
      <c r="G106" s="52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2.75" customHeight="1">
      <c r="A107" s="187" t="s">
        <v>12</v>
      </c>
      <c r="B107" s="37"/>
      <c r="C107" s="38"/>
      <c r="D107" s="39"/>
      <c r="E107" s="39"/>
      <c r="F107" s="424" t="s">
        <v>13</v>
      </c>
      <c r="G107" s="52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2.75" customHeight="1">
      <c r="A108" s="173" t="s">
        <v>3402</v>
      </c>
      <c r="B108" s="415" t="s">
        <v>1226</v>
      </c>
      <c r="C108" s="50">
        <v>980.0</v>
      </c>
      <c r="D108" s="45">
        <v>26023.32</v>
      </c>
      <c r="E108" s="45">
        <v>27295.92</v>
      </c>
      <c r="F108" s="424" t="s">
        <v>3490</v>
      </c>
      <c r="G108" s="52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2.75" customHeight="1">
      <c r="A109" s="416" t="s">
        <v>3491</v>
      </c>
      <c r="B109" s="161"/>
      <c r="C109" s="50"/>
      <c r="D109" s="45"/>
      <c r="E109" s="45"/>
      <c r="F109" s="365" t="s">
        <v>3492</v>
      </c>
      <c r="G109" s="52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2.75" customHeight="1">
      <c r="A110" s="417"/>
      <c r="B110" s="418"/>
      <c r="C110" s="55"/>
      <c r="D110" s="56"/>
      <c r="E110" s="56"/>
      <c r="F110" s="425" t="s">
        <v>3493</v>
      </c>
      <c r="G110" s="52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2.75" customHeight="1">
      <c r="A111" s="33" t="s">
        <v>3494</v>
      </c>
      <c r="B111" s="27"/>
      <c r="C111" s="422" t="s">
        <v>8</v>
      </c>
      <c r="D111" s="422" t="s">
        <v>9</v>
      </c>
      <c r="E111" s="422" t="s">
        <v>10</v>
      </c>
      <c r="F111" s="423" t="s">
        <v>11</v>
      </c>
      <c r="G111" s="52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2.75" customHeight="1">
      <c r="A112" s="187" t="s">
        <v>12</v>
      </c>
      <c r="B112" s="37"/>
      <c r="C112" s="38"/>
      <c r="D112" s="39"/>
      <c r="E112" s="39"/>
      <c r="F112" s="424" t="s">
        <v>13</v>
      </c>
      <c r="G112" s="52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2.75" customHeight="1">
      <c r="A113" s="173" t="s">
        <v>3402</v>
      </c>
      <c r="B113" s="415" t="s">
        <v>1226</v>
      </c>
      <c r="C113" s="50">
        <v>923.0</v>
      </c>
      <c r="D113" s="45">
        <v>26978.53</v>
      </c>
      <c r="E113" s="45">
        <v>28355.19</v>
      </c>
      <c r="F113" s="424" t="s">
        <v>3495</v>
      </c>
      <c r="G113" s="52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2.75" customHeight="1">
      <c r="A114" s="416" t="s">
        <v>72</v>
      </c>
      <c r="B114" s="161"/>
      <c r="C114" s="50"/>
      <c r="D114" s="45"/>
      <c r="E114" s="45"/>
      <c r="F114" s="365" t="s">
        <v>3496</v>
      </c>
      <c r="G114" s="52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2.75" customHeight="1">
      <c r="A115" s="417"/>
      <c r="B115" s="418"/>
      <c r="C115" s="55"/>
      <c r="D115" s="56"/>
      <c r="E115" s="56"/>
      <c r="F115" s="425" t="s">
        <v>3497</v>
      </c>
      <c r="G115" s="52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2.75" customHeight="1">
      <c r="A116" s="33" t="s">
        <v>3498</v>
      </c>
      <c r="B116" s="27"/>
      <c r="C116" s="422" t="s">
        <v>8</v>
      </c>
      <c r="D116" s="422" t="s">
        <v>9</v>
      </c>
      <c r="E116" s="422" t="s">
        <v>10</v>
      </c>
      <c r="F116" s="423" t="s">
        <v>11</v>
      </c>
      <c r="G116" s="52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2.75" customHeight="1">
      <c r="A117" s="187" t="s">
        <v>12</v>
      </c>
      <c r="B117" s="37"/>
      <c r="C117" s="38"/>
      <c r="D117" s="39"/>
      <c r="E117" s="39"/>
      <c r="F117" s="424" t="s">
        <v>13</v>
      </c>
      <c r="G117" s="52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2.75" customHeight="1">
      <c r="A118" s="173" t="s">
        <v>3402</v>
      </c>
      <c r="B118" s="415" t="s">
        <v>1226</v>
      </c>
      <c r="C118" s="50">
        <v>1011.0</v>
      </c>
      <c r="D118" s="45">
        <v>27008.26</v>
      </c>
      <c r="E118" s="45">
        <v>28287.83</v>
      </c>
      <c r="F118" s="424" t="s">
        <v>3499</v>
      </c>
      <c r="G118" s="52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2.75" customHeight="1">
      <c r="A119" s="416" t="s">
        <v>1564</v>
      </c>
      <c r="B119" s="161"/>
      <c r="C119" s="50"/>
      <c r="D119" s="45"/>
      <c r="E119" s="45"/>
      <c r="F119" s="365" t="s">
        <v>3500</v>
      </c>
      <c r="G119" s="52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2.75" customHeight="1">
      <c r="A120" s="417"/>
      <c r="B120" s="418"/>
      <c r="C120" s="55"/>
      <c r="D120" s="56"/>
      <c r="E120" s="56"/>
      <c r="F120" s="425" t="s">
        <v>3501</v>
      </c>
      <c r="G120" s="52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75" customHeight="1">
      <c r="A121" s="33" t="s">
        <v>3502</v>
      </c>
      <c r="B121" s="27"/>
      <c r="C121" s="422" t="s">
        <v>8</v>
      </c>
      <c r="D121" s="422" t="s">
        <v>9</v>
      </c>
      <c r="E121" s="422" t="s">
        <v>10</v>
      </c>
      <c r="F121" s="423" t="s">
        <v>11</v>
      </c>
      <c r="G121" s="52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75" customHeight="1">
      <c r="A122" s="187" t="s">
        <v>12</v>
      </c>
      <c r="B122" s="37"/>
      <c r="C122" s="38"/>
      <c r="D122" s="39"/>
      <c r="E122" s="39"/>
      <c r="F122" s="424" t="s">
        <v>13</v>
      </c>
      <c r="G122" s="52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2.75" customHeight="1">
      <c r="A123" s="173" t="s">
        <v>3402</v>
      </c>
      <c r="B123" s="415" t="s">
        <v>1226</v>
      </c>
      <c r="C123" s="50">
        <v>1000.0</v>
      </c>
      <c r="D123" s="45">
        <v>26550.17</v>
      </c>
      <c r="E123" s="45">
        <v>27840.17</v>
      </c>
      <c r="F123" s="424" t="s">
        <v>3503</v>
      </c>
      <c r="G123" s="52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2.75" customHeight="1">
      <c r="A124" s="416" t="s">
        <v>1633</v>
      </c>
      <c r="B124" s="161"/>
      <c r="C124" s="50"/>
      <c r="D124" s="45"/>
      <c r="E124" s="45"/>
      <c r="F124" s="365" t="s">
        <v>3504</v>
      </c>
      <c r="G124" s="52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2.75" customHeight="1">
      <c r="A125" s="417"/>
      <c r="B125" s="418"/>
      <c r="C125" s="55"/>
      <c r="D125" s="56"/>
      <c r="E125" s="56"/>
      <c r="F125" s="425" t="s">
        <v>3505</v>
      </c>
      <c r="G125" s="52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2.75" customHeight="1">
      <c r="A126" s="33" t="s">
        <v>3506</v>
      </c>
      <c r="B126" s="27"/>
      <c r="C126" s="422" t="s">
        <v>8</v>
      </c>
      <c r="D126" s="422" t="s">
        <v>9</v>
      </c>
      <c r="E126" s="422" t="s">
        <v>10</v>
      </c>
      <c r="F126" s="423" t="s">
        <v>11</v>
      </c>
      <c r="G126" s="52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2.75" customHeight="1">
      <c r="A127" s="187" t="s">
        <v>12</v>
      </c>
      <c r="B127" s="37"/>
      <c r="C127" s="38"/>
      <c r="D127" s="39"/>
      <c r="E127" s="39"/>
      <c r="F127" s="424" t="s">
        <v>13</v>
      </c>
      <c r="G127" s="52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2.75" customHeight="1">
      <c r="A128" s="173" t="s">
        <v>3411</v>
      </c>
      <c r="B128" s="415" t="s">
        <v>1226</v>
      </c>
      <c r="C128" s="50">
        <v>1006.0</v>
      </c>
      <c r="D128" s="45">
        <v>26761.74</v>
      </c>
      <c r="E128" s="45">
        <v>28046.96</v>
      </c>
      <c r="F128" s="424" t="s">
        <v>3507</v>
      </c>
      <c r="G128" s="52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2.75" customHeight="1">
      <c r="A129" s="416" t="s">
        <v>169</v>
      </c>
      <c r="B129" s="161"/>
      <c r="C129" s="50"/>
      <c r="D129" s="45"/>
      <c r="E129" s="45"/>
      <c r="F129" s="365" t="s">
        <v>3508</v>
      </c>
      <c r="G129" s="52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2.75" customHeight="1">
      <c r="A130" s="416"/>
      <c r="B130" s="467"/>
      <c r="C130" s="456"/>
      <c r="D130" s="457"/>
      <c r="E130" s="457"/>
      <c r="F130" s="365" t="s">
        <v>3509</v>
      </c>
      <c r="G130" s="52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2.75" customHeight="1">
      <c r="A131" s="33" t="s">
        <v>3510</v>
      </c>
      <c r="B131" s="27"/>
      <c r="C131" s="422" t="s">
        <v>8</v>
      </c>
      <c r="D131" s="422" t="s">
        <v>9</v>
      </c>
      <c r="E131" s="422" t="s">
        <v>10</v>
      </c>
      <c r="F131" s="423" t="s">
        <v>11</v>
      </c>
      <c r="G131" s="52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2.75" customHeight="1">
      <c r="A132" s="187" t="s">
        <v>12</v>
      </c>
      <c r="B132" s="37"/>
      <c r="C132" s="38"/>
      <c r="D132" s="39"/>
      <c r="E132" s="39"/>
      <c r="F132" s="424" t="s">
        <v>13</v>
      </c>
      <c r="G132" s="52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2.75" customHeight="1">
      <c r="A133" s="173" t="s">
        <v>3402</v>
      </c>
      <c r="B133" s="415" t="s">
        <v>1226</v>
      </c>
      <c r="C133" s="50">
        <v>1008.0</v>
      </c>
      <c r="D133" s="45">
        <v>27007.34</v>
      </c>
      <c r="E133" s="45">
        <v>28244.63</v>
      </c>
      <c r="F133" s="424" t="s">
        <v>3511</v>
      </c>
      <c r="G133" s="52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75" customHeight="1">
      <c r="A134" s="416" t="s">
        <v>3512</v>
      </c>
      <c r="B134" s="161"/>
      <c r="C134" s="50"/>
      <c r="D134" s="45"/>
      <c r="E134" s="45"/>
      <c r="F134" s="365" t="s">
        <v>3513</v>
      </c>
      <c r="G134" s="52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75" customHeight="1">
      <c r="A135" s="417"/>
      <c r="B135" s="418"/>
      <c r="C135" s="55"/>
      <c r="D135" s="56"/>
      <c r="E135" s="56"/>
      <c r="F135" s="425" t="s">
        <v>3514</v>
      </c>
      <c r="G135" s="52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.75" customHeight="1">
      <c r="A136" s="33" t="s">
        <v>3515</v>
      </c>
      <c r="B136" s="27"/>
      <c r="C136" s="422" t="s">
        <v>8</v>
      </c>
      <c r="D136" s="422" t="s">
        <v>9</v>
      </c>
      <c r="E136" s="422" t="s">
        <v>10</v>
      </c>
      <c r="F136" s="423" t="s">
        <v>11</v>
      </c>
      <c r="G136" s="52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.75" customHeight="1">
      <c r="A137" s="187" t="s">
        <v>12</v>
      </c>
      <c r="B137" s="37"/>
      <c r="C137" s="38"/>
      <c r="D137" s="39"/>
      <c r="E137" s="39"/>
      <c r="F137" s="424" t="s">
        <v>13</v>
      </c>
      <c r="G137" s="52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2.75" customHeight="1">
      <c r="A138" s="173" t="s">
        <v>3402</v>
      </c>
      <c r="B138" s="415" t="s">
        <v>1226</v>
      </c>
      <c r="C138" s="50">
        <v>990.0</v>
      </c>
      <c r="D138" s="45">
        <v>26304.66</v>
      </c>
      <c r="E138" s="45">
        <v>27726.44</v>
      </c>
      <c r="F138" s="424" t="s">
        <v>3516</v>
      </c>
      <c r="G138" s="52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16" t="s">
        <v>3517</v>
      </c>
      <c r="B139" s="161"/>
      <c r="C139" s="50"/>
      <c r="D139" s="45"/>
      <c r="E139" s="45"/>
      <c r="F139" s="365" t="s">
        <v>3518</v>
      </c>
    </row>
    <row r="140" ht="15.75" customHeight="1">
      <c r="A140" s="417"/>
      <c r="B140" s="418"/>
      <c r="C140" s="55"/>
      <c r="D140" s="56"/>
      <c r="E140" s="56"/>
      <c r="F140" s="425" t="s">
        <v>3519</v>
      </c>
    </row>
    <row r="141" ht="12.75" customHeight="1">
      <c r="A141" s="33" t="s">
        <v>3520</v>
      </c>
      <c r="B141" s="27"/>
      <c r="C141" s="422" t="s">
        <v>8</v>
      </c>
      <c r="D141" s="422" t="s">
        <v>9</v>
      </c>
      <c r="E141" s="422" t="s">
        <v>10</v>
      </c>
      <c r="F141" s="423" t="s">
        <v>11</v>
      </c>
      <c r="G141" s="52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.75" customHeight="1">
      <c r="A142" s="187" t="s">
        <v>12</v>
      </c>
      <c r="B142" s="37"/>
      <c r="C142" s="38"/>
      <c r="D142" s="39"/>
      <c r="E142" s="39"/>
      <c r="F142" s="424" t="s">
        <v>13</v>
      </c>
      <c r="G142" s="52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.75" customHeight="1">
      <c r="A143" s="173" t="s">
        <v>1508</v>
      </c>
      <c r="B143" s="415" t="s">
        <v>15</v>
      </c>
      <c r="C143" s="50">
        <v>965.0</v>
      </c>
      <c r="D143" s="45">
        <v>26538.8</v>
      </c>
      <c r="E143" s="45">
        <v>27797.91</v>
      </c>
      <c r="F143" s="424" t="s">
        <v>3521</v>
      </c>
      <c r="G143" s="52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.75" customHeight="1">
      <c r="A144" s="416" t="s">
        <v>1648</v>
      </c>
      <c r="B144" s="161"/>
      <c r="C144" s="50"/>
      <c r="D144" s="45"/>
      <c r="E144" s="45"/>
      <c r="F144" s="365" t="s">
        <v>3522</v>
      </c>
      <c r="G144" s="52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.75" customHeight="1">
      <c r="A145" s="417"/>
      <c r="B145" s="418"/>
      <c r="C145" s="55"/>
      <c r="D145" s="56"/>
      <c r="E145" s="56"/>
      <c r="F145" s="425" t="s">
        <v>3523</v>
      </c>
      <c r="G145" s="52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2.75" customHeight="1">
      <c r="A146" s="33" t="s">
        <v>3524</v>
      </c>
      <c r="B146" s="27"/>
      <c r="C146" s="422" t="s">
        <v>8</v>
      </c>
      <c r="D146" s="422" t="s">
        <v>9</v>
      </c>
      <c r="E146" s="422" t="s">
        <v>10</v>
      </c>
      <c r="F146" s="423" t="s">
        <v>11</v>
      </c>
      <c r="G146" s="52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75" customHeight="1">
      <c r="A147" s="187" t="s">
        <v>12</v>
      </c>
      <c r="B147" s="37"/>
      <c r="C147" s="38"/>
      <c r="D147" s="39"/>
      <c r="E147" s="39"/>
      <c r="F147" s="424" t="s">
        <v>13</v>
      </c>
      <c r="G147" s="52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75" customHeight="1">
      <c r="A148" s="173" t="s">
        <v>1508</v>
      </c>
      <c r="B148" s="415" t="s">
        <v>15</v>
      </c>
      <c r="C148" s="50">
        <v>983.0</v>
      </c>
      <c r="D148" s="45">
        <v>27005.8</v>
      </c>
      <c r="E148" s="45">
        <v>28290.33</v>
      </c>
      <c r="F148" s="424" t="s">
        <v>3525</v>
      </c>
      <c r="G148" s="52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2.75" customHeight="1">
      <c r="A149" s="416" t="s">
        <v>3526</v>
      </c>
      <c r="B149" s="161"/>
      <c r="C149" s="50"/>
      <c r="D149" s="45"/>
      <c r="E149" s="45"/>
      <c r="F149" s="365" t="s">
        <v>3527</v>
      </c>
      <c r="G149" s="52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2.75" customHeight="1">
      <c r="A150" s="417"/>
      <c r="B150" s="418"/>
      <c r="C150" s="55"/>
      <c r="D150" s="56"/>
      <c r="E150" s="56"/>
      <c r="F150" s="425" t="s">
        <v>3528</v>
      </c>
      <c r="G150" s="52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.75" customHeight="1">
      <c r="A151" s="33" t="s">
        <v>3529</v>
      </c>
      <c r="B151" s="27"/>
      <c r="C151" s="422" t="s">
        <v>8</v>
      </c>
      <c r="D151" s="422" t="s">
        <v>9</v>
      </c>
      <c r="E151" s="422" t="s">
        <v>10</v>
      </c>
      <c r="F151" s="423" t="s">
        <v>11</v>
      </c>
      <c r="G151" s="52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.75" customHeight="1">
      <c r="A152" s="187" t="s">
        <v>12</v>
      </c>
      <c r="B152" s="37"/>
      <c r="C152" s="38"/>
      <c r="D152" s="39"/>
      <c r="E152" s="39"/>
      <c r="F152" s="424" t="s">
        <v>13</v>
      </c>
      <c r="G152" s="52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.75" customHeight="1">
      <c r="A153" s="173" t="s">
        <v>1508</v>
      </c>
      <c r="B153" s="415" t="s">
        <v>15</v>
      </c>
      <c r="C153" s="50">
        <v>933.0</v>
      </c>
      <c r="D153" s="45">
        <v>26988.71</v>
      </c>
      <c r="E153" s="45">
        <v>28191.76</v>
      </c>
      <c r="F153" s="424" t="s">
        <v>3530</v>
      </c>
      <c r="G153" s="52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.75" customHeight="1">
      <c r="A154" s="416" t="s">
        <v>1530</v>
      </c>
      <c r="B154" s="161"/>
      <c r="C154" s="50"/>
      <c r="D154" s="45"/>
      <c r="E154" s="45"/>
      <c r="F154" s="365" t="s">
        <v>3531</v>
      </c>
      <c r="G154" s="52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.75" customHeight="1">
      <c r="A155" s="417"/>
      <c r="B155" s="418"/>
      <c r="C155" s="55"/>
      <c r="D155" s="56"/>
      <c r="E155" s="56"/>
      <c r="F155" s="425" t="s">
        <v>3532</v>
      </c>
      <c r="G155" s="52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.75" customHeight="1">
      <c r="A156" s="33" t="s">
        <v>3533</v>
      </c>
      <c r="B156" s="27"/>
      <c r="C156" s="422" t="s">
        <v>8</v>
      </c>
      <c r="D156" s="422" t="s">
        <v>9</v>
      </c>
      <c r="E156" s="422" t="s">
        <v>10</v>
      </c>
      <c r="F156" s="423" t="s">
        <v>11</v>
      </c>
      <c r="G156" s="52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.75" customHeight="1">
      <c r="A157" s="187" t="s">
        <v>12</v>
      </c>
      <c r="B157" s="37"/>
      <c r="C157" s="38"/>
      <c r="D157" s="39"/>
      <c r="E157" s="39"/>
      <c r="F157" s="424" t="s">
        <v>13</v>
      </c>
      <c r="G157" s="52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.75" customHeight="1">
      <c r="A158" s="173" t="s">
        <v>1508</v>
      </c>
      <c r="B158" s="415" t="s">
        <v>15</v>
      </c>
      <c r="C158" s="50">
        <v>988.0</v>
      </c>
      <c r="D158" s="45">
        <v>26991.86</v>
      </c>
      <c r="E158" s="45">
        <v>28271.15</v>
      </c>
      <c r="F158" s="424" t="s">
        <v>3534</v>
      </c>
      <c r="G158" s="52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2.75" customHeight="1">
      <c r="A159" s="416" t="s">
        <v>3535</v>
      </c>
      <c r="B159" s="161"/>
      <c r="C159" s="50"/>
      <c r="D159" s="45"/>
      <c r="E159" s="45"/>
      <c r="F159" s="365" t="s">
        <v>3536</v>
      </c>
      <c r="G159" s="52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.75" customHeight="1">
      <c r="A160" s="417"/>
      <c r="B160" s="418"/>
      <c r="C160" s="55"/>
      <c r="D160" s="56"/>
      <c r="E160" s="56"/>
      <c r="F160" s="425" t="s">
        <v>3537</v>
      </c>
      <c r="G160" s="52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.75" customHeight="1">
      <c r="A161" s="33" t="s">
        <v>3538</v>
      </c>
      <c r="B161" s="27"/>
      <c r="C161" s="422" t="s">
        <v>8</v>
      </c>
      <c r="D161" s="422" t="s">
        <v>9</v>
      </c>
      <c r="E161" s="422" t="s">
        <v>10</v>
      </c>
      <c r="F161" s="423" t="s">
        <v>11</v>
      </c>
      <c r="G161" s="52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75" customHeight="1">
      <c r="A162" s="187" t="s">
        <v>12</v>
      </c>
      <c r="B162" s="37"/>
      <c r="C162" s="38"/>
      <c r="D162" s="39"/>
      <c r="E162" s="39"/>
      <c r="F162" s="424" t="s">
        <v>13</v>
      </c>
      <c r="G162" s="52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.75" customHeight="1">
      <c r="A163" s="173" t="s">
        <v>1508</v>
      </c>
      <c r="B163" s="415" t="s">
        <v>15</v>
      </c>
      <c r="C163" s="50">
        <v>988.0</v>
      </c>
      <c r="D163" s="45">
        <v>27004.85</v>
      </c>
      <c r="E163" s="45">
        <v>28263.74</v>
      </c>
      <c r="F163" s="424" t="s">
        <v>3539</v>
      </c>
      <c r="G163" s="52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75" customHeight="1">
      <c r="A164" s="416" t="s">
        <v>3540</v>
      </c>
      <c r="B164" s="161"/>
      <c r="C164" s="50"/>
      <c r="D164" s="45"/>
      <c r="E164" s="45"/>
      <c r="F164" s="365" t="s">
        <v>3541</v>
      </c>
      <c r="G164" s="52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75" customHeight="1">
      <c r="A165" s="417"/>
      <c r="B165" s="418"/>
      <c r="C165" s="55"/>
      <c r="D165" s="56"/>
      <c r="E165" s="56"/>
      <c r="F165" s="425" t="s">
        <v>3542</v>
      </c>
      <c r="G165" s="52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75" customHeight="1">
      <c r="A166" s="33" t="s">
        <v>3543</v>
      </c>
      <c r="B166" s="27"/>
      <c r="C166" s="422" t="s">
        <v>8</v>
      </c>
      <c r="D166" s="422" t="s">
        <v>9</v>
      </c>
      <c r="E166" s="422" t="s">
        <v>10</v>
      </c>
      <c r="F166" s="423" t="s">
        <v>11</v>
      </c>
      <c r="G166" s="52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.75" customHeight="1">
      <c r="A167" s="187" t="s">
        <v>12</v>
      </c>
      <c r="B167" s="37"/>
      <c r="C167" s="38"/>
      <c r="D167" s="39"/>
      <c r="E167" s="39"/>
      <c r="F167" s="424" t="s">
        <v>13</v>
      </c>
      <c r="G167" s="52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75" customHeight="1">
      <c r="A168" s="173" t="s">
        <v>1508</v>
      </c>
      <c r="B168" s="415" t="s">
        <v>15</v>
      </c>
      <c r="C168" s="50">
        <v>935.0</v>
      </c>
      <c r="D168" s="45">
        <v>27004.21</v>
      </c>
      <c r="E168" s="45">
        <v>28188.96</v>
      </c>
      <c r="F168" s="424" t="s">
        <v>3544</v>
      </c>
      <c r="G168" s="52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75" customHeight="1">
      <c r="A169" s="416" t="s">
        <v>1679</v>
      </c>
      <c r="B169" s="161"/>
      <c r="C169" s="50"/>
      <c r="D169" s="45"/>
      <c r="E169" s="45"/>
      <c r="F169" s="365" t="s">
        <v>3545</v>
      </c>
      <c r="G169" s="52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75" customHeight="1">
      <c r="A170" s="417"/>
      <c r="B170" s="418"/>
      <c r="C170" s="55"/>
      <c r="D170" s="56"/>
      <c r="E170" s="56"/>
      <c r="F170" s="425" t="s">
        <v>3546</v>
      </c>
      <c r="G170" s="52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75" customHeight="1">
      <c r="A171" s="33" t="s">
        <v>3547</v>
      </c>
      <c r="B171" s="27"/>
      <c r="C171" s="422" t="s">
        <v>8</v>
      </c>
      <c r="D171" s="422" t="s">
        <v>9</v>
      </c>
      <c r="E171" s="422" t="s">
        <v>10</v>
      </c>
      <c r="F171" s="423" t="s">
        <v>11</v>
      </c>
      <c r="G171" s="52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75" customHeight="1">
      <c r="A172" s="187" t="s">
        <v>12</v>
      </c>
      <c r="B172" s="37"/>
      <c r="C172" s="38"/>
      <c r="D172" s="39"/>
      <c r="E172" s="39"/>
      <c r="F172" s="424" t="s">
        <v>13</v>
      </c>
      <c r="G172" s="52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75" customHeight="1">
      <c r="A173" s="173" t="s">
        <v>1508</v>
      </c>
      <c r="B173" s="415" t="s">
        <v>15</v>
      </c>
      <c r="C173" s="50">
        <v>985.0</v>
      </c>
      <c r="D173" s="45">
        <v>27013.27</v>
      </c>
      <c r="E173" s="45">
        <v>28229.41</v>
      </c>
      <c r="F173" s="424" t="s">
        <v>3548</v>
      </c>
      <c r="G173" s="52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75" customHeight="1">
      <c r="A174" s="416" t="s">
        <v>1535</v>
      </c>
      <c r="B174" s="161"/>
      <c r="C174" s="50"/>
      <c r="D174" s="45"/>
      <c r="E174" s="45"/>
      <c r="F174" s="365" t="s">
        <v>3549</v>
      </c>
      <c r="G174" s="52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75" customHeight="1">
      <c r="A175" s="417"/>
      <c r="B175" s="418"/>
      <c r="C175" s="55"/>
      <c r="D175" s="56"/>
      <c r="E175" s="56"/>
      <c r="F175" s="425" t="s">
        <v>3550</v>
      </c>
      <c r="G175" s="52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75" customHeight="1">
      <c r="A176" s="33" t="s">
        <v>3551</v>
      </c>
      <c r="B176" s="27"/>
      <c r="C176" s="422" t="s">
        <v>8</v>
      </c>
      <c r="D176" s="422" t="s">
        <v>9</v>
      </c>
      <c r="E176" s="422" t="s">
        <v>10</v>
      </c>
      <c r="F176" s="423" t="s">
        <v>11</v>
      </c>
      <c r="G176" s="52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75" customHeight="1">
      <c r="A177" s="187" t="s">
        <v>12</v>
      </c>
      <c r="B177" s="37"/>
      <c r="C177" s="38"/>
      <c r="D177" s="39"/>
      <c r="E177" s="39"/>
      <c r="F177" s="424" t="s">
        <v>13</v>
      </c>
      <c r="G177" s="52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75" customHeight="1">
      <c r="A178" s="173" t="s">
        <v>1508</v>
      </c>
      <c r="B178" s="415" t="s">
        <v>15</v>
      </c>
      <c r="C178" s="50">
        <v>988.0</v>
      </c>
      <c r="D178" s="45">
        <v>27001.97</v>
      </c>
      <c r="E178" s="45">
        <v>28280.96</v>
      </c>
      <c r="F178" s="424" t="s">
        <v>3552</v>
      </c>
      <c r="G178" s="52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75" customHeight="1">
      <c r="A179" s="416" t="s">
        <v>3553</v>
      </c>
      <c r="B179" s="161"/>
      <c r="C179" s="50"/>
      <c r="D179" s="45"/>
      <c r="E179" s="45"/>
      <c r="F179" s="365" t="s">
        <v>3554</v>
      </c>
      <c r="G179" s="52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75" customHeight="1">
      <c r="A180" s="417"/>
      <c r="B180" s="418"/>
      <c r="C180" s="55"/>
      <c r="D180" s="56"/>
      <c r="E180" s="56"/>
      <c r="F180" s="425" t="s">
        <v>3555</v>
      </c>
      <c r="G180" s="52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75" customHeight="1">
      <c r="A181" s="33" t="s">
        <v>3556</v>
      </c>
      <c r="B181" s="27"/>
      <c r="C181" s="422" t="s">
        <v>8</v>
      </c>
      <c r="D181" s="422" t="s">
        <v>9</v>
      </c>
      <c r="E181" s="422" t="s">
        <v>10</v>
      </c>
      <c r="F181" s="423" t="s">
        <v>11</v>
      </c>
      <c r="G181" s="52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75" customHeight="1">
      <c r="A182" s="187" t="s">
        <v>12</v>
      </c>
      <c r="B182" s="37"/>
      <c r="C182" s="38"/>
      <c r="D182" s="39"/>
      <c r="E182" s="39"/>
      <c r="F182" s="424" t="s">
        <v>13</v>
      </c>
      <c r="G182" s="52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75" customHeight="1">
      <c r="A183" s="173" t="s">
        <v>1508</v>
      </c>
      <c r="B183" s="415" t="s">
        <v>15</v>
      </c>
      <c r="C183" s="50">
        <v>949.0</v>
      </c>
      <c r="D183" s="45">
        <v>26993.9</v>
      </c>
      <c r="E183" s="45">
        <v>28180.55</v>
      </c>
      <c r="F183" s="424" t="s">
        <v>3557</v>
      </c>
      <c r="G183" s="52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75" customHeight="1">
      <c r="A184" s="416" t="s">
        <v>249</v>
      </c>
      <c r="B184" s="161"/>
      <c r="C184" s="50"/>
      <c r="D184" s="45"/>
      <c r="E184" s="45"/>
      <c r="F184" s="365" t="s">
        <v>3558</v>
      </c>
      <c r="G184" s="52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75" customHeight="1">
      <c r="A185" s="417"/>
      <c r="B185" s="418"/>
      <c r="C185" s="55"/>
      <c r="D185" s="56"/>
      <c r="E185" s="56"/>
      <c r="F185" s="425" t="s">
        <v>3559</v>
      </c>
      <c r="G185" s="52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75" customHeight="1">
      <c r="A186" s="33" t="s">
        <v>3560</v>
      </c>
      <c r="B186" s="27"/>
      <c r="C186" s="422" t="s">
        <v>8</v>
      </c>
      <c r="D186" s="422" t="s">
        <v>9</v>
      </c>
      <c r="E186" s="422" t="s">
        <v>10</v>
      </c>
      <c r="F186" s="423" t="s">
        <v>11</v>
      </c>
      <c r="G186" s="52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75" customHeight="1">
      <c r="A187" s="187" t="s">
        <v>12</v>
      </c>
      <c r="B187" s="37"/>
      <c r="C187" s="38"/>
      <c r="D187" s="39"/>
      <c r="E187" s="39"/>
      <c r="F187" s="424" t="s">
        <v>13</v>
      </c>
      <c r="G187" s="52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75" customHeight="1">
      <c r="A188" s="173" t="s">
        <v>1508</v>
      </c>
      <c r="B188" s="415" t="s">
        <v>15</v>
      </c>
      <c r="C188" s="50">
        <v>987.0</v>
      </c>
      <c r="D188" s="45">
        <v>27010.97</v>
      </c>
      <c r="E188" s="45">
        <v>28258.69</v>
      </c>
      <c r="F188" s="424" t="s">
        <v>3561</v>
      </c>
      <c r="G188" s="52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75" customHeight="1">
      <c r="A189" s="416" t="s">
        <v>279</v>
      </c>
      <c r="B189" s="161"/>
      <c r="C189" s="50"/>
      <c r="D189" s="45"/>
      <c r="E189" s="45"/>
      <c r="F189" s="365" t="s">
        <v>3562</v>
      </c>
      <c r="G189" s="52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75" customHeight="1">
      <c r="A190" s="417"/>
      <c r="B190" s="418"/>
      <c r="C190" s="55"/>
      <c r="D190" s="56"/>
      <c r="E190" s="56"/>
      <c r="F190" s="425" t="s">
        <v>3563</v>
      </c>
      <c r="G190" s="52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75" customHeight="1">
      <c r="A191" s="33" t="s">
        <v>3564</v>
      </c>
      <c r="B191" s="27"/>
      <c r="C191" s="422" t="s">
        <v>8</v>
      </c>
      <c r="D191" s="422" t="s">
        <v>9</v>
      </c>
      <c r="E191" s="422" t="s">
        <v>10</v>
      </c>
      <c r="F191" s="423" t="s">
        <v>11</v>
      </c>
      <c r="G191" s="52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75" customHeight="1">
      <c r="A192" s="187" t="s">
        <v>12</v>
      </c>
      <c r="B192" s="37"/>
      <c r="C192" s="38"/>
      <c r="D192" s="39"/>
      <c r="E192" s="39"/>
      <c r="F192" s="424" t="s">
        <v>13</v>
      </c>
      <c r="G192" s="52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75" customHeight="1">
      <c r="A193" s="173" t="s">
        <v>1508</v>
      </c>
      <c r="B193" s="415" t="s">
        <v>15</v>
      </c>
      <c r="C193" s="50">
        <v>985.0</v>
      </c>
      <c r="D193" s="45">
        <v>26920.97</v>
      </c>
      <c r="E193" s="45">
        <v>28187.55</v>
      </c>
      <c r="F193" s="424" t="s">
        <v>3565</v>
      </c>
      <c r="G193" s="52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75" customHeight="1">
      <c r="A194" s="416" t="s">
        <v>284</v>
      </c>
      <c r="B194" s="161"/>
      <c r="C194" s="50"/>
      <c r="D194" s="45"/>
      <c r="E194" s="45"/>
      <c r="F194" s="365" t="s">
        <v>3566</v>
      </c>
      <c r="G194" s="52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75" customHeight="1">
      <c r="A195" s="417"/>
      <c r="B195" s="418"/>
      <c r="C195" s="55"/>
      <c r="D195" s="56"/>
      <c r="E195" s="56"/>
      <c r="F195" s="425" t="s">
        <v>3567</v>
      </c>
      <c r="G195" s="52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75" customHeight="1">
      <c r="A196" s="33" t="s">
        <v>3568</v>
      </c>
      <c r="B196" s="27"/>
      <c r="C196" s="422" t="s">
        <v>8</v>
      </c>
      <c r="D196" s="422" t="s">
        <v>9</v>
      </c>
      <c r="E196" s="422" t="s">
        <v>10</v>
      </c>
      <c r="F196" s="423" t="s">
        <v>11</v>
      </c>
      <c r="G196" s="52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75" customHeight="1">
      <c r="A197" s="187" t="s">
        <v>12</v>
      </c>
      <c r="B197" s="37"/>
      <c r="C197" s="38"/>
      <c r="D197" s="39"/>
      <c r="E197" s="39"/>
      <c r="F197" s="424" t="s">
        <v>13</v>
      </c>
      <c r="G197" s="52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75" customHeight="1">
      <c r="A198" s="173" t="s">
        <v>1508</v>
      </c>
      <c r="B198" s="415" t="s">
        <v>15</v>
      </c>
      <c r="C198" s="50">
        <v>987.0</v>
      </c>
      <c r="D198" s="45">
        <v>26736.74</v>
      </c>
      <c r="E198" s="45">
        <v>28074.7</v>
      </c>
      <c r="F198" s="424" t="s">
        <v>3569</v>
      </c>
      <c r="G198" s="52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75" customHeight="1">
      <c r="A199" s="416" t="s">
        <v>3570</v>
      </c>
      <c r="B199" s="161"/>
      <c r="C199" s="50"/>
      <c r="D199" s="45"/>
      <c r="E199" s="45"/>
      <c r="F199" s="365" t="s">
        <v>3571</v>
      </c>
      <c r="G199" s="52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75" customHeight="1">
      <c r="A200" s="417"/>
      <c r="B200" s="418"/>
      <c r="C200" s="55"/>
      <c r="D200" s="56"/>
      <c r="E200" s="56"/>
      <c r="F200" s="425" t="s">
        <v>3572</v>
      </c>
      <c r="G200" s="52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75" customHeight="1">
      <c r="A201" s="33" t="s">
        <v>3573</v>
      </c>
      <c r="B201" s="27"/>
      <c r="C201" s="422" t="s">
        <v>8</v>
      </c>
      <c r="D201" s="422" t="s">
        <v>9</v>
      </c>
      <c r="E201" s="422" t="s">
        <v>10</v>
      </c>
      <c r="F201" s="423" t="s">
        <v>11</v>
      </c>
      <c r="G201" s="52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.75" customHeight="1">
      <c r="A202" s="187" t="s">
        <v>12</v>
      </c>
      <c r="B202" s="37"/>
      <c r="C202" s="38"/>
      <c r="D202" s="39"/>
      <c r="E202" s="39"/>
      <c r="F202" s="424" t="s">
        <v>13</v>
      </c>
      <c r="G202" s="52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75" customHeight="1">
      <c r="A203" s="173" t="s">
        <v>1508</v>
      </c>
      <c r="B203" s="415" t="s">
        <v>15</v>
      </c>
      <c r="C203" s="50">
        <v>989.0</v>
      </c>
      <c r="D203" s="45">
        <v>26999.05</v>
      </c>
      <c r="E203" s="45">
        <v>28298.44</v>
      </c>
      <c r="F203" s="424" t="s">
        <v>3574</v>
      </c>
      <c r="G203" s="52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75" customHeight="1">
      <c r="A204" s="416" t="s">
        <v>289</v>
      </c>
      <c r="B204" s="161"/>
      <c r="C204" s="50"/>
      <c r="D204" s="45"/>
      <c r="E204" s="45"/>
      <c r="F204" s="365" t="s">
        <v>3575</v>
      </c>
      <c r="G204" s="52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75" customHeight="1">
      <c r="A205" s="417"/>
      <c r="B205" s="418"/>
      <c r="C205" s="55"/>
      <c r="D205" s="56"/>
      <c r="E205" s="56"/>
      <c r="F205" s="425" t="s">
        <v>3576</v>
      </c>
      <c r="G205" s="52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75" customHeight="1">
      <c r="A206" s="33" t="s">
        <v>3577</v>
      </c>
      <c r="B206" s="27"/>
      <c r="C206" s="422" t="s">
        <v>8</v>
      </c>
      <c r="D206" s="422" t="s">
        <v>9</v>
      </c>
      <c r="E206" s="422" t="s">
        <v>10</v>
      </c>
      <c r="F206" s="423" t="s">
        <v>11</v>
      </c>
      <c r="G206" s="52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75" customHeight="1">
      <c r="A207" s="187" t="s">
        <v>12</v>
      </c>
      <c r="B207" s="37"/>
      <c r="C207" s="38"/>
      <c r="D207" s="39"/>
      <c r="E207" s="39"/>
      <c r="F207" s="424" t="s">
        <v>13</v>
      </c>
      <c r="G207" s="52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75" customHeight="1">
      <c r="A208" s="173" t="s">
        <v>3402</v>
      </c>
      <c r="B208" s="415" t="s">
        <v>1226</v>
      </c>
      <c r="C208" s="50">
        <v>1000.0</v>
      </c>
      <c r="D208" s="45">
        <v>26583.18</v>
      </c>
      <c r="E208" s="45">
        <v>27986.98</v>
      </c>
      <c r="F208" s="424" t="s">
        <v>3578</v>
      </c>
      <c r="G208" s="52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75" customHeight="1">
      <c r="A209" s="416" t="s">
        <v>3579</v>
      </c>
      <c r="B209" s="161"/>
      <c r="C209" s="50"/>
      <c r="D209" s="45"/>
      <c r="E209" s="45"/>
      <c r="F209" s="365" t="s">
        <v>3580</v>
      </c>
      <c r="G209" s="52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75" customHeight="1">
      <c r="A210" s="417"/>
      <c r="B210" s="418"/>
      <c r="C210" s="55"/>
      <c r="D210" s="56"/>
      <c r="E210" s="56"/>
      <c r="F210" s="425" t="s">
        <v>3581</v>
      </c>
      <c r="G210" s="52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8.75" customHeight="1">
      <c r="A211" s="89"/>
      <c r="B211" s="90"/>
      <c r="C211" s="91" t="s">
        <v>292</v>
      </c>
      <c r="D211" s="92" t="s">
        <v>292</v>
      </c>
      <c r="E211" s="92" t="s">
        <v>292</v>
      </c>
      <c r="F211" s="9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75" customHeight="1">
      <c r="A212" s="436"/>
      <c r="B212" s="437"/>
      <c r="C212" s="97">
        <v>37958.0</v>
      </c>
      <c r="D212" s="98">
        <v>1064042.0</v>
      </c>
      <c r="E212" s="98">
        <v>1112929.0</v>
      </c>
      <c r="F212" s="438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75" customHeight="1">
      <c r="A213" s="4"/>
      <c r="B213" s="101"/>
      <c r="C213" s="4"/>
      <c r="D213" s="102"/>
      <c r="E213" s="103"/>
      <c r="F213" s="10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75" customHeight="1">
      <c r="A214" s="4"/>
      <c r="B214" s="101"/>
      <c r="C214" s="4"/>
      <c r="D214" s="102"/>
      <c r="E214" s="103"/>
      <c r="F214" s="10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75" customHeight="1">
      <c r="A215" s="4"/>
      <c r="B215" s="101"/>
      <c r="C215" s="4"/>
      <c r="D215" s="102"/>
      <c r="E215" s="103"/>
      <c r="F215" s="10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75" customHeight="1">
      <c r="A216" s="4"/>
      <c r="B216" s="101"/>
      <c r="C216" s="4"/>
      <c r="D216" s="102"/>
      <c r="E216" s="103"/>
      <c r="F216" s="10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75" customHeight="1">
      <c r="A217" s="4"/>
      <c r="B217" s="101"/>
      <c r="C217" s="4"/>
      <c r="D217" s="102"/>
      <c r="E217" s="103"/>
      <c r="F217" s="10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75" customHeight="1">
      <c r="A218" s="4"/>
      <c r="B218" s="101"/>
      <c r="C218" s="4"/>
      <c r="D218" s="102"/>
      <c r="E218" s="103"/>
      <c r="F218" s="10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75" customHeight="1">
      <c r="A219" s="4"/>
      <c r="B219" s="101"/>
      <c r="C219" s="4"/>
      <c r="D219" s="102"/>
      <c r="E219" s="103"/>
      <c r="F219" s="10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75" customHeight="1">
      <c r="A220" s="4"/>
      <c r="B220" s="101"/>
      <c r="C220" s="4"/>
      <c r="D220" s="102"/>
      <c r="E220" s="103"/>
      <c r="F220" s="10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2.75" customHeight="1">
      <c r="A221" s="4"/>
      <c r="B221" s="101"/>
      <c r="C221" s="4"/>
      <c r="D221" s="102"/>
      <c r="E221" s="103"/>
      <c r="F221" s="10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2.75" customHeight="1">
      <c r="A222" s="4"/>
      <c r="B222" s="101"/>
      <c r="C222" s="4"/>
      <c r="D222" s="102"/>
      <c r="E222" s="103"/>
      <c r="F222" s="10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2.75" customHeight="1">
      <c r="A223" s="4"/>
      <c r="B223" s="101"/>
      <c r="C223" s="4"/>
      <c r="D223" s="102"/>
      <c r="E223" s="103"/>
      <c r="F223" s="10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2.75" customHeight="1">
      <c r="A224" s="4"/>
      <c r="B224" s="101"/>
      <c r="C224" s="4"/>
      <c r="D224" s="102"/>
      <c r="E224" s="103"/>
      <c r="F224" s="10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2.75" customHeight="1">
      <c r="A225" s="4"/>
      <c r="B225" s="101"/>
      <c r="C225" s="4"/>
      <c r="D225" s="102"/>
      <c r="E225" s="103"/>
      <c r="F225" s="10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2.75" customHeight="1">
      <c r="A226" s="4"/>
      <c r="B226" s="101"/>
      <c r="C226" s="4"/>
      <c r="D226" s="102"/>
      <c r="E226" s="103"/>
      <c r="F226" s="10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2.75" customHeight="1">
      <c r="A227" s="4"/>
      <c r="B227" s="101"/>
      <c r="C227" s="4"/>
      <c r="D227" s="102"/>
      <c r="E227" s="103"/>
      <c r="F227" s="10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2.75" customHeight="1">
      <c r="A228" s="4"/>
      <c r="B228" s="101"/>
      <c r="C228" s="4"/>
      <c r="D228" s="102"/>
      <c r="E228" s="103"/>
      <c r="F228" s="10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2.75" customHeight="1">
      <c r="A229" s="4"/>
      <c r="B229" s="101"/>
      <c r="C229" s="4"/>
      <c r="D229" s="102"/>
      <c r="E229" s="103"/>
      <c r="F229" s="10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2.75" customHeight="1">
      <c r="A230" s="4"/>
      <c r="B230" s="101"/>
      <c r="C230" s="4"/>
      <c r="D230" s="102"/>
      <c r="E230" s="103"/>
      <c r="F230" s="10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2.75" customHeight="1">
      <c r="A231" s="4"/>
      <c r="B231" s="101"/>
      <c r="C231" s="4"/>
      <c r="D231" s="102"/>
      <c r="E231" s="103"/>
      <c r="F231" s="10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2.75" customHeight="1">
      <c r="A232" s="4"/>
      <c r="B232" s="101"/>
      <c r="C232" s="4"/>
      <c r="D232" s="102"/>
      <c r="E232" s="103"/>
      <c r="F232" s="10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2.75" customHeight="1">
      <c r="A233" s="4"/>
      <c r="B233" s="101"/>
      <c r="C233" s="4"/>
      <c r="D233" s="102"/>
      <c r="E233" s="103"/>
      <c r="F233" s="10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2.75" customHeight="1">
      <c r="A234" s="4"/>
      <c r="B234" s="101"/>
      <c r="C234" s="4"/>
      <c r="D234" s="102"/>
      <c r="E234" s="103"/>
      <c r="F234" s="10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2.75" customHeight="1">
      <c r="A235" s="4"/>
      <c r="B235" s="101"/>
      <c r="C235" s="4"/>
      <c r="D235" s="102"/>
      <c r="E235" s="103"/>
      <c r="F235" s="10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2.75" customHeight="1">
      <c r="A236" s="4"/>
      <c r="B236" s="101"/>
      <c r="C236" s="4"/>
      <c r="D236" s="102"/>
      <c r="E236" s="103"/>
      <c r="F236" s="10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2.75" customHeight="1">
      <c r="A237" s="4"/>
      <c r="B237" s="101"/>
      <c r="C237" s="4"/>
      <c r="D237" s="102"/>
      <c r="E237" s="103"/>
      <c r="F237" s="10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2.75" customHeight="1">
      <c r="A238" s="4"/>
      <c r="B238" s="101"/>
      <c r="C238" s="4"/>
      <c r="D238" s="102"/>
      <c r="E238" s="103"/>
      <c r="F238" s="10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2.75" customHeight="1">
      <c r="A239" s="4"/>
      <c r="B239" s="101"/>
      <c r="C239" s="4"/>
      <c r="D239" s="102"/>
      <c r="E239" s="103"/>
      <c r="F239" s="10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2.75" customHeight="1">
      <c r="A240" s="4"/>
      <c r="B240" s="101"/>
      <c r="C240" s="4"/>
      <c r="D240" s="102"/>
      <c r="E240" s="103"/>
      <c r="F240" s="10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2.75" customHeight="1">
      <c r="A241" s="4"/>
      <c r="B241" s="101"/>
      <c r="C241" s="4"/>
      <c r="D241" s="102"/>
      <c r="E241" s="103"/>
      <c r="F241" s="10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2.75" customHeight="1">
      <c r="A242" s="4"/>
      <c r="B242" s="101"/>
      <c r="C242" s="4"/>
      <c r="D242" s="102"/>
      <c r="E242" s="103"/>
      <c r="F242" s="10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2.75" customHeight="1">
      <c r="A243" s="4"/>
      <c r="B243" s="101"/>
      <c r="C243" s="4"/>
      <c r="D243" s="102"/>
      <c r="E243" s="103"/>
      <c r="F243" s="10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2.75" customHeight="1">
      <c r="A244" s="4"/>
      <c r="B244" s="101"/>
      <c r="C244" s="4"/>
      <c r="D244" s="102"/>
      <c r="E244" s="103"/>
      <c r="F244" s="10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2.75" customHeight="1">
      <c r="A245" s="4"/>
      <c r="B245" s="101"/>
      <c r="C245" s="4"/>
      <c r="D245" s="102"/>
      <c r="E245" s="103"/>
      <c r="F245" s="10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2.75" customHeight="1">
      <c r="A246" s="4"/>
      <c r="B246" s="101"/>
      <c r="C246" s="4"/>
      <c r="D246" s="102"/>
      <c r="E246" s="103"/>
      <c r="F246" s="10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2.75" customHeight="1">
      <c r="A247" s="4"/>
      <c r="B247" s="101"/>
      <c r="C247" s="4"/>
      <c r="D247" s="102"/>
      <c r="E247" s="103"/>
      <c r="F247" s="10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2.75" customHeight="1">
      <c r="A248" s="4"/>
      <c r="B248" s="101"/>
      <c r="C248" s="4"/>
      <c r="D248" s="102"/>
      <c r="E248" s="103"/>
      <c r="F248" s="10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2.75" customHeight="1">
      <c r="A249" s="4"/>
      <c r="B249" s="101"/>
      <c r="C249" s="4"/>
      <c r="D249" s="102"/>
      <c r="E249" s="103"/>
      <c r="F249" s="10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2.75" customHeight="1">
      <c r="A250" s="4"/>
      <c r="B250" s="101"/>
      <c r="C250" s="4"/>
      <c r="D250" s="102"/>
      <c r="E250" s="103"/>
      <c r="F250" s="10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2.75" customHeight="1">
      <c r="A251" s="4"/>
      <c r="B251" s="101"/>
      <c r="C251" s="4"/>
      <c r="D251" s="102"/>
      <c r="E251" s="103"/>
      <c r="F251" s="10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2.75" customHeight="1">
      <c r="A252" s="4"/>
      <c r="B252" s="101"/>
      <c r="C252" s="4"/>
      <c r="D252" s="102"/>
      <c r="E252" s="103"/>
      <c r="F252" s="10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2.75" customHeight="1">
      <c r="A253" s="4"/>
      <c r="B253" s="101"/>
      <c r="C253" s="4"/>
      <c r="D253" s="102"/>
      <c r="E253" s="103"/>
      <c r="F253" s="10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2.75" customHeight="1">
      <c r="A254" s="4"/>
      <c r="B254" s="101"/>
      <c r="C254" s="4"/>
      <c r="D254" s="102"/>
      <c r="E254" s="103"/>
      <c r="F254" s="10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2.75" customHeight="1">
      <c r="A255" s="4"/>
      <c r="B255" s="101"/>
      <c r="C255" s="4"/>
      <c r="D255" s="102"/>
      <c r="E255" s="103"/>
      <c r="F255" s="10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2.75" customHeight="1">
      <c r="A256" s="4"/>
      <c r="B256" s="101"/>
      <c r="C256" s="4"/>
      <c r="D256" s="102"/>
      <c r="E256" s="103"/>
      <c r="F256" s="10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2.75" customHeight="1">
      <c r="A257" s="4"/>
      <c r="B257" s="101"/>
      <c r="C257" s="4"/>
      <c r="D257" s="102"/>
      <c r="E257" s="103"/>
      <c r="F257" s="10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2.75" customHeight="1">
      <c r="A258" s="4"/>
      <c r="B258" s="101"/>
      <c r="C258" s="4"/>
      <c r="D258" s="102"/>
      <c r="E258" s="103"/>
      <c r="F258" s="10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2.75" customHeight="1">
      <c r="A259" s="4"/>
      <c r="B259" s="101"/>
      <c r="C259" s="4"/>
      <c r="D259" s="102"/>
      <c r="E259" s="103"/>
      <c r="F259" s="10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2.75" customHeight="1">
      <c r="A260" s="4"/>
      <c r="B260" s="101"/>
      <c r="C260" s="4"/>
      <c r="D260" s="102"/>
      <c r="E260" s="103"/>
      <c r="F260" s="10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2.75" customHeight="1">
      <c r="A261" s="4"/>
      <c r="B261" s="101"/>
      <c r="C261" s="4"/>
      <c r="D261" s="102"/>
      <c r="E261" s="103"/>
      <c r="F261" s="10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2.75" customHeight="1">
      <c r="A262" s="4"/>
      <c r="B262" s="101"/>
      <c r="C262" s="4"/>
      <c r="D262" s="102"/>
      <c r="E262" s="103"/>
      <c r="F262" s="10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2.75" customHeight="1">
      <c r="A263" s="4"/>
      <c r="B263" s="101"/>
      <c r="C263" s="4"/>
      <c r="D263" s="102"/>
      <c r="E263" s="103"/>
      <c r="F263" s="10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2.75" customHeight="1">
      <c r="A264" s="4"/>
      <c r="B264" s="101"/>
      <c r="C264" s="4"/>
      <c r="D264" s="102"/>
      <c r="E264" s="103"/>
      <c r="F264" s="10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2.75" customHeight="1">
      <c r="A265" s="4"/>
      <c r="B265" s="101"/>
      <c r="C265" s="4"/>
      <c r="D265" s="102"/>
      <c r="E265" s="103"/>
      <c r="F265" s="10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2.75" customHeight="1">
      <c r="A266" s="4"/>
      <c r="B266" s="101"/>
      <c r="C266" s="4"/>
      <c r="D266" s="102"/>
      <c r="E266" s="103"/>
      <c r="F266" s="10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2.75" customHeight="1">
      <c r="A267" s="4"/>
      <c r="B267" s="101"/>
      <c r="C267" s="4"/>
      <c r="D267" s="102"/>
      <c r="E267" s="103"/>
      <c r="F267" s="10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2.75" customHeight="1">
      <c r="A268" s="4"/>
      <c r="B268" s="101"/>
      <c r="C268" s="4"/>
      <c r="D268" s="102"/>
      <c r="E268" s="103"/>
      <c r="F268" s="10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2.75" customHeight="1">
      <c r="A269" s="4"/>
      <c r="B269" s="101"/>
      <c r="C269" s="4"/>
      <c r="D269" s="102"/>
      <c r="E269" s="103"/>
      <c r="F269" s="10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2.75" customHeight="1">
      <c r="A270" s="4"/>
      <c r="B270" s="101"/>
      <c r="C270" s="4"/>
      <c r="D270" s="102"/>
      <c r="E270" s="103"/>
      <c r="F270" s="10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2.75" customHeight="1">
      <c r="A271" s="4"/>
      <c r="B271" s="101"/>
      <c r="C271" s="4"/>
      <c r="D271" s="102"/>
      <c r="E271" s="103"/>
      <c r="F271" s="10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2.75" customHeight="1">
      <c r="A272" s="4"/>
      <c r="B272" s="101"/>
      <c r="C272" s="4"/>
      <c r="D272" s="102"/>
      <c r="E272" s="103"/>
      <c r="F272" s="10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2.75" customHeight="1">
      <c r="A273" s="4"/>
      <c r="B273" s="101"/>
      <c r="C273" s="4"/>
      <c r="D273" s="102"/>
      <c r="E273" s="103"/>
      <c r="F273" s="10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2.75" customHeight="1">
      <c r="A274" s="4"/>
      <c r="B274" s="101"/>
      <c r="C274" s="4"/>
      <c r="D274" s="102"/>
      <c r="E274" s="103"/>
      <c r="F274" s="10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2.75" customHeight="1">
      <c r="A275" s="4"/>
      <c r="B275" s="101"/>
      <c r="C275" s="4"/>
      <c r="D275" s="102"/>
      <c r="E275" s="103"/>
      <c r="F275" s="10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2.75" customHeight="1">
      <c r="A276" s="4"/>
      <c r="B276" s="101"/>
      <c r="C276" s="4"/>
      <c r="D276" s="102"/>
      <c r="E276" s="103"/>
      <c r="F276" s="10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2.75" customHeight="1">
      <c r="A277" s="4"/>
      <c r="B277" s="101"/>
      <c r="C277" s="4"/>
      <c r="D277" s="102"/>
      <c r="E277" s="103"/>
      <c r="F277" s="10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2.75" customHeight="1">
      <c r="A278" s="4"/>
      <c r="B278" s="101"/>
      <c r="C278" s="4"/>
      <c r="D278" s="102"/>
      <c r="E278" s="103"/>
      <c r="F278" s="10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2.75" customHeight="1">
      <c r="A279" s="4"/>
      <c r="B279" s="101"/>
      <c r="C279" s="4"/>
      <c r="D279" s="102"/>
      <c r="E279" s="103"/>
      <c r="F279" s="10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2.75" customHeight="1">
      <c r="A280" s="4"/>
      <c r="B280" s="101"/>
      <c r="C280" s="4"/>
      <c r="D280" s="102"/>
      <c r="E280" s="103"/>
      <c r="F280" s="10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2.75" customHeight="1">
      <c r="A281" s="4"/>
      <c r="B281" s="101"/>
      <c r="C281" s="4"/>
      <c r="D281" s="102"/>
      <c r="E281" s="103"/>
      <c r="F281" s="10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2.75" customHeight="1">
      <c r="A282" s="4"/>
      <c r="B282" s="101"/>
      <c r="C282" s="4"/>
      <c r="D282" s="102"/>
      <c r="E282" s="103"/>
      <c r="F282" s="10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2.75" customHeight="1">
      <c r="A283" s="4"/>
      <c r="B283" s="101"/>
      <c r="C283" s="4"/>
      <c r="D283" s="102"/>
      <c r="E283" s="103"/>
      <c r="F283" s="10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2.75" customHeight="1">
      <c r="A284" s="4"/>
      <c r="B284" s="101"/>
      <c r="C284" s="4"/>
      <c r="D284" s="102"/>
      <c r="E284" s="103"/>
      <c r="F284" s="10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2.75" customHeight="1">
      <c r="A285" s="4"/>
      <c r="B285" s="101"/>
      <c r="C285" s="4"/>
      <c r="D285" s="102"/>
      <c r="E285" s="103"/>
      <c r="F285" s="10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2.75" customHeight="1">
      <c r="A286" s="4"/>
      <c r="B286" s="101"/>
      <c r="C286" s="4"/>
      <c r="D286" s="102"/>
      <c r="E286" s="103"/>
      <c r="F286" s="10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2.75" customHeight="1">
      <c r="A287" s="4"/>
      <c r="B287" s="101"/>
      <c r="C287" s="4"/>
      <c r="D287" s="102"/>
      <c r="E287" s="103"/>
      <c r="F287" s="10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2.75" customHeight="1">
      <c r="A288" s="4"/>
      <c r="B288" s="101"/>
      <c r="C288" s="4"/>
      <c r="D288" s="102"/>
      <c r="E288" s="103"/>
      <c r="F288" s="10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2.75" customHeight="1">
      <c r="A289" s="4"/>
      <c r="B289" s="101"/>
      <c r="C289" s="4"/>
      <c r="D289" s="102"/>
      <c r="E289" s="103"/>
      <c r="F289" s="10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2.75" customHeight="1">
      <c r="A290" s="4"/>
      <c r="B290" s="101"/>
      <c r="C290" s="4"/>
      <c r="D290" s="102"/>
      <c r="E290" s="103"/>
      <c r="F290" s="10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2.75" customHeight="1">
      <c r="A291" s="4"/>
      <c r="B291" s="101"/>
      <c r="C291" s="4"/>
      <c r="D291" s="102"/>
      <c r="E291" s="103"/>
      <c r="F291" s="10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2.75" customHeight="1">
      <c r="A292" s="4"/>
      <c r="B292" s="101"/>
      <c r="C292" s="4"/>
      <c r="D292" s="102"/>
      <c r="E292" s="103"/>
      <c r="F292" s="10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2.75" customHeight="1">
      <c r="A293" s="4"/>
      <c r="B293" s="101"/>
      <c r="C293" s="4"/>
      <c r="D293" s="102"/>
      <c r="E293" s="103"/>
      <c r="F293" s="10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2.75" customHeight="1">
      <c r="A294" s="4"/>
      <c r="B294" s="101"/>
      <c r="C294" s="4"/>
      <c r="D294" s="102"/>
      <c r="E294" s="103"/>
      <c r="F294" s="10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2.75" customHeight="1">
      <c r="A295" s="4"/>
      <c r="B295" s="101"/>
      <c r="C295" s="4"/>
      <c r="D295" s="102"/>
      <c r="E295" s="103"/>
      <c r="F295" s="10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2.75" customHeight="1">
      <c r="A296" s="4"/>
      <c r="B296" s="101"/>
      <c r="C296" s="4"/>
      <c r="D296" s="102"/>
      <c r="E296" s="103"/>
      <c r="F296" s="10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2.75" customHeight="1">
      <c r="A297" s="4"/>
      <c r="B297" s="101"/>
      <c r="C297" s="4"/>
      <c r="D297" s="102"/>
      <c r="E297" s="103"/>
      <c r="F297" s="10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2.75" customHeight="1">
      <c r="A298" s="4"/>
      <c r="B298" s="101"/>
      <c r="C298" s="4"/>
      <c r="D298" s="102"/>
      <c r="E298" s="103"/>
      <c r="F298" s="10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2.75" customHeight="1">
      <c r="A299" s="4"/>
      <c r="B299" s="101"/>
      <c r="C299" s="4"/>
      <c r="D299" s="102"/>
      <c r="E299" s="103"/>
      <c r="F299" s="10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2.75" customHeight="1">
      <c r="A300" s="4"/>
      <c r="B300" s="101"/>
      <c r="C300" s="4"/>
      <c r="D300" s="102"/>
      <c r="E300" s="103"/>
      <c r="F300" s="10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2.75" customHeight="1">
      <c r="A301" s="4"/>
      <c r="B301" s="101"/>
      <c r="C301" s="4"/>
      <c r="D301" s="102"/>
      <c r="E301" s="103"/>
      <c r="F301" s="10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2.75" customHeight="1">
      <c r="A302" s="4"/>
      <c r="B302" s="101"/>
      <c r="C302" s="4"/>
      <c r="D302" s="102"/>
      <c r="E302" s="103"/>
      <c r="F302" s="10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2.75" customHeight="1">
      <c r="A303" s="4"/>
      <c r="B303" s="101"/>
      <c r="C303" s="4"/>
      <c r="D303" s="102"/>
      <c r="E303" s="103"/>
      <c r="F303" s="10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2.75" customHeight="1">
      <c r="A304" s="4"/>
      <c r="B304" s="101"/>
      <c r="C304" s="4"/>
      <c r="D304" s="102"/>
      <c r="E304" s="103"/>
      <c r="F304" s="10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2.75" customHeight="1">
      <c r="A305" s="4"/>
      <c r="B305" s="101"/>
      <c r="C305" s="4"/>
      <c r="D305" s="102"/>
      <c r="E305" s="103"/>
      <c r="F305" s="10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2.75" customHeight="1">
      <c r="A306" s="4"/>
      <c r="B306" s="101"/>
      <c r="C306" s="4"/>
      <c r="D306" s="102"/>
      <c r="E306" s="103"/>
      <c r="F306" s="10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2.75" customHeight="1">
      <c r="A307" s="4"/>
      <c r="B307" s="101"/>
      <c r="C307" s="4"/>
      <c r="D307" s="102"/>
      <c r="E307" s="103"/>
      <c r="F307" s="10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2.75" customHeight="1">
      <c r="A308" s="4"/>
      <c r="B308" s="101"/>
      <c r="C308" s="4"/>
      <c r="D308" s="102"/>
      <c r="E308" s="103"/>
      <c r="F308" s="10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2.75" customHeight="1">
      <c r="A309" s="4"/>
      <c r="B309" s="101"/>
      <c r="C309" s="4"/>
      <c r="D309" s="102"/>
      <c r="E309" s="103"/>
      <c r="F309" s="10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2.75" customHeight="1">
      <c r="A310" s="4"/>
      <c r="B310" s="101"/>
      <c r="C310" s="4"/>
      <c r="D310" s="102"/>
      <c r="E310" s="103"/>
      <c r="F310" s="10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2.75" customHeight="1">
      <c r="A311" s="4"/>
      <c r="B311" s="101"/>
      <c r="C311" s="4"/>
      <c r="D311" s="102"/>
      <c r="E311" s="103"/>
      <c r="F311" s="10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2.75" customHeight="1">
      <c r="A312" s="4"/>
      <c r="B312" s="101"/>
      <c r="C312" s="4"/>
      <c r="D312" s="102"/>
      <c r="E312" s="103"/>
      <c r="F312" s="10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2.75" customHeight="1">
      <c r="A313" s="4"/>
      <c r="B313" s="101"/>
      <c r="C313" s="4"/>
      <c r="D313" s="102"/>
      <c r="E313" s="103"/>
      <c r="F313" s="10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2.75" customHeight="1">
      <c r="A314" s="4"/>
      <c r="B314" s="101"/>
      <c r="C314" s="4"/>
      <c r="D314" s="102"/>
      <c r="E314" s="103"/>
      <c r="F314" s="10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2.75" customHeight="1">
      <c r="A315" s="4"/>
      <c r="B315" s="101"/>
      <c r="C315" s="4"/>
      <c r="D315" s="102"/>
      <c r="E315" s="103"/>
      <c r="F315" s="10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2.75" customHeight="1">
      <c r="A316" s="4"/>
      <c r="B316" s="101"/>
      <c r="C316" s="4"/>
      <c r="D316" s="102"/>
      <c r="E316" s="103"/>
      <c r="F316" s="10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2.75" customHeight="1">
      <c r="A317" s="4"/>
      <c r="B317" s="101"/>
      <c r="C317" s="4"/>
      <c r="D317" s="102"/>
      <c r="E317" s="103"/>
      <c r="F317" s="10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2.75" customHeight="1">
      <c r="A318" s="4"/>
      <c r="B318" s="101"/>
      <c r="C318" s="4"/>
      <c r="D318" s="102"/>
      <c r="E318" s="103"/>
      <c r="F318" s="10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2.75" customHeight="1">
      <c r="A319" s="4"/>
      <c r="B319" s="101"/>
      <c r="C319" s="4"/>
      <c r="D319" s="102"/>
      <c r="E319" s="103"/>
      <c r="F319" s="10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2.75" customHeight="1">
      <c r="A320" s="4"/>
      <c r="B320" s="101"/>
      <c r="C320" s="4"/>
      <c r="D320" s="102"/>
      <c r="E320" s="103"/>
      <c r="F320" s="10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2.75" customHeight="1">
      <c r="A321" s="4"/>
      <c r="B321" s="101"/>
      <c r="C321" s="4"/>
      <c r="D321" s="102"/>
      <c r="E321" s="103"/>
      <c r="F321" s="10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2.75" customHeight="1">
      <c r="A322" s="4"/>
      <c r="B322" s="101"/>
      <c r="C322" s="4"/>
      <c r="D322" s="102"/>
      <c r="E322" s="103"/>
      <c r="F322" s="10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2.75" customHeight="1">
      <c r="A323" s="4"/>
      <c r="B323" s="101"/>
      <c r="C323" s="4"/>
      <c r="D323" s="102"/>
      <c r="E323" s="103"/>
      <c r="F323" s="10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2.75" customHeight="1">
      <c r="A324" s="4"/>
      <c r="B324" s="101"/>
      <c r="C324" s="4"/>
      <c r="D324" s="102"/>
      <c r="E324" s="103"/>
      <c r="F324" s="10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2.75" customHeight="1">
      <c r="A325" s="4"/>
      <c r="B325" s="101"/>
      <c r="C325" s="4"/>
      <c r="D325" s="102"/>
      <c r="E325" s="103"/>
      <c r="F325" s="10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2.75" customHeight="1">
      <c r="A326" s="4"/>
      <c r="B326" s="101"/>
      <c r="C326" s="4"/>
      <c r="D326" s="102"/>
      <c r="E326" s="103"/>
      <c r="F326" s="10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2.75" customHeight="1">
      <c r="A327" s="4"/>
      <c r="B327" s="101"/>
      <c r="C327" s="4"/>
      <c r="D327" s="102"/>
      <c r="E327" s="103"/>
      <c r="F327" s="10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2.75" customHeight="1">
      <c r="A328" s="4"/>
      <c r="B328" s="101"/>
      <c r="C328" s="4"/>
      <c r="D328" s="102"/>
      <c r="E328" s="103"/>
      <c r="F328" s="10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2.75" customHeight="1">
      <c r="A329" s="4"/>
      <c r="B329" s="101"/>
      <c r="C329" s="4"/>
      <c r="D329" s="102"/>
      <c r="E329" s="103"/>
      <c r="F329" s="10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2.75" customHeight="1">
      <c r="A330" s="4"/>
      <c r="B330" s="101"/>
      <c r="C330" s="4"/>
      <c r="D330" s="102"/>
      <c r="E330" s="103"/>
      <c r="F330" s="10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2.75" customHeight="1">
      <c r="A331" s="4"/>
      <c r="B331" s="101"/>
      <c r="C331" s="4"/>
      <c r="D331" s="102"/>
      <c r="E331" s="103"/>
      <c r="F331" s="10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2.75" customHeight="1">
      <c r="A332" s="4"/>
      <c r="B332" s="101"/>
      <c r="C332" s="4"/>
      <c r="D332" s="102"/>
      <c r="E332" s="103"/>
      <c r="F332" s="10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2.75" customHeight="1">
      <c r="A333" s="4"/>
      <c r="B333" s="101"/>
      <c r="C333" s="4"/>
      <c r="D333" s="102"/>
      <c r="E333" s="103"/>
      <c r="F333" s="10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2.75" customHeight="1">
      <c r="A334" s="4"/>
      <c r="B334" s="101"/>
      <c r="C334" s="4"/>
      <c r="D334" s="102"/>
      <c r="E334" s="103"/>
      <c r="F334" s="10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2.75" customHeight="1">
      <c r="A335" s="4"/>
      <c r="B335" s="101"/>
      <c r="C335" s="4"/>
      <c r="D335" s="102"/>
      <c r="E335" s="103"/>
      <c r="F335" s="10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2.75" customHeight="1">
      <c r="A336" s="4"/>
      <c r="B336" s="101"/>
      <c r="C336" s="4"/>
      <c r="D336" s="102"/>
      <c r="E336" s="103"/>
      <c r="F336" s="10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2.75" customHeight="1">
      <c r="A337" s="4"/>
      <c r="B337" s="101"/>
      <c r="C337" s="4"/>
      <c r="D337" s="102"/>
      <c r="E337" s="103"/>
      <c r="F337" s="10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2.75" customHeight="1">
      <c r="A338" s="4"/>
      <c r="B338" s="101"/>
      <c r="C338" s="4"/>
      <c r="D338" s="102"/>
      <c r="E338" s="103"/>
      <c r="F338" s="10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2.75" customHeight="1">
      <c r="A339" s="4"/>
      <c r="B339" s="101"/>
      <c r="C339" s="4"/>
      <c r="D339" s="102"/>
      <c r="E339" s="103"/>
      <c r="F339" s="10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2.75" customHeight="1">
      <c r="A340" s="4"/>
      <c r="B340" s="101"/>
      <c r="C340" s="4"/>
      <c r="D340" s="102"/>
      <c r="E340" s="103"/>
      <c r="F340" s="10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2.75" customHeight="1">
      <c r="A341" s="4"/>
      <c r="B341" s="101"/>
      <c r="C341" s="4"/>
      <c r="D341" s="102"/>
      <c r="E341" s="103"/>
      <c r="F341" s="10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2.75" customHeight="1">
      <c r="A342" s="4"/>
      <c r="B342" s="101"/>
      <c r="C342" s="4"/>
      <c r="D342" s="102"/>
      <c r="E342" s="103"/>
      <c r="F342" s="10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2.75" customHeight="1">
      <c r="A343" s="4"/>
      <c r="B343" s="101"/>
      <c r="C343" s="4"/>
      <c r="D343" s="102"/>
      <c r="E343" s="103"/>
      <c r="F343" s="10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2.75" customHeight="1">
      <c r="A344" s="4"/>
      <c r="B344" s="101"/>
      <c r="C344" s="4"/>
      <c r="D344" s="102"/>
      <c r="E344" s="103"/>
      <c r="F344" s="10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2.75" customHeight="1">
      <c r="A345" s="4"/>
      <c r="B345" s="101"/>
      <c r="C345" s="4"/>
      <c r="D345" s="102"/>
      <c r="E345" s="103"/>
      <c r="F345" s="10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2.75" customHeight="1">
      <c r="A346" s="4"/>
      <c r="B346" s="101"/>
      <c r="C346" s="4"/>
      <c r="D346" s="102"/>
      <c r="E346" s="103"/>
      <c r="F346" s="10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2.75" customHeight="1">
      <c r="A347" s="4"/>
      <c r="B347" s="101"/>
      <c r="C347" s="4"/>
      <c r="D347" s="102"/>
      <c r="E347" s="103"/>
      <c r="F347" s="10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2.75" customHeight="1">
      <c r="A348" s="4"/>
      <c r="B348" s="101"/>
      <c r="C348" s="4"/>
      <c r="D348" s="102"/>
      <c r="E348" s="103"/>
      <c r="F348" s="10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2.75" customHeight="1">
      <c r="A349" s="4"/>
      <c r="B349" s="101"/>
      <c r="C349" s="4"/>
      <c r="D349" s="102"/>
      <c r="E349" s="103"/>
      <c r="F349" s="10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2.75" customHeight="1">
      <c r="A350" s="4"/>
      <c r="B350" s="101"/>
      <c r="C350" s="4"/>
      <c r="D350" s="102"/>
      <c r="E350" s="103"/>
      <c r="F350" s="10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2.75" customHeight="1">
      <c r="A351" s="4"/>
      <c r="B351" s="101"/>
      <c r="C351" s="4"/>
      <c r="D351" s="102"/>
      <c r="E351" s="103"/>
      <c r="F351" s="10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2.75" customHeight="1">
      <c r="A352" s="4"/>
      <c r="B352" s="101"/>
      <c r="C352" s="4"/>
      <c r="D352" s="102"/>
      <c r="E352" s="103"/>
      <c r="F352" s="10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2.75" customHeight="1">
      <c r="A353" s="4"/>
      <c r="B353" s="101"/>
      <c r="C353" s="4"/>
      <c r="D353" s="102"/>
      <c r="E353" s="103"/>
      <c r="F353" s="10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2.75" customHeight="1">
      <c r="A354" s="4"/>
      <c r="B354" s="101"/>
      <c r="C354" s="4"/>
      <c r="D354" s="102"/>
      <c r="E354" s="103"/>
      <c r="F354" s="10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2.75" customHeight="1">
      <c r="A355" s="4"/>
      <c r="B355" s="101"/>
      <c r="C355" s="4"/>
      <c r="D355" s="102"/>
      <c r="E355" s="103"/>
      <c r="F355" s="10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2.75" customHeight="1">
      <c r="A356" s="4"/>
      <c r="B356" s="101"/>
      <c r="C356" s="4"/>
      <c r="D356" s="102"/>
      <c r="E356" s="103"/>
      <c r="F356" s="10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2.75" customHeight="1">
      <c r="A357" s="4"/>
      <c r="B357" s="101"/>
      <c r="C357" s="4"/>
      <c r="D357" s="102"/>
      <c r="E357" s="103"/>
      <c r="F357" s="10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2.75" customHeight="1">
      <c r="A358" s="4"/>
      <c r="B358" s="101"/>
      <c r="C358" s="4"/>
      <c r="D358" s="102"/>
      <c r="E358" s="103"/>
      <c r="F358" s="10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2.75" customHeight="1">
      <c r="A359" s="4"/>
      <c r="B359" s="101"/>
      <c r="C359" s="4"/>
      <c r="D359" s="102"/>
      <c r="E359" s="103"/>
      <c r="F359" s="10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2.75" customHeight="1">
      <c r="A360" s="4"/>
      <c r="B360" s="101"/>
      <c r="C360" s="4"/>
      <c r="D360" s="102"/>
      <c r="E360" s="103"/>
      <c r="F360" s="10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2.75" customHeight="1">
      <c r="A361" s="4"/>
      <c r="B361" s="101"/>
      <c r="C361" s="4"/>
      <c r="D361" s="102"/>
      <c r="E361" s="103"/>
      <c r="F361" s="10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2.75" customHeight="1">
      <c r="A362" s="4"/>
      <c r="B362" s="101"/>
      <c r="C362" s="4"/>
      <c r="D362" s="102"/>
      <c r="E362" s="103"/>
      <c r="F362" s="10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2.75" customHeight="1">
      <c r="A363" s="4"/>
      <c r="B363" s="101"/>
      <c r="C363" s="4"/>
      <c r="D363" s="102"/>
      <c r="E363" s="103"/>
      <c r="F363" s="10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2.75" customHeight="1">
      <c r="A364" s="4"/>
      <c r="B364" s="101"/>
      <c r="C364" s="4"/>
      <c r="D364" s="102"/>
      <c r="E364" s="103"/>
      <c r="F364" s="10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2.75" customHeight="1">
      <c r="A365" s="4"/>
      <c r="B365" s="101"/>
      <c r="C365" s="4"/>
      <c r="D365" s="102"/>
      <c r="E365" s="103"/>
      <c r="F365" s="10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2.75" customHeight="1">
      <c r="A366" s="4"/>
      <c r="B366" s="101"/>
      <c r="C366" s="4"/>
      <c r="D366" s="102"/>
      <c r="E366" s="103"/>
      <c r="F366" s="10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2.75" customHeight="1">
      <c r="A367" s="4"/>
      <c r="B367" s="101"/>
      <c r="C367" s="4"/>
      <c r="D367" s="102"/>
      <c r="E367" s="103"/>
      <c r="F367" s="10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2.75" customHeight="1">
      <c r="A368" s="4"/>
      <c r="B368" s="101"/>
      <c r="C368" s="4"/>
      <c r="D368" s="102"/>
      <c r="E368" s="103"/>
      <c r="F368" s="10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2.75" customHeight="1">
      <c r="A369" s="4"/>
      <c r="B369" s="101"/>
      <c r="C369" s="4"/>
      <c r="D369" s="102"/>
      <c r="E369" s="103"/>
      <c r="F369" s="10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2.75" customHeight="1">
      <c r="A370" s="4"/>
      <c r="B370" s="101"/>
      <c r="C370" s="4"/>
      <c r="D370" s="102"/>
      <c r="E370" s="103"/>
      <c r="F370" s="10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2.75" customHeight="1">
      <c r="A371" s="4"/>
      <c r="B371" s="101"/>
      <c r="C371" s="4"/>
      <c r="D371" s="102"/>
      <c r="E371" s="103"/>
      <c r="F371" s="10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2.75" customHeight="1">
      <c r="A372" s="4"/>
      <c r="B372" s="101"/>
      <c r="C372" s="4"/>
      <c r="D372" s="102"/>
      <c r="E372" s="103"/>
      <c r="F372" s="10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2.75" customHeight="1">
      <c r="A373" s="4"/>
      <c r="B373" s="101"/>
      <c r="C373" s="4"/>
      <c r="D373" s="102"/>
      <c r="E373" s="103"/>
      <c r="F373" s="10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2.75" customHeight="1">
      <c r="A374" s="4"/>
      <c r="B374" s="101"/>
      <c r="C374" s="4"/>
      <c r="D374" s="102"/>
      <c r="E374" s="103"/>
      <c r="F374" s="10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2.75" customHeight="1">
      <c r="A375" s="4"/>
      <c r="B375" s="101"/>
      <c r="C375" s="4"/>
      <c r="D375" s="102"/>
      <c r="E375" s="103"/>
      <c r="F375" s="10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2.75" customHeight="1">
      <c r="A376" s="4"/>
      <c r="B376" s="101"/>
      <c r="C376" s="4"/>
      <c r="D376" s="102"/>
      <c r="E376" s="103"/>
      <c r="F376" s="10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2.75" customHeight="1">
      <c r="A377" s="4"/>
      <c r="B377" s="101"/>
      <c r="C377" s="4"/>
      <c r="D377" s="102"/>
      <c r="E377" s="103"/>
      <c r="F377" s="10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2.75" customHeight="1">
      <c r="A378" s="4"/>
      <c r="B378" s="101"/>
      <c r="C378" s="4"/>
      <c r="D378" s="102"/>
      <c r="E378" s="103"/>
      <c r="F378" s="10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2.75" customHeight="1">
      <c r="A379" s="4"/>
      <c r="B379" s="101"/>
      <c r="C379" s="4"/>
      <c r="D379" s="102"/>
      <c r="E379" s="103"/>
      <c r="F379" s="10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2.75" customHeight="1">
      <c r="A380" s="4"/>
      <c r="B380" s="101"/>
      <c r="C380" s="4"/>
      <c r="D380" s="102"/>
      <c r="E380" s="103"/>
      <c r="F380" s="10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2.75" customHeight="1">
      <c r="A381" s="4"/>
      <c r="B381" s="101"/>
      <c r="C381" s="4"/>
      <c r="D381" s="102"/>
      <c r="E381" s="103"/>
      <c r="F381" s="10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2.75" customHeight="1">
      <c r="A382" s="4"/>
      <c r="B382" s="101"/>
      <c r="C382" s="4"/>
      <c r="D382" s="102"/>
      <c r="E382" s="103"/>
      <c r="F382" s="10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2.75" customHeight="1">
      <c r="A383" s="4"/>
      <c r="B383" s="101"/>
      <c r="C383" s="4"/>
      <c r="D383" s="102"/>
      <c r="E383" s="103"/>
      <c r="F383" s="10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2.75" customHeight="1">
      <c r="A384" s="4"/>
      <c r="B384" s="101"/>
      <c r="C384" s="4"/>
      <c r="D384" s="102"/>
      <c r="E384" s="103"/>
      <c r="F384" s="10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2.75" customHeight="1">
      <c r="A385" s="4"/>
      <c r="B385" s="101"/>
      <c r="C385" s="4"/>
      <c r="D385" s="102"/>
      <c r="E385" s="103"/>
      <c r="F385" s="10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2.75" customHeight="1">
      <c r="A386" s="4"/>
      <c r="B386" s="101"/>
      <c r="C386" s="4"/>
      <c r="D386" s="102"/>
      <c r="E386" s="103"/>
      <c r="F386" s="10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2.75" customHeight="1">
      <c r="A387" s="4"/>
      <c r="B387" s="101"/>
      <c r="C387" s="4"/>
      <c r="D387" s="102"/>
      <c r="E387" s="103"/>
      <c r="F387" s="10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2.75" customHeight="1">
      <c r="A388" s="4"/>
      <c r="B388" s="101"/>
      <c r="C388" s="4"/>
      <c r="D388" s="102"/>
      <c r="E388" s="103"/>
      <c r="F388" s="10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2.75" customHeight="1">
      <c r="A389" s="4"/>
      <c r="B389" s="101"/>
      <c r="C389" s="4"/>
      <c r="D389" s="102"/>
      <c r="E389" s="103"/>
      <c r="F389" s="10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2.75" customHeight="1">
      <c r="A390" s="4"/>
      <c r="B390" s="101"/>
      <c r="C390" s="4"/>
      <c r="D390" s="102"/>
      <c r="E390" s="103"/>
      <c r="F390" s="10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2.75" customHeight="1">
      <c r="A391" s="4"/>
      <c r="B391" s="101"/>
      <c r="C391" s="4"/>
      <c r="D391" s="102"/>
      <c r="E391" s="103"/>
      <c r="F391" s="10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2.75" customHeight="1">
      <c r="A392" s="4"/>
      <c r="B392" s="101"/>
      <c r="C392" s="4"/>
      <c r="D392" s="102"/>
      <c r="E392" s="103"/>
      <c r="F392" s="10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2.75" customHeight="1">
      <c r="A393" s="4"/>
      <c r="B393" s="101"/>
      <c r="C393" s="4"/>
      <c r="D393" s="102"/>
      <c r="E393" s="103"/>
      <c r="F393" s="10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2.75" customHeight="1">
      <c r="A394" s="4"/>
      <c r="B394" s="101"/>
      <c r="C394" s="4"/>
      <c r="D394" s="102"/>
      <c r="E394" s="103"/>
      <c r="F394" s="10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2.75" customHeight="1">
      <c r="A395" s="4"/>
      <c r="B395" s="101"/>
      <c r="C395" s="4"/>
      <c r="D395" s="102"/>
      <c r="E395" s="103"/>
      <c r="F395" s="10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2.75" customHeight="1">
      <c r="A396" s="4"/>
      <c r="B396" s="101"/>
      <c r="C396" s="4"/>
      <c r="D396" s="102"/>
      <c r="E396" s="103"/>
      <c r="F396" s="10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2.75" customHeight="1">
      <c r="A397" s="4"/>
      <c r="B397" s="101"/>
      <c r="C397" s="4"/>
      <c r="D397" s="102"/>
      <c r="E397" s="103"/>
      <c r="F397" s="10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2.75" customHeight="1">
      <c r="A398" s="4"/>
      <c r="B398" s="101"/>
      <c r="C398" s="4"/>
      <c r="D398" s="102"/>
      <c r="E398" s="103"/>
      <c r="F398" s="10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2.75" customHeight="1">
      <c r="A399" s="4"/>
      <c r="B399" s="101"/>
      <c r="C399" s="4"/>
      <c r="D399" s="102"/>
      <c r="E399" s="103"/>
      <c r="F399" s="10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2.75" customHeight="1">
      <c r="A400" s="4"/>
      <c r="B400" s="101"/>
      <c r="C400" s="4"/>
      <c r="D400" s="102"/>
      <c r="E400" s="103"/>
      <c r="F400" s="10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2.75" customHeight="1">
      <c r="A401" s="4"/>
      <c r="B401" s="101"/>
      <c r="C401" s="4"/>
      <c r="D401" s="102"/>
      <c r="E401" s="103"/>
      <c r="F401" s="10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2.75" customHeight="1">
      <c r="A402" s="4"/>
      <c r="B402" s="101"/>
      <c r="C402" s="4"/>
      <c r="D402" s="102"/>
      <c r="E402" s="103"/>
      <c r="F402" s="10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2.75" customHeight="1">
      <c r="A403" s="4"/>
      <c r="B403" s="101"/>
      <c r="C403" s="4"/>
      <c r="D403" s="102"/>
      <c r="E403" s="103"/>
      <c r="F403" s="10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2.75" customHeight="1">
      <c r="A404" s="4"/>
      <c r="B404" s="101"/>
      <c r="C404" s="4"/>
      <c r="D404" s="102"/>
      <c r="E404" s="103"/>
      <c r="F404" s="10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2.75" customHeight="1">
      <c r="A405" s="4"/>
      <c r="B405" s="101"/>
      <c r="C405" s="4"/>
      <c r="D405" s="102"/>
      <c r="E405" s="103"/>
      <c r="F405" s="10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2.75" customHeight="1">
      <c r="A406" s="4"/>
      <c r="B406" s="101"/>
      <c r="C406" s="4"/>
      <c r="D406" s="102"/>
      <c r="E406" s="103"/>
      <c r="F406" s="10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2.75" customHeight="1">
      <c r="A407" s="4"/>
      <c r="B407" s="101"/>
      <c r="C407" s="4"/>
      <c r="D407" s="102"/>
      <c r="E407" s="103"/>
      <c r="F407" s="10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2.75" customHeight="1">
      <c r="A408" s="4"/>
      <c r="B408" s="101"/>
      <c r="C408" s="4"/>
      <c r="D408" s="102"/>
      <c r="E408" s="103"/>
      <c r="F408" s="10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2.75" customHeight="1">
      <c r="A409" s="4"/>
      <c r="B409" s="101"/>
      <c r="C409" s="4"/>
      <c r="D409" s="102"/>
      <c r="E409" s="103"/>
      <c r="F409" s="10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2.75" customHeight="1">
      <c r="A410" s="4"/>
      <c r="B410" s="101"/>
      <c r="C410" s="4"/>
      <c r="D410" s="102"/>
      <c r="E410" s="103"/>
      <c r="F410" s="10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2.75" customHeight="1">
      <c r="A411" s="4"/>
      <c r="B411" s="101"/>
      <c r="C411" s="4"/>
      <c r="D411" s="102"/>
      <c r="E411" s="103"/>
      <c r="F411" s="10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2.75" customHeight="1">
      <c r="A412" s="4"/>
      <c r="B412" s="101"/>
      <c r="C412" s="4"/>
      <c r="D412" s="102"/>
      <c r="E412" s="103"/>
      <c r="F412" s="10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6">
    <mergeCell ref="A101:B101"/>
    <mergeCell ref="A102:B102"/>
    <mergeCell ref="A106:B106"/>
    <mergeCell ref="A107:B107"/>
    <mergeCell ref="A111:B111"/>
    <mergeCell ref="A112:B112"/>
    <mergeCell ref="A116:B116"/>
    <mergeCell ref="A117:B117"/>
    <mergeCell ref="A121:B121"/>
    <mergeCell ref="A122:B122"/>
    <mergeCell ref="A126:B126"/>
    <mergeCell ref="A127:B127"/>
    <mergeCell ref="A131:B131"/>
    <mergeCell ref="A132:B132"/>
    <mergeCell ref="A141:B141"/>
    <mergeCell ref="A142:B142"/>
    <mergeCell ref="A146:B146"/>
    <mergeCell ref="A147:B147"/>
    <mergeCell ref="A151:B151"/>
    <mergeCell ref="A152:B152"/>
    <mergeCell ref="A156:B156"/>
    <mergeCell ref="A157:B157"/>
    <mergeCell ref="A161:B161"/>
    <mergeCell ref="A162:B162"/>
    <mergeCell ref="A166:B166"/>
    <mergeCell ref="A167:B167"/>
    <mergeCell ref="A171:B171"/>
    <mergeCell ref="A172:B172"/>
    <mergeCell ref="A192:B192"/>
    <mergeCell ref="A196:B196"/>
    <mergeCell ref="A197:B197"/>
    <mergeCell ref="A201:B201"/>
    <mergeCell ref="A202:B202"/>
    <mergeCell ref="A206:B206"/>
    <mergeCell ref="A207:B207"/>
    <mergeCell ref="A176:B176"/>
    <mergeCell ref="A177:B177"/>
    <mergeCell ref="A181:B181"/>
    <mergeCell ref="A182:B182"/>
    <mergeCell ref="A186:B186"/>
    <mergeCell ref="A187:B187"/>
    <mergeCell ref="A191:B191"/>
    <mergeCell ref="A1:F1"/>
    <mergeCell ref="A2:F2"/>
    <mergeCell ref="A3:F3"/>
    <mergeCell ref="A4:F4"/>
    <mergeCell ref="D7:E7"/>
    <mergeCell ref="A9:F9"/>
    <mergeCell ref="A11:B11"/>
    <mergeCell ref="A12:B12"/>
    <mergeCell ref="A16:B16"/>
    <mergeCell ref="A17:B17"/>
    <mergeCell ref="A21:B21"/>
    <mergeCell ref="A22:B22"/>
    <mergeCell ref="A26:B26"/>
    <mergeCell ref="A27:B27"/>
    <mergeCell ref="A31:B31"/>
    <mergeCell ref="A32:B32"/>
    <mergeCell ref="A36:B36"/>
    <mergeCell ref="A37:B37"/>
    <mergeCell ref="A41:B41"/>
    <mergeCell ref="A42:B42"/>
    <mergeCell ref="A46:B46"/>
    <mergeCell ref="A47:B47"/>
    <mergeCell ref="A51:B51"/>
    <mergeCell ref="A52:B52"/>
    <mergeCell ref="A56:B56"/>
    <mergeCell ref="A57:B57"/>
    <mergeCell ref="A61:B61"/>
    <mergeCell ref="A62:B62"/>
    <mergeCell ref="A66:B66"/>
    <mergeCell ref="A67:B67"/>
    <mergeCell ref="A71:B71"/>
    <mergeCell ref="A72:B72"/>
    <mergeCell ref="A76:B76"/>
    <mergeCell ref="A77:B77"/>
    <mergeCell ref="A81:B81"/>
    <mergeCell ref="A82:B82"/>
    <mergeCell ref="A86:B86"/>
    <mergeCell ref="A87:B87"/>
    <mergeCell ref="A91:B91"/>
    <mergeCell ref="A92:B92"/>
    <mergeCell ref="A96:B96"/>
    <mergeCell ref="A97:B97"/>
    <mergeCell ref="A136:B136"/>
    <mergeCell ref="A137:B137"/>
  </mergeCells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2.63" defaultRowHeight="15.0"/>
  <cols>
    <col customWidth="1" min="1" max="1" width="49.13"/>
    <col customWidth="1" min="2" max="2" width="96.63"/>
    <col customWidth="1" min="3" max="3" width="21.88"/>
    <col customWidth="1" min="4" max="4" width="20.5"/>
    <col customWidth="1" min="5" max="5" width="22.88"/>
    <col customWidth="1" min="6" max="6" width="71.5"/>
    <col customWidth="1" min="7" max="7" width="50.13"/>
    <col customWidth="1" min="8" max="26" width="8.0"/>
  </cols>
  <sheetData>
    <row r="1" ht="12.75" customHeight="1">
      <c r="A1" s="1" t="s">
        <v>0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2.75" customHeight="1">
      <c r="A2" s="5" t="s">
        <v>1</v>
      </c>
      <c r="B2" s="6"/>
      <c r="C2" s="6"/>
      <c r="D2" s="6"/>
      <c r="E2" s="6"/>
      <c r="F2" s="7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2.75" customHeight="1">
      <c r="A3" s="5" t="s">
        <v>2</v>
      </c>
      <c r="B3" s="6"/>
      <c r="C3" s="6"/>
      <c r="D3" s="6"/>
      <c r="E3" s="6"/>
      <c r="F3" s="7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2.75" customHeight="1">
      <c r="A4" s="5" t="s">
        <v>3</v>
      </c>
      <c r="B4" s="6"/>
      <c r="C4" s="6"/>
      <c r="D4" s="6"/>
      <c r="E4" s="6"/>
      <c r="F4" s="7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2.75" customHeight="1">
      <c r="A5" s="8"/>
      <c r="B5" s="9"/>
      <c r="C5" s="10"/>
      <c r="D5" s="11"/>
      <c r="E5" s="11"/>
      <c r="F5" s="12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2.75" customHeight="1">
      <c r="A6" s="13"/>
      <c r="B6" s="9"/>
      <c r="C6" s="10"/>
      <c r="D6" s="14"/>
      <c r="E6" s="14"/>
      <c r="F6" s="15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30.0" customHeight="1">
      <c r="A7" s="16"/>
      <c r="B7" s="9"/>
      <c r="C7" s="17"/>
      <c r="D7" s="18"/>
      <c r="E7" s="19"/>
      <c r="F7" s="15" t="s">
        <v>3400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0.0" customHeight="1">
      <c r="A8" s="20" t="s">
        <v>5</v>
      </c>
      <c r="B8" s="21"/>
      <c r="C8" s="22"/>
      <c r="D8" s="23"/>
      <c r="E8" s="23"/>
      <c r="F8" s="2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7.75" customHeight="1">
      <c r="A9" s="25" t="s">
        <v>2612</v>
      </c>
      <c r="B9" s="26"/>
      <c r="C9" s="26"/>
      <c r="D9" s="26"/>
      <c r="E9" s="26"/>
      <c r="F9" s="27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8.5" customHeight="1">
      <c r="A10" s="28"/>
      <c r="B10" s="29"/>
      <c r="C10" s="29"/>
      <c r="D10" s="30"/>
      <c r="E10" s="30"/>
      <c r="F10" s="31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</row>
    <row r="11" ht="22.5" customHeight="1">
      <c r="A11" s="33" t="s">
        <v>3582</v>
      </c>
      <c r="B11" s="27"/>
      <c r="C11" s="34" t="s">
        <v>8</v>
      </c>
      <c r="D11" s="34" t="s">
        <v>9</v>
      </c>
      <c r="E11" s="34" t="s">
        <v>10</v>
      </c>
      <c r="F11" s="35" t="s">
        <v>11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75" customHeight="1">
      <c r="A12" s="36" t="s">
        <v>12</v>
      </c>
      <c r="B12" s="37"/>
      <c r="C12" s="38"/>
      <c r="D12" s="39"/>
      <c r="E12" s="40"/>
      <c r="F12" s="41" t="s">
        <v>13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75" customHeight="1">
      <c r="A13" s="42" t="s">
        <v>1508</v>
      </c>
      <c r="B13" s="43" t="s">
        <v>15</v>
      </c>
      <c r="C13" s="44">
        <v>900.0</v>
      </c>
      <c r="D13" s="45">
        <v>25668.47</v>
      </c>
      <c r="E13" s="46">
        <v>26931.47</v>
      </c>
      <c r="F13" s="47" t="s">
        <v>3583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2.75" customHeight="1">
      <c r="A14" s="48" t="s">
        <v>249</v>
      </c>
      <c r="B14" s="49"/>
      <c r="C14" s="50"/>
      <c r="D14" s="45"/>
      <c r="E14" s="46"/>
      <c r="F14" s="51" t="s">
        <v>3584</v>
      </c>
      <c r="G14" s="52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2.75" customHeight="1">
      <c r="A15" s="53"/>
      <c r="B15" s="54"/>
      <c r="C15" s="55"/>
      <c r="D15" s="56"/>
      <c r="E15" s="57"/>
      <c r="F15" s="58" t="s">
        <v>3585</v>
      </c>
      <c r="G15" s="52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2.75" customHeight="1">
      <c r="A16" s="33" t="s">
        <v>3586</v>
      </c>
      <c r="B16" s="27"/>
      <c r="C16" s="59" t="s">
        <v>8</v>
      </c>
      <c r="D16" s="60" t="s">
        <v>9</v>
      </c>
      <c r="E16" s="60" t="s">
        <v>10</v>
      </c>
      <c r="F16" s="61" t="s">
        <v>11</v>
      </c>
      <c r="G16" s="52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2.75" customHeight="1">
      <c r="A17" s="36" t="s">
        <v>12</v>
      </c>
      <c r="B17" s="37"/>
      <c r="C17" s="62"/>
      <c r="D17" s="39"/>
      <c r="E17" s="40"/>
      <c r="F17" s="41" t="s">
        <v>13</v>
      </c>
      <c r="G17" s="52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2.75" customHeight="1">
      <c r="A18" s="42" t="s">
        <v>1508</v>
      </c>
      <c r="B18" s="43" t="s">
        <v>15</v>
      </c>
      <c r="C18" s="50">
        <v>900.0</v>
      </c>
      <c r="D18" s="45">
        <v>25689.23</v>
      </c>
      <c r="E18" s="46">
        <v>26882.23</v>
      </c>
      <c r="F18" s="47" t="s">
        <v>3587</v>
      </c>
      <c r="G18" s="52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48" t="s">
        <v>1555</v>
      </c>
      <c r="B19" s="49"/>
      <c r="C19" s="50"/>
      <c r="D19" s="45"/>
      <c r="E19" s="46"/>
      <c r="F19" s="51" t="s">
        <v>3588</v>
      </c>
      <c r="G19" s="52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4.25" customHeight="1">
      <c r="A20" s="53"/>
      <c r="B20" s="54"/>
      <c r="C20" s="55"/>
      <c r="D20" s="56"/>
      <c r="E20" s="57"/>
      <c r="F20" s="58" t="s">
        <v>3585</v>
      </c>
      <c r="G20" s="52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4.0" customHeight="1">
      <c r="A21" s="33" t="s">
        <v>3589</v>
      </c>
      <c r="B21" s="27"/>
      <c r="C21" s="60" t="s">
        <v>8</v>
      </c>
      <c r="D21" s="60" t="s">
        <v>9</v>
      </c>
      <c r="E21" s="60" t="s">
        <v>10</v>
      </c>
      <c r="F21" s="61" t="s">
        <v>11</v>
      </c>
      <c r="G21" s="52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36" t="s">
        <v>12</v>
      </c>
      <c r="B22" s="37"/>
      <c r="C22" s="38"/>
      <c r="D22" s="39"/>
      <c r="E22" s="40"/>
      <c r="F22" s="41" t="s">
        <v>13</v>
      </c>
      <c r="G22" s="52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2" t="s">
        <v>1508</v>
      </c>
      <c r="B23" s="43" t="s">
        <v>15</v>
      </c>
      <c r="C23" s="50">
        <v>938.0</v>
      </c>
      <c r="D23" s="45">
        <v>26012.56</v>
      </c>
      <c r="E23" s="46">
        <v>27168.62</v>
      </c>
      <c r="F23" s="47" t="s">
        <v>3590</v>
      </c>
      <c r="G23" s="52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2.75" customHeight="1">
      <c r="A24" s="48" t="s">
        <v>1575</v>
      </c>
      <c r="B24" s="49"/>
      <c r="C24" s="50"/>
      <c r="D24" s="45"/>
      <c r="E24" s="46"/>
      <c r="F24" s="51" t="s">
        <v>3591</v>
      </c>
      <c r="G24" s="52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2.75" customHeight="1">
      <c r="A25" s="53"/>
      <c r="B25" s="54"/>
      <c r="C25" s="55"/>
      <c r="D25" s="56"/>
      <c r="E25" s="57"/>
      <c r="F25" s="58" t="s">
        <v>3585</v>
      </c>
      <c r="G25" s="52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2.75" customHeight="1">
      <c r="A26" s="33" t="s">
        <v>3592</v>
      </c>
      <c r="B26" s="27"/>
      <c r="C26" s="60" t="s">
        <v>8</v>
      </c>
      <c r="D26" s="60" t="s">
        <v>9</v>
      </c>
      <c r="E26" s="60" t="s">
        <v>10</v>
      </c>
      <c r="F26" s="61" t="s">
        <v>11</v>
      </c>
      <c r="G26" s="52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2.75" customHeight="1">
      <c r="A27" s="36" t="s">
        <v>12</v>
      </c>
      <c r="B27" s="37"/>
      <c r="C27" s="38"/>
      <c r="D27" s="39"/>
      <c r="E27" s="40"/>
      <c r="F27" s="554" t="s">
        <v>13</v>
      </c>
      <c r="G27" s="52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2.75" customHeight="1">
      <c r="A28" s="42" t="s">
        <v>1508</v>
      </c>
      <c r="B28" s="43" t="s">
        <v>15</v>
      </c>
      <c r="C28" s="555">
        <v>900.0</v>
      </c>
      <c r="D28" s="556">
        <v>26593.35</v>
      </c>
      <c r="E28" s="556">
        <v>27857.0</v>
      </c>
      <c r="F28" s="557" t="s">
        <v>3590</v>
      </c>
      <c r="G28" s="52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2.75" customHeight="1">
      <c r="A29" s="558" t="s">
        <v>3418</v>
      </c>
      <c r="B29" s="49"/>
      <c r="C29" s="50"/>
      <c r="D29" s="45"/>
      <c r="E29" s="46"/>
      <c r="F29" s="559" t="s">
        <v>3591</v>
      </c>
      <c r="G29" s="52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2.75" customHeight="1">
      <c r="A30" s="53"/>
      <c r="B30" s="54"/>
      <c r="C30" s="55"/>
      <c r="D30" s="56"/>
      <c r="E30" s="57"/>
      <c r="F30" s="560" t="s">
        <v>3585</v>
      </c>
      <c r="G30" s="52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8.75" customHeight="1">
      <c r="A31" s="33" t="s">
        <v>3593</v>
      </c>
      <c r="B31" s="27"/>
      <c r="C31" s="60" t="s">
        <v>8</v>
      </c>
      <c r="D31" s="60" t="s">
        <v>9</v>
      </c>
      <c r="E31" s="60" t="s">
        <v>10</v>
      </c>
      <c r="F31" s="61" t="s">
        <v>11</v>
      </c>
      <c r="G31" s="52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8.75" customHeight="1">
      <c r="A32" s="36" t="s">
        <v>12</v>
      </c>
      <c r="B32" s="37"/>
      <c r="C32" s="38"/>
      <c r="D32" s="39"/>
      <c r="E32" s="40"/>
      <c r="F32" s="41" t="s">
        <v>13</v>
      </c>
      <c r="G32" s="52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8.75" customHeight="1">
      <c r="A33" s="42" t="s">
        <v>1508</v>
      </c>
      <c r="B33" s="43" t="s">
        <v>15</v>
      </c>
      <c r="C33" s="50">
        <v>927.0</v>
      </c>
      <c r="D33" s="45">
        <v>26009.45</v>
      </c>
      <c r="E33" s="46">
        <v>27155.94</v>
      </c>
      <c r="F33" s="47" t="s">
        <v>3594</v>
      </c>
      <c r="G33" s="52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8" t="s">
        <v>1564</v>
      </c>
      <c r="B34" s="49"/>
      <c r="C34" s="50"/>
      <c r="D34" s="45"/>
      <c r="E34" s="46"/>
      <c r="F34" s="51" t="s">
        <v>3595</v>
      </c>
      <c r="G34" s="52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53"/>
      <c r="B35" s="54"/>
      <c r="C35" s="55"/>
      <c r="D35" s="56"/>
      <c r="E35" s="57"/>
      <c r="F35" s="58" t="s">
        <v>3585</v>
      </c>
      <c r="G35" s="52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2.75" customHeight="1">
      <c r="A36" s="33" t="s">
        <v>3596</v>
      </c>
      <c r="B36" s="27"/>
      <c r="C36" s="60" t="s">
        <v>8</v>
      </c>
      <c r="D36" s="60" t="s">
        <v>9</v>
      </c>
      <c r="E36" s="60" t="s">
        <v>10</v>
      </c>
      <c r="F36" s="61" t="s">
        <v>11</v>
      </c>
      <c r="G36" s="52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2.75" customHeight="1">
      <c r="A37" s="36" t="s">
        <v>12</v>
      </c>
      <c r="B37" s="37"/>
      <c r="C37" s="38"/>
      <c r="D37" s="39"/>
      <c r="E37" s="40"/>
      <c r="F37" s="41" t="s">
        <v>13</v>
      </c>
      <c r="G37" s="52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2.75" customHeight="1">
      <c r="A38" s="42" t="s">
        <v>1508</v>
      </c>
      <c r="B38" s="43" t="s">
        <v>15</v>
      </c>
      <c r="C38" s="50">
        <v>927.0</v>
      </c>
      <c r="D38" s="45">
        <v>25997.19</v>
      </c>
      <c r="E38" s="46">
        <v>27133.68</v>
      </c>
      <c r="F38" s="47" t="s">
        <v>3597</v>
      </c>
      <c r="G38" s="52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2.75" customHeight="1">
      <c r="A39" s="48" t="s">
        <v>1530</v>
      </c>
      <c r="B39" s="49"/>
      <c r="C39" s="50"/>
      <c r="D39" s="45"/>
      <c r="E39" s="46"/>
      <c r="F39" s="51" t="s">
        <v>3598</v>
      </c>
      <c r="G39" s="52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2.75" customHeight="1">
      <c r="A40" s="53"/>
      <c r="B40" s="54"/>
      <c r="C40" s="55"/>
      <c r="D40" s="56"/>
      <c r="E40" s="57"/>
      <c r="F40" s="58" t="s">
        <v>3585</v>
      </c>
      <c r="G40" s="52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8.75" customHeight="1">
      <c r="A41" s="33" t="s">
        <v>3599</v>
      </c>
      <c r="B41" s="27"/>
      <c r="C41" s="60" t="s">
        <v>8</v>
      </c>
      <c r="D41" s="60" t="s">
        <v>9</v>
      </c>
      <c r="E41" s="60" t="s">
        <v>10</v>
      </c>
      <c r="F41" s="61" t="s">
        <v>11</v>
      </c>
      <c r="G41" s="52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6.5" customHeight="1">
      <c r="A42" s="36" t="s">
        <v>12</v>
      </c>
      <c r="B42" s="37"/>
      <c r="C42" s="38"/>
      <c r="D42" s="39"/>
      <c r="E42" s="40"/>
      <c r="F42" s="41" t="s">
        <v>13</v>
      </c>
      <c r="G42" s="52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2" t="s">
        <v>1508</v>
      </c>
      <c r="B43" s="43" t="s">
        <v>15</v>
      </c>
      <c r="C43" s="50">
        <v>939.0</v>
      </c>
      <c r="D43" s="45">
        <v>25991.22</v>
      </c>
      <c r="E43" s="46">
        <v>27138.15</v>
      </c>
      <c r="F43" s="47" t="s">
        <v>3600</v>
      </c>
      <c r="G43" s="52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8" t="s">
        <v>3601</v>
      </c>
      <c r="B44" s="49"/>
      <c r="C44" s="50"/>
      <c r="D44" s="45"/>
      <c r="E44" s="46"/>
      <c r="F44" s="51" t="s">
        <v>3602</v>
      </c>
      <c r="G44" s="52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2.75" customHeight="1">
      <c r="A45" s="53"/>
      <c r="B45" s="54"/>
      <c r="C45" s="55"/>
      <c r="D45" s="56"/>
      <c r="E45" s="57"/>
      <c r="F45" s="58" t="s">
        <v>3585</v>
      </c>
      <c r="G45" s="52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2.75" customHeight="1">
      <c r="A46" s="33" t="s">
        <v>3603</v>
      </c>
      <c r="B46" s="27"/>
      <c r="C46" s="60" t="s">
        <v>8</v>
      </c>
      <c r="D46" s="60" t="s">
        <v>9</v>
      </c>
      <c r="E46" s="60" t="s">
        <v>10</v>
      </c>
      <c r="F46" s="61" t="s">
        <v>11</v>
      </c>
      <c r="G46" s="52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2.75" customHeight="1">
      <c r="A47" s="36" t="s">
        <v>12</v>
      </c>
      <c r="B47" s="37"/>
      <c r="C47" s="38"/>
      <c r="D47" s="39"/>
      <c r="E47" s="40"/>
      <c r="F47" s="41" t="s">
        <v>13</v>
      </c>
      <c r="G47" s="52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2.75" customHeight="1">
      <c r="A48" s="42" t="s">
        <v>1508</v>
      </c>
      <c r="B48" s="43" t="s">
        <v>15</v>
      </c>
      <c r="C48" s="50">
        <v>944.0</v>
      </c>
      <c r="D48" s="45">
        <v>26001.82</v>
      </c>
      <c r="E48" s="46">
        <v>27143.1</v>
      </c>
      <c r="F48" s="47" t="s">
        <v>3604</v>
      </c>
      <c r="G48" s="52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0" customHeight="1">
      <c r="A49" s="48" t="s">
        <v>1598</v>
      </c>
      <c r="B49" s="49"/>
      <c r="C49" s="50"/>
      <c r="D49" s="45"/>
      <c r="E49" s="46"/>
      <c r="F49" s="51" t="s">
        <v>3605</v>
      </c>
      <c r="G49" s="52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8.75" customHeight="1">
      <c r="A50" s="53"/>
      <c r="B50" s="54"/>
      <c r="C50" s="55"/>
      <c r="D50" s="56"/>
      <c r="E50" s="57"/>
      <c r="F50" s="58" t="s">
        <v>3585</v>
      </c>
      <c r="G50" s="52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8.75" customHeight="1">
      <c r="A51" s="33" t="s">
        <v>3606</v>
      </c>
      <c r="B51" s="27"/>
      <c r="C51" s="60" t="s">
        <v>8</v>
      </c>
      <c r="D51" s="60" t="s">
        <v>9</v>
      </c>
      <c r="E51" s="60" t="s">
        <v>10</v>
      </c>
      <c r="F51" s="61" t="s">
        <v>11</v>
      </c>
      <c r="G51" s="52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8.75" customHeight="1">
      <c r="A52" s="36" t="s">
        <v>12</v>
      </c>
      <c r="B52" s="37"/>
      <c r="C52" s="38"/>
      <c r="D52" s="39"/>
      <c r="E52" s="40"/>
      <c r="F52" s="41" t="s">
        <v>13</v>
      </c>
      <c r="G52" s="52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8.75" customHeight="1">
      <c r="A53" s="42" t="s">
        <v>1508</v>
      </c>
      <c r="B53" s="43" t="s">
        <v>15</v>
      </c>
      <c r="C53" s="50">
        <v>933.0</v>
      </c>
      <c r="D53" s="45">
        <v>26004.28</v>
      </c>
      <c r="E53" s="46">
        <v>27340.39</v>
      </c>
      <c r="F53" s="47" t="s">
        <v>3607</v>
      </c>
      <c r="G53" s="52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8.75" customHeight="1">
      <c r="A54" s="48" t="s">
        <v>1603</v>
      </c>
      <c r="B54" s="49"/>
      <c r="C54" s="50"/>
      <c r="D54" s="45"/>
      <c r="E54" s="46"/>
      <c r="F54" s="51" t="s">
        <v>3608</v>
      </c>
      <c r="G54" s="52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8.75" customHeight="1">
      <c r="A55" s="53"/>
      <c r="B55" s="54"/>
      <c r="C55" s="55"/>
      <c r="D55" s="56"/>
      <c r="E55" s="57"/>
      <c r="F55" s="58" t="s">
        <v>3585</v>
      </c>
      <c r="G55" s="52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24.0" customHeight="1">
      <c r="A56" s="33" t="s">
        <v>3609</v>
      </c>
      <c r="B56" s="27"/>
      <c r="C56" s="60" t="s">
        <v>8</v>
      </c>
      <c r="D56" s="60" t="s">
        <v>9</v>
      </c>
      <c r="E56" s="60" t="s">
        <v>10</v>
      </c>
      <c r="F56" s="61" t="s">
        <v>11</v>
      </c>
      <c r="G56" s="52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2.75" customHeight="1">
      <c r="A57" s="36" t="s">
        <v>12</v>
      </c>
      <c r="B57" s="37"/>
      <c r="C57" s="38"/>
      <c r="D57" s="39"/>
      <c r="E57" s="40"/>
      <c r="F57" s="41" t="s">
        <v>13</v>
      </c>
      <c r="G57" s="52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2.75" customHeight="1">
      <c r="A58" s="42" t="s">
        <v>1508</v>
      </c>
      <c r="B58" s="43" t="s">
        <v>15</v>
      </c>
      <c r="C58" s="50">
        <v>931.0</v>
      </c>
      <c r="D58" s="45">
        <v>25988.51</v>
      </c>
      <c r="E58" s="46">
        <v>27179.86</v>
      </c>
      <c r="F58" s="47" t="s">
        <v>3610</v>
      </c>
      <c r="G58" s="52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2.75" customHeight="1">
      <c r="A59" s="48" t="s">
        <v>1520</v>
      </c>
      <c r="B59" s="49"/>
      <c r="C59" s="50"/>
      <c r="D59" s="45"/>
      <c r="E59" s="46"/>
      <c r="F59" s="51" t="s">
        <v>3611</v>
      </c>
      <c r="G59" s="52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2.75" customHeight="1">
      <c r="A60" s="53"/>
      <c r="B60" s="54"/>
      <c r="C60" s="55"/>
      <c r="D60" s="56"/>
      <c r="E60" s="57"/>
      <c r="F60" s="58" t="s">
        <v>3585</v>
      </c>
      <c r="G60" s="52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2.75" customHeight="1">
      <c r="A61" s="561" t="s">
        <v>3448</v>
      </c>
      <c r="B61" s="27"/>
      <c r="C61" s="59" t="s">
        <v>8</v>
      </c>
      <c r="D61" s="60" t="s">
        <v>9</v>
      </c>
      <c r="E61" s="60" t="s">
        <v>10</v>
      </c>
      <c r="F61" s="61" t="s">
        <v>11</v>
      </c>
      <c r="G61" s="52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2.75" customHeight="1">
      <c r="A62" s="562" t="s">
        <v>12</v>
      </c>
      <c r="B62" s="3"/>
      <c r="C62" s="62"/>
      <c r="D62" s="39"/>
      <c r="E62" s="40"/>
      <c r="F62" s="63" t="s">
        <v>13</v>
      </c>
      <c r="G62" s="52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2.75" customHeight="1">
      <c r="A63" s="563" t="s">
        <v>1508</v>
      </c>
      <c r="B63" s="564" t="s">
        <v>15</v>
      </c>
      <c r="C63" s="50">
        <v>900.0</v>
      </c>
      <c r="D63" s="45">
        <v>26438.46</v>
      </c>
      <c r="E63" s="46">
        <v>27548.27</v>
      </c>
      <c r="F63" s="63" t="s">
        <v>3449</v>
      </c>
      <c r="G63" s="52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2.75" customHeight="1">
      <c r="A64" s="563" t="s">
        <v>3450</v>
      </c>
      <c r="B64" s="564"/>
      <c r="C64" s="50"/>
      <c r="D64" s="45"/>
      <c r="E64" s="46"/>
      <c r="F64" s="64" t="s">
        <v>3451</v>
      </c>
      <c r="G64" s="52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8.75" customHeight="1">
      <c r="A65" s="563"/>
      <c r="B65" s="564"/>
      <c r="C65" s="456"/>
      <c r="D65" s="457"/>
      <c r="E65" s="565"/>
      <c r="F65" s="64" t="s">
        <v>3452</v>
      </c>
      <c r="G65" s="52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2.75" customHeight="1">
      <c r="A66" s="561" t="s">
        <v>3453</v>
      </c>
      <c r="B66" s="27"/>
      <c r="C66" s="60" t="s">
        <v>8</v>
      </c>
      <c r="D66" s="60" t="s">
        <v>9</v>
      </c>
      <c r="E66" s="60" t="s">
        <v>10</v>
      </c>
      <c r="F66" s="61" t="s">
        <v>11</v>
      </c>
      <c r="G66" s="52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2.75" customHeight="1">
      <c r="A67" s="562" t="s">
        <v>12</v>
      </c>
      <c r="B67" s="3"/>
      <c r="C67" s="38"/>
      <c r="D67" s="39"/>
      <c r="E67" s="40"/>
      <c r="F67" s="63" t="s">
        <v>13</v>
      </c>
      <c r="G67" s="52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2.75" customHeight="1">
      <c r="A68" s="563" t="s">
        <v>1508</v>
      </c>
      <c r="B68" s="564" t="s">
        <v>15</v>
      </c>
      <c r="C68" s="50">
        <v>900.0</v>
      </c>
      <c r="D68" s="45">
        <v>26531.64</v>
      </c>
      <c r="E68" s="46">
        <v>27618.53</v>
      </c>
      <c r="F68" s="63" t="s">
        <v>3454</v>
      </c>
      <c r="G68" s="52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2.75" customHeight="1">
      <c r="A69" s="563" t="s">
        <v>149</v>
      </c>
      <c r="B69" s="564"/>
      <c r="C69" s="50"/>
      <c r="D69" s="45"/>
      <c r="E69" s="46"/>
      <c r="F69" s="64" t="s">
        <v>3455</v>
      </c>
      <c r="G69" s="52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566"/>
      <c r="B70" s="567"/>
      <c r="C70" s="55"/>
      <c r="D70" s="56"/>
      <c r="E70" s="57"/>
      <c r="F70" s="58" t="s">
        <v>3456</v>
      </c>
      <c r="G70" s="52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2.75" customHeight="1">
      <c r="A71" s="561" t="s">
        <v>3457</v>
      </c>
      <c r="B71" s="27"/>
      <c r="C71" s="60" t="s">
        <v>8</v>
      </c>
      <c r="D71" s="60" t="s">
        <v>9</v>
      </c>
      <c r="E71" s="60" t="s">
        <v>10</v>
      </c>
      <c r="F71" s="61" t="s">
        <v>11</v>
      </c>
      <c r="G71" s="52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75" customHeight="1">
      <c r="A72" s="562" t="s">
        <v>12</v>
      </c>
      <c r="B72" s="3"/>
      <c r="C72" s="38"/>
      <c r="D72" s="39"/>
      <c r="E72" s="40"/>
      <c r="F72" s="63" t="s">
        <v>13</v>
      </c>
      <c r="G72" s="52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.75" customHeight="1">
      <c r="A73" s="563" t="s">
        <v>1508</v>
      </c>
      <c r="B73" s="564" t="s">
        <v>15</v>
      </c>
      <c r="C73" s="50">
        <v>900.0</v>
      </c>
      <c r="D73" s="45">
        <v>26453.56</v>
      </c>
      <c r="E73" s="46">
        <v>27546.2</v>
      </c>
      <c r="F73" s="63" t="s">
        <v>3458</v>
      </c>
      <c r="G73" s="52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customHeight="1">
      <c r="A74" s="563" t="s">
        <v>159</v>
      </c>
      <c r="B74" s="564"/>
      <c r="C74" s="50"/>
      <c r="D74" s="45"/>
      <c r="E74" s="46"/>
      <c r="F74" s="64" t="s">
        <v>3459</v>
      </c>
      <c r="G74" s="52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563"/>
      <c r="B75" s="564"/>
      <c r="C75" s="456"/>
      <c r="D75" s="457"/>
      <c r="E75" s="565"/>
      <c r="F75" s="64" t="s">
        <v>3612</v>
      </c>
      <c r="G75" s="52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20.25" customHeight="1">
      <c r="A76" s="561" t="s">
        <v>3461</v>
      </c>
      <c r="B76" s="27"/>
      <c r="C76" s="59" t="s">
        <v>8</v>
      </c>
      <c r="D76" s="60" t="s">
        <v>9</v>
      </c>
      <c r="E76" s="60" t="s">
        <v>10</v>
      </c>
      <c r="F76" s="61" t="s">
        <v>11</v>
      </c>
      <c r="G76" s="52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562" t="s">
        <v>12</v>
      </c>
      <c r="B77" s="3"/>
      <c r="C77" s="62"/>
      <c r="D77" s="39"/>
      <c r="E77" s="40"/>
      <c r="F77" s="63" t="s">
        <v>13</v>
      </c>
      <c r="G77" s="52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563" t="s">
        <v>1508</v>
      </c>
      <c r="B78" s="564" t="s">
        <v>15</v>
      </c>
      <c r="C78" s="50">
        <v>900.0</v>
      </c>
      <c r="D78" s="45">
        <v>26311.54</v>
      </c>
      <c r="E78" s="46">
        <v>27401.18</v>
      </c>
      <c r="F78" s="63" t="s">
        <v>3462</v>
      </c>
      <c r="G78" s="52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563" t="s">
        <v>3463</v>
      </c>
      <c r="B79" s="564"/>
      <c r="C79" s="50"/>
      <c r="D79" s="45"/>
      <c r="E79" s="46"/>
      <c r="F79" s="64" t="s">
        <v>3464</v>
      </c>
      <c r="G79" s="52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566"/>
      <c r="B80" s="567"/>
      <c r="C80" s="55"/>
      <c r="D80" s="56"/>
      <c r="E80" s="57"/>
      <c r="F80" s="58" t="s">
        <v>3465</v>
      </c>
      <c r="G80" s="52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21.0" customHeight="1">
      <c r="A81" s="561" t="s">
        <v>3466</v>
      </c>
      <c r="B81" s="27"/>
      <c r="C81" s="60" t="s">
        <v>8</v>
      </c>
      <c r="D81" s="60" t="s">
        <v>9</v>
      </c>
      <c r="E81" s="60" t="s">
        <v>10</v>
      </c>
      <c r="F81" s="61" t="s">
        <v>11</v>
      </c>
      <c r="G81" s="52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562" t="s">
        <v>12</v>
      </c>
      <c r="B82" s="3"/>
      <c r="C82" s="38"/>
      <c r="D82" s="39"/>
      <c r="E82" s="40"/>
      <c r="F82" s="63" t="s">
        <v>13</v>
      </c>
      <c r="G82" s="52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563" t="s">
        <v>1508</v>
      </c>
      <c r="B83" s="564" t="s">
        <v>15</v>
      </c>
      <c r="C83" s="50">
        <v>900.0</v>
      </c>
      <c r="D83" s="45">
        <v>26612.99</v>
      </c>
      <c r="E83" s="46">
        <v>27704.46</v>
      </c>
      <c r="F83" s="63" t="s">
        <v>3467</v>
      </c>
      <c r="G83" s="52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563" t="s">
        <v>3468</v>
      </c>
      <c r="B84" s="564"/>
      <c r="C84" s="50"/>
      <c r="D84" s="45"/>
      <c r="E84" s="46"/>
      <c r="F84" s="64" t="s">
        <v>3469</v>
      </c>
      <c r="G84" s="52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563"/>
      <c r="B85" s="564"/>
      <c r="C85" s="50"/>
      <c r="D85" s="45"/>
      <c r="E85" s="46"/>
      <c r="F85" s="64" t="s">
        <v>3470</v>
      </c>
      <c r="G85" s="52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8.75" customHeight="1">
      <c r="A86" s="561" t="s">
        <v>3471</v>
      </c>
      <c r="B86" s="27"/>
      <c r="C86" s="60" t="s">
        <v>8</v>
      </c>
      <c r="D86" s="60" t="s">
        <v>9</v>
      </c>
      <c r="E86" s="60" t="s">
        <v>10</v>
      </c>
      <c r="F86" s="61" t="s">
        <v>11</v>
      </c>
      <c r="G86" s="52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562" t="s">
        <v>12</v>
      </c>
      <c r="B87" s="3"/>
      <c r="C87" s="568"/>
      <c r="D87" s="569"/>
      <c r="E87" s="569"/>
      <c r="F87" s="570" t="s">
        <v>13</v>
      </c>
      <c r="G87" s="52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563" t="s">
        <v>3402</v>
      </c>
      <c r="B88" s="564" t="s">
        <v>1226</v>
      </c>
      <c r="C88" s="50">
        <v>1000.0</v>
      </c>
      <c r="D88" s="45">
        <v>26674.91</v>
      </c>
      <c r="E88" s="46">
        <v>27973.55</v>
      </c>
      <c r="F88" s="63" t="s">
        <v>3472</v>
      </c>
      <c r="G88" s="52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563" t="s">
        <v>1550</v>
      </c>
      <c r="B89" s="571" t="s">
        <v>3613</v>
      </c>
      <c r="C89" s="66"/>
      <c r="D89" s="46"/>
      <c r="E89" s="46"/>
      <c r="F89" s="64" t="s">
        <v>3473</v>
      </c>
      <c r="G89" s="52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566"/>
      <c r="B90" s="567"/>
      <c r="C90" s="67"/>
      <c r="D90" s="57"/>
      <c r="E90" s="57"/>
      <c r="F90" s="24" t="s">
        <v>3474</v>
      </c>
      <c r="G90" s="52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9.5" customHeight="1">
      <c r="A91" s="561" t="s">
        <v>3475</v>
      </c>
      <c r="B91" s="27"/>
      <c r="C91" s="60" t="s">
        <v>8</v>
      </c>
      <c r="D91" s="60" t="s">
        <v>9</v>
      </c>
      <c r="E91" s="60" t="s">
        <v>10</v>
      </c>
      <c r="F91" s="61" t="s">
        <v>11</v>
      </c>
      <c r="G91" s="52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562" t="s">
        <v>12</v>
      </c>
      <c r="B92" s="3"/>
      <c r="C92" s="568"/>
      <c r="D92" s="569"/>
      <c r="E92" s="569"/>
      <c r="F92" s="570" t="s">
        <v>13</v>
      </c>
      <c r="G92" s="52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563" t="s">
        <v>3402</v>
      </c>
      <c r="B93" s="564" t="s">
        <v>1226</v>
      </c>
      <c r="C93" s="66">
        <v>953.0</v>
      </c>
      <c r="D93" s="46">
        <v>25010.0</v>
      </c>
      <c r="E93" s="46">
        <v>26269.15</v>
      </c>
      <c r="F93" s="63" t="s">
        <v>3476</v>
      </c>
      <c r="G93" s="52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6.5" customHeight="1">
      <c r="A94" s="563" t="s">
        <v>3477</v>
      </c>
      <c r="B94" s="571" t="s">
        <v>3613</v>
      </c>
      <c r="C94" s="66"/>
      <c r="D94" s="46"/>
      <c r="E94" s="46"/>
      <c r="F94" s="64" t="s">
        <v>3478</v>
      </c>
      <c r="G94" s="52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2.75" customHeight="1">
      <c r="A95" s="566"/>
      <c r="B95" s="567"/>
      <c r="C95" s="67"/>
      <c r="D95" s="57"/>
      <c r="E95" s="57"/>
      <c r="F95" s="24" t="s">
        <v>3479</v>
      </c>
      <c r="G95" s="52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2.75" customHeight="1">
      <c r="A96" s="561" t="s">
        <v>3480</v>
      </c>
      <c r="B96" s="27"/>
      <c r="C96" s="60" t="s">
        <v>8</v>
      </c>
      <c r="D96" s="60" t="s">
        <v>9</v>
      </c>
      <c r="E96" s="60" t="s">
        <v>10</v>
      </c>
      <c r="F96" s="61" t="s">
        <v>11</v>
      </c>
      <c r="G96" s="52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2.75" customHeight="1">
      <c r="A97" s="562" t="s">
        <v>12</v>
      </c>
      <c r="B97" s="3"/>
      <c r="C97" s="568"/>
      <c r="D97" s="569"/>
      <c r="E97" s="569"/>
      <c r="F97" s="570" t="s">
        <v>13</v>
      </c>
      <c r="G97" s="52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2.75" customHeight="1">
      <c r="A98" s="563" t="s">
        <v>3481</v>
      </c>
      <c r="B98" s="564" t="s">
        <v>1226</v>
      </c>
      <c r="C98" s="66">
        <v>925.0</v>
      </c>
      <c r="D98" s="46">
        <v>26928.66</v>
      </c>
      <c r="E98" s="46">
        <v>28147.93</v>
      </c>
      <c r="F98" s="63" t="s">
        <v>3482</v>
      </c>
      <c r="G98" s="52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75" customHeight="1">
      <c r="A99" s="563" t="s">
        <v>174</v>
      </c>
      <c r="B99" s="571" t="s">
        <v>3613</v>
      </c>
      <c r="C99" s="66"/>
      <c r="D99" s="46"/>
      <c r="E99" s="46"/>
      <c r="F99" s="64" t="s">
        <v>3483</v>
      </c>
      <c r="G99" s="52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.75" customHeight="1">
      <c r="A100" s="566"/>
      <c r="B100" s="567"/>
      <c r="C100" s="67"/>
      <c r="D100" s="57"/>
      <c r="E100" s="57"/>
      <c r="F100" s="24" t="s">
        <v>3484</v>
      </c>
      <c r="G100" s="52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2.75" customHeight="1">
      <c r="A101" s="561" t="s">
        <v>3485</v>
      </c>
      <c r="B101" s="27"/>
      <c r="C101" s="60" t="s">
        <v>8</v>
      </c>
      <c r="D101" s="60" t="s">
        <v>9</v>
      </c>
      <c r="E101" s="60" t="s">
        <v>10</v>
      </c>
      <c r="F101" s="61" t="s">
        <v>11</v>
      </c>
      <c r="G101" s="52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75" customHeight="1">
      <c r="A102" s="562" t="s">
        <v>12</v>
      </c>
      <c r="B102" s="3"/>
      <c r="C102" s="568"/>
      <c r="D102" s="569"/>
      <c r="E102" s="569"/>
      <c r="F102" s="570" t="s">
        <v>13</v>
      </c>
      <c r="G102" s="52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.75" customHeight="1">
      <c r="A103" s="563" t="s">
        <v>3402</v>
      </c>
      <c r="B103" s="564" t="s">
        <v>1226</v>
      </c>
      <c r="C103" s="66">
        <v>1000.0</v>
      </c>
      <c r="D103" s="46">
        <v>26240.25</v>
      </c>
      <c r="E103" s="46">
        <v>27567.77</v>
      </c>
      <c r="F103" s="63" t="s">
        <v>3486</v>
      </c>
      <c r="G103" s="52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2.75" customHeight="1">
      <c r="A104" s="563" t="s">
        <v>1520</v>
      </c>
      <c r="B104" s="571" t="s">
        <v>3613</v>
      </c>
      <c r="C104" s="66"/>
      <c r="D104" s="46"/>
      <c r="E104" s="46"/>
      <c r="F104" s="64" t="s">
        <v>3487</v>
      </c>
      <c r="G104" s="52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2.75" customHeight="1">
      <c r="A105" s="563"/>
      <c r="B105" s="564"/>
      <c r="C105" s="572"/>
      <c r="D105" s="565"/>
      <c r="E105" s="565"/>
      <c r="F105" s="64" t="s">
        <v>3488</v>
      </c>
      <c r="G105" s="52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2.75" customHeight="1">
      <c r="A106" s="561" t="s">
        <v>3489</v>
      </c>
      <c r="B106" s="27"/>
      <c r="C106" s="34" t="s">
        <v>8</v>
      </c>
      <c r="D106" s="34" t="s">
        <v>9</v>
      </c>
      <c r="E106" s="34" t="s">
        <v>10</v>
      </c>
      <c r="F106" s="35" t="s">
        <v>11</v>
      </c>
      <c r="G106" s="52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2.75" customHeight="1">
      <c r="A107" s="562" t="s">
        <v>12</v>
      </c>
      <c r="B107" s="3"/>
      <c r="C107" s="568"/>
      <c r="D107" s="569"/>
      <c r="E107" s="569"/>
      <c r="F107" s="570" t="s">
        <v>13</v>
      </c>
      <c r="G107" s="52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2.75" customHeight="1">
      <c r="A108" s="563" t="s">
        <v>3402</v>
      </c>
      <c r="B108" s="564" t="s">
        <v>1226</v>
      </c>
      <c r="C108" s="66">
        <v>980.0</v>
      </c>
      <c r="D108" s="46">
        <v>26023.32</v>
      </c>
      <c r="E108" s="46">
        <v>27295.92</v>
      </c>
      <c r="F108" s="63" t="s">
        <v>3490</v>
      </c>
      <c r="G108" s="52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2.75" customHeight="1">
      <c r="A109" s="563" t="s">
        <v>3491</v>
      </c>
      <c r="B109" s="571" t="s">
        <v>3613</v>
      </c>
      <c r="C109" s="66"/>
      <c r="D109" s="46"/>
      <c r="E109" s="46"/>
      <c r="F109" s="64" t="s">
        <v>3492</v>
      </c>
      <c r="G109" s="52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2.75" customHeight="1">
      <c r="A110" s="566"/>
      <c r="B110" s="567"/>
      <c r="C110" s="67"/>
      <c r="D110" s="57"/>
      <c r="E110" s="57"/>
      <c r="F110" s="24" t="s">
        <v>3493</v>
      </c>
      <c r="G110" s="52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2.75" customHeight="1">
      <c r="A111" s="561" t="s">
        <v>3494</v>
      </c>
      <c r="B111" s="27"/>
      <c r="C111" s="34" t="s">
        <v>8</v>
      </c>
      <c r="D111" s="34" t="s">
        <v>9</v>
      </c>
      <c r="E111" s="34" t="s">
        <v>10</v>
      </c>
      <c r="F111" s="35" t="s">
        <v>11</v>
      </c>
      <c r="G111" s="52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2.75" customHeight="1">
      <c r="A112" s="562" t="s">
        <v>12</v>
      </c>
      <c r="B112" s="3"/>
      <c r="C112" s="568"/>
      <c r="D112" s="569"/>
      <c r="E112" s="569"/>
      <c r="F112" s="570" t="s">
        <v>13</v>
      </c>
      <c r="G112" s="52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2.75" customHeight="1">
      <c r="A113" s="563" t="s">
        <v>3402</v>
      </c>
      <c r="B113" s="564" t="s">
        <v>1226</v>
      </c>
      <c r="C113" s="66">
        <v>923.0</v>
      </c>
      <c r="D113" s="46">
        <v>26978.53</v>
      </c>
      <c r="E113" s="46">
        <v>28355.19</v>
      </c>
      <c r="F113" s="63" t="s">
        <v>3495</v>
      </c>
      <c r="G113" s="52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2.75" customHeight="1">
      <c r="A114" s="563" t="s">
        <v>72</v>
      </c>
      <c r="B114" s="571" t="s">
        <v>3613</v>
      </c>
      <c r="C114" s="66"/>
      <c r="D114" s="46"/>
      <c r="E114" s="46"/>
      <c r="F114" s="64" t="s">
        <v>3496</v>
      </c>
      <c r="G114" s="52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2.75" customHeight="1">
      <c r="A115" s="566"/>
      <c r="B115" s="567"/>
      <c r="C115" s="67"/>
      <c r="D115" s="57"/>
      <c r="E115" s="57"/>
      <c r="F115" s="24" t="s">
        <v>3497</v>
      </c>
      <c r="G115" s="52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2.75" customHeight="1">
      <c r="A116" s="561" t="s">
        <v>3498</v>
      </c>
      <c r="B116" s="27"/>
      <c r="C116" s="60" t="s">
        <v>8</v>
      </c>
      <c r="D116" s="60" t="s">
        <v>9</v>
      </c>
      <c r="E116" s="60" t="s">
        <v>10</v>
      </c>
      <c r="F116" s="61" t="s">
        <v>11</v>
      </c>
      <c r="G116" s="52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2.75" customHeight="1">
      <c r="A117" s="562" t="s">
        <v>12</v>
      </c>
      <c r="B117" s="3"/>
      <c r="C117" s="568"/>
      <c r="D117" s="569"/>
      <c r="E117" s="569"/>
      <c r="F117" s="570" t="s">
        <v>13</v>
      </c>
      <c r="G117" s="52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2.75" customHeight="1">
      <c r="A118" s="563" t="s">
        <v>3402</v>
      </c>
      <c r="B118" s="564" t="s">
        <v>1226</v>
      </c>
      <c r="C118" s="66">
        <v>1011.0</v>
      </c>
      <c r="D118" s="46">
        <v>27008.26</v>
      </c>
      <c r="E118" s="46">
        <v>28287.83</v>
      </c>
      <c r="F118" s="63" t="s">
        <v>3499</v>
      </c>
      <c r="G118" s="52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2.75" customHeight="1">
      <c r="A119" s="563" t="s">
        <v>1564</v>
      </c>
      <c r="B119" s="571" t="s">
        <v>3613</v>
      </c>
      <c r="C119" s="66"/>
      <c r="D119" s="46"/>
      <c r="E119" s="46"/>
      <c r="F119" s="64" t="s">
        <v>3500</v>
      </c>
      <c r="G119" s="52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2.75" customHeight="1">
      <c r="A120" s="566"/>
      <c r="B120" s="567"/>
      <c r="C120" s="67"/>
      <c r="D120" s="57"/>
      <c r="E120" s="57"/>
      <c r="F120" s="24" t="s">
        <v>3501</v>
      </c>
      <c r="G120" s="52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75" customHeight="1">
      <c r="A121" s="561" t="s">
        <v>3502</v>
      </c>
      <c r="B121" s="27"/>
      <c r="C121" s="60" t="s">
        <v>8</v>
      </c>
      <c r="D121" s="60" t="s">
        <v>9</v>
      </c>
      <c r="E121" s="60" t="s">
        <v>10</v>
      </c>
      <c r="F121" s="61" t="s">
        <v>11</v>
      </c>
      <c r="G121" s="52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75" customHeight="1">
      <c r="A122" s="562" t="s">
        <v>12</v>
      </c>
      <c r="B122" s="3"/>
      <c r="C122" s="568"/>
      <c r="D122" s="569"/>
      <c r="E122" s="569"/>
      <c r="F122" s="570" t="s">
        <v>13</v>
      </c>
      <c r="G122" s="52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2.75" customHeight="1">
      <c r="A123" s="563" t="s">
        <v>3402</v>
      </c>
      <c r="B123" s="564" t="s">
        <v>1226</v>
      </c>
      <c r="C123" s="66">
        <v>1000.0</v>
      </c>
      <c r="D123" s="46">
        <v>26550.17</v>
      </c>
      <c r="E123" s="46">
        <v>27840.17</v>
      </c>
      <c r="F123" s="63" t="s">
        <v>3503</v>
      </c>
      <c r="G123" s="52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2.75" customHeight="1">
      <c r="A124" s="563" t="s">
        <v>1633</v>
      </c>
      <c r="B124" s="571" t="s">
        <v>3613</v>
      </c>
      <c r="C124" s="66"/>
      <c r="D124" s="46"/>
      <c r="E124" s="46"/>
      <c r="F124" s="64" t="s">
        <v>3504</v>
      </c>
      <c r="G124" s="52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2.75" customHeight="1">
      <c r="A125" s="566"/>
      <c r="B125" s="567"/>
      <c r="C125" s="67"/>
      <c r="D125" s="57"/>
      <c r="E125" s="57"/>
      <c r="F125" s="24" t="s">
        <v>3505</v>
      </c>
      <c r="G125" s="52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2.75" customHeight="1">
      <c r="A126" s="561" t="s">
        <v>3506</v>
      </c>
      <c r="B126" s="27"/>
      <c r="C126" s="60" t="s">
        <v>8</v>
      </c>
      <c r="D126" s="60" t="s">
        <v>9</v>
      </c>
      <c r="E126" s="60" t="s">
        <v>10</v>
      </c>
      <c r="F126" s="61" t="s">
        <v>11</v>
      </c>
      <c r="G126" s="52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2.75" customHeight="1">
      <c r="A127" s="562" t="s">
        <v>12</v>
      </c>
      <c r="B127" s="3"/>
      <c r="C127" s="568"/>
      <c r="D127" s="569"/>
      <c r="E127" s="569"/>
      <c r="F127" s="570" t="s">
        <v>13</v>
      </c>
      <c r="G127" s="52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2.75" customHeight="1">
      <c r="A128" s="563" t="s">
        <v>3411</v>
      </c>
      <c r="B128" s="564" t="s">
        <v>1226</v>
      </c>
      <c r="C128" s="66">
        <v>1006.0</v>
      </c>
      <c r="D128" s="46">
        <v>26761.74</v>
      </c>
      <c r="E128" s="46">
        <v>28046.96</v>
      </c>
      <c r="F128" s="63" t="s">
        <v>3507</v>
      </c>
      <c r="G128" s="52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2.75" customHeight="1">
      <c r="A129" s="563" t="s">
        <v>169</v>
      </c>
      <c r="B129" s="571" t="s">
        <v>3613</v>
      </c>
      <c r="C129" s="66"/>
      <c r="D129" s="46"/>
      <c r="E129" s="46"/>
      <c r="F129" s="64" t="s">
        <v>3508</v>
      </c>
      <c r="G129" s="52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2.75" customHeight="1">
      <c r="A130" s="563"/>
      <c r="B130" s="564"/>
      <c r="C130" s="572"/>
      <c r="D130" s="565"/>
      <c r="E130" s="565"/>
      <c r="F130" s="64" t="s">
        <v>3509</v>
      </c>
      <c r="G130" s="52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2.75" customHeight="1">
      <c r="A131" s="561" t="s">
        <v>3510</v>
      </c>
      <c r="B131" s="27"/>
      <c r="C131" s="60" t="s">
        <v>8</v>
      </c>
      <c r="D131" s="60" t="s">
        <v>9</v>
      </c>
      <c r="E131" s="60" t="s">
        <v>10</v>
      </c>
      <c r="F131" s="61" t="s">
        <v>11</v>
      </c>
      <c r="G131" s="52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2.75" customHeight="1">
      <c r="A132" s="562" t="s">
        <v>12</v>
      </c>
      <c r="B132" s="3"/>
      <c r="C132" s="568"/>
      <c r="D132" s="569"/>
      <c r="E132" s="569"/>
      <c r="F132" s="570" t="s">
        <v>13</v>
      </c>
      <c r="G132" s="52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2.75" customHeight="1">
      <c r="A133" s="563" t="s">
        <v>3402</v>
      </c>
      <c r="B133" s="564" t="s">
        <v>1226</v>
      </c>
      <c r="C133" s="66">
        <v>1008.0</v>
      </c>
      <c r="D133" s="46">
        <v>27007.34</v>
      </c>
      <c r="E133" s="46">
        <v>28244.63</v>
      </c>
      <c r="F133" s="63" t="s">
        <v>3511</v>
      </c>
      <c r="G133" s="52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75" customHeight="1">
      <c r="A134" s="563" t="s">
        <v>3512</v>
      </c>
      <c r="B134" s="571" t="s">
        <v>3613</v>
      </c>
      <c r="C134" s="66"/>
      <c r="D134" s="46"/>
      <c r="E134" s="46"/>
      <c r="F134" s="64" t="s">
        <v>3513</v>
      </c>
      <c r="G134" s="52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75" customHeight="1">
      <c r="A135" s="566"/>
      <c r="B135" s="567"/>
      <c r="C135" s="67"/>
      <c r="D135" s="57"/>
      <c r="E135" s="57"/>
      <c r="F135" s="24" t="s">
        <v>3514</v>
      </c>
      <c r="G135" s="52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.75" customHeight="1">
      <c r="A136" s="561" t="s">
        <v>3515</v>
      </c>
      <c r="B136" s="27"/>
      <c r="C136" s="60" t="s">
        <v>8</v>
      </c>
      <c r="D136" s="60" t="s">
        <v>9</v>
      </c>
      <c r="E136" s="60" t="s">
        <v>10</v>
      </c>
      <c r="F136" s="61" t="s">
        <v>11</v>
      </c>
      <c r="G136" s="52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.75" customHeight="1">
      <c r="A137" s="562" t="s">
        <v>12</v>
      </c>
      <c r="B137" s="3"/>
      <c r="C137" s="568"/>
      <c r="D137" s="569"/>
      <c r="E137" s="569"/>
      <c r="F137" s="570" t="s">
        <v>13</v>
      </c>
      <c r="G137" s="52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2.75" customHeight="1">
      <c r="A138" s="563" t="s">
        <v>3402</v>
      </c>
      <c r="B138" s="564" t="s">
        <v>1226</v>
      </c>
      <c r="C138" s="66">
        <v>990.0</v>
      </c>
      <c r="D138" s="46">
        <v>26304.66</v>
      </c>
      <c r="E138" s="46">
        <v>27726.44</v>
      </c>
      <c r="F138" s="63" t="s">
        <v>3516</v>
      </c>
      <c r="G138" s="52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563" t="s">
        <v>3517</v>
      </c>
      <c r="B139" s="571" t="s">
        <v>3613</v>
      </c>
      <c r="C139" s="66"/>
      <c r="D139" s="46"/>
      <c r="E139" s="46"/>
      <c r="F139" s="64" t="s">
        <v>3518</v>
      </c>
    </row>
    <row r="140" ht="15.75" customHeight="1">
      <c r="A140" s="566"/>
      <c r="B140" s="567"/>
      <c r="C140" s="67"/>
      <c r="D140" s="57"/>
      <c r="E140" s="57"/>
      <c r="F140" s="24" t="s">
        <v>3519</v>
      </c>
    </row>
    <row r="141" ht="12.75" customHeight="1">
      <c r="A141" s="561" t="s">
        <v>3520</v>
      </c>
      <c r="B141" s="27"/>
      <c r="C141" s="60" t="s">
        <v>8</v>
      </c>
      <c r="D141" s="60" t="s">
        <v>9</v>
      </c>
      <c r="E141" s="60" t="s">
        <v>10</v>
      </c>
      <c r="F141" s="61" t="s">
        <v>11</v>
      </c>
      <c r="G141" s="52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.75" customHeight="1">
      <c r="A142" s="562" t="s">
        <v>12</v>
      </c>
      <c r="B142" s="3"/>
      <c r="C142" s="568"/>
      <c r="D142" s="569"/>
      <c r="E142" s="569"/>
      <c r="F142" s="570" t="s">
        <v>13</v>
      </c>
      <c r="G142" s="52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.75" customHeight="1">
      <c r="A143" s="563" t="s">
        <v>1508</v>
      </c>
      <c r="B143" s="564" t="s">
        <v>15</v>
      </c>
      <c r="C143" s="66">
        <v>965.0</v>
      </c>
      <c r="D143" s="46">
        <v>26538.8</v>
      </c>
      <c r="E143" s="46">
        <v>27797.91</v>
      </c>
      <c r="F143" s="63" t="s">
        <v>3521</v>
      </c>
      <c r="G143" s="52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.75" customHeight="1">
      <c r="A144" s="563" t="s">
        <v>1648</v>
      </c>
      <c r="B144" s="571" t="s">
        <v>3613</v>
      </c>
      <c r="C144" s="66"/>
      <c r="D144" s="46"/>
      <c r="E144" s="46"/>
      <c r="F144" s="64" t="s">
        <v>3522</v>
      </c>
      <c r="G144" s="52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.75" customHeight="1">
      <c r="A145" s="566"/>
      <c r="B145" s="567"/>
      <c r="C145" s="67"/>
      <c r="D145" s="57"/>
      <c r="E145" s="57"/>
      <c r="F145" s="24" t="s">
        <v>3523</v>
      </c>
      <c r="G145" s="52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2.75" customHeight="1">
      <c r="A146" s="561" t="s">
        <v>3524</v>
      </c>
      <c r="B146" s="27"/>
      <c r="C146" s="60" t="s">
        <v>8</v>
      </c>
      <c r="D146" s="60" t="s">
        <v>9</v>
      </c>
      <c r="E146" s="60" t="s">
        <v>10</v>
      </c>
      <c r="F146" s="61" t="s">
        <v>11</v>
      </c>
      <c r="G146" s="52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75" customHeight="1">
      <c r="A147" s="562" t="s">
        <v>12</v>
      </c>
      <c r="B147" s="3"/>
      <c r="C147" s="568"/>
      <c r="D147" s="569"/>
      <c r="E147" s="569"/>
      <c r="F147" s="570" t="s">
        <v>13</v>
      </c>
      <c r="G147" s="52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75" customHeight="1">
      <c r="A148" s="563" t="s">
        <v>1508</v>
      </c>
      <c r="B148" s="564" t="s">
        <v>15</v>
      </c>
      <c r="C148" s="66">
        <v>983.0</v>
      </c>
      <c r="D148" s="46">
        <v>27005.8</v>
      </c>
      <c r="E148" s="46">
        <v>28290.33</v>
      </c>
      <c r="F148" s="63" t="s">
        <v>3525</v>
      </c>
      <c r="G148" s="52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2.75" customHeight="1">
      <c r="A149" s="563" t="s">
        <v>3526</v>
      </c>
      <c r="B149" s="571" t="s">
        <v>3613</v>
      </c>
      <c r="C149" s="66"/>
      <c r="D149" s="46"/>
      <c r="E149" s="46"/>
      <c r="F149" s="64" t="s">
        <v>3527</v>
      </c>
      <c r="G149" s="52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2.75" customHeight="1">
      <c r="A150" s="566"/>
      <c r="B150" s="567"/>
      <c r="C150" s="67"/>
      <c r="D150" s="57"/>
      <c r="E150" s="57"/>
      <c r="F150" s="24" t="s">
        <v>3528</v>
      </c>
      <c r="G150" s="52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.75" customHeight="1">
      <c r="A151" s="561" t="s">
        <v>3529</v>
      </c>
      <c r="B151" s="27"/>
      <c r="C151" s="60" t="s">
        <v>8</v>
      </c>
      <c r="D151" s="60" t="s">
        <v>9</v>
      </c>
      <c r="E151" s="60" t="s">
        <v>10</v>
      </c>
      <c r="F151" s="61" t="s">
        <v>11</v>
      </c>
      <c r="G151" s="52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.75" customHeight="1">
      <c r="A152" s="562" t="s">
        <v>12</v>
      </c>
      <c r="B152" s="3"/>
      <c r="C152" s="568"/>
      <c r="D152" s="569"/>
      <c r="E152" s="569"/>
      <c r="F152" s="570" t="s">
        <v>13</v>
      </c>
      <c r="G152" s="52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.75" customHeight="1">
      <c r="A153" s="563" t="s">
        <v>1508</v>
      </c>
      <c r="B153" s="564" t="s">
        <v>15</v>
      </c>
      <c r="C153" s="66">
        <v>933.0</v>
      </c>
      <c r="D153" s="46">
        <v>26988.71</v>
      </c>
      <c r="E153" s="46">
        <v>28191.76</v>
      </c>
      <c r="F153" s="63" t="s">
        <v>3530</v>
      </c>
      <c r="G153" s="52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.75" customHeight="1">
      <c r="A154" s="563" t="s">
        <v>1530</v>
      </c>
      <c r="B154" s="571" t="s">
        <v>3613</v>
      </c>
      <c r="C154" s="66"/>
      <c r="D154" s="46"/>
      <c r="E154" s="46"/>
      <c r="F154" s="64" t="s">
        <v>3531</v>
      </c>
      <c r="G154" s="52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.75" customHeight="1">
      <c r="A155" s="566"/>
      <c r="B155" s="567"/>
      <c r="C155" s="67"/>
      <c r="D155" s="57"/>
      <c r="E155" s="57"/>
      <c r="F155" s="24" t="s">
        <v>3532</v>
      </c>
      <c r="G155" s="52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.75" customHeight="1">
      <c r="A156" s="561" t="s">
        <v>3533</v>
      </c>
      <c r="B156" s="27"/>
      <c r="C156" s="60" t="s">
        <v>8</v>
      </c>
      <c r="D156" s="60" t="s">
        <v>9</v>
      </c>
      <c r="E156" s="60" t="s">
        <v>10</v>
      </c>
      <c r="F156" s="61" t="s">
        <v>11</v>
      </c>
      <c r="G156" s="52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.75" customHeight="1">
      <c r="A157" s="562" t="s">
        <v>12</v>
      </c>
      <c r="B157" s="3"/>
      <c r="C157" s="568"/>
      <c r="D157" s="569"/>
      <c r="E157" s="569"/>
      <c r="F157" s="570" t="s">
        <v>13</v>
      </c>
      <c r="G157" s="52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.75" customHeight="1">
      <c r="A158" s="563" t="s">
        <v>1508</v>
      </c>
      <c r="B158" s="564" t="s">
        <v>15</v>
      </c>
      <c r="C158" s="66">
        <v>988.0</v>
      </c>
      <c r="D158" s="46">
        <v>26991.86</v>
      </c>
      <c r="E158" s="46">
        <v>28271.15</v>
      </c>
      <c r="F158" s="63" t="s">
        <v>3534</v>
      </c>
      <c r="G158" s="52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2.75" customHeight="1">
      <c r="A159" s="563" t="s">
        <v>3535</v>
      </c>
      <c r="B159" s="571" t="s">
        <v>3613</v>
      </c>
      <c r="C159" s="66"/>
      <c r="D159" s="46"/>
      <c r="E159" s="46"/>
      <c r="F159" s="64" t="s">
        <v>3536</v>
      </c>
      <c r="G159" s="52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.75" customHeight="1">
      <c r="A160" s="566"/>
      <c r="B160" s="567"/>
      <c r="C160" s="67"/>
      <c r="D160" s="57"/>
      <c r="E160" s="57"/>
      <c r="F160" s="24" t="s">
        <v>3537</v>
      </c>
      <c r="G160" s="52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.75" customHeight="1">
      <c r="A161" s="561" t="s">
        <v>3538</v>
      </c>
      <c r="B161" s="27"/>
      <c r="C161" s="60" t="s">
        <v>8</v>
      </c>
      <c r="D161" s="60" t="s">
        <v>9</v>
      </c>
      <c r="E161" s="60" t="s">
        <v>10</v>
      </c>
      <c r="F161" s="61" t="s">
        <v>11</v>
      </c>
      <c r="G161" s="52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75" customHeight="1">
      <c r="A162" s="562" t="s">
        <v>12</v>
      </c>
      <c r="B162" s="3"/>
      <c r="C162" s="568"/>
      <c r="D162" s="569"/>
      <c r="E162" s="569"/>
      <c r="F162" s="570" t="s">
        <v>13</v>
      </c>
      <c r="G162" s="52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.75" customHeight="1">
      <c r="A163" s="563" t="s">
        <v>1508</v>
      </c>
      <c r="B163" s="564" t="s">
        <v>15</v>
      </c>
      <c r="C163" s="66">
        <v>988.0</v>
      </c>
      <c r="D163" s="46">
        <v>27004.85</v>
      </c>
      <c r="E163" s="46">
        <v>28263.74</v>
      </c>
      <c r="F163" s="63" t="s">
        <v>3539</v>
      </c>
      <c r="G163" s="52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75" customHeight="1">
      <c r="A164" s="563" t="s">
        <v>3540</v>
      </c>
      <c r="B164" s="571" t="s">
        <v>3613</v>
      </c>
      <c r="C164" s="66"/>
      <c r="D164" s="46"/>
      <c r="E164" s="46"/>
      <c r="F164" s="64" t="s">
        <v>3541</v>
      </c>
      <c r="G164" s="52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75" customHeight="1">
      <c r="A165" s="566"/>
      <c r="B165" s="567"/>
      <c r="C165" s="67"/>
      <c r="D165" s="57"/>
      <c r="E165" s="57"/>
      <c r="F165" s="24" t="s">
        <v>3542</v>
      </c>
      <c r="G165" s="52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75" customHeight="1">
      <c r="A166" s="561" t="s">
        <v>3543</v>
      </c>
      <c r="B166" s="27"/>
      <c r="C166" s="60" t="s">
        <v>8</v>
      </c>
      <c r="D166" s="60" t="s">
        <v>9</v>
      </c>
      <c r="E166" s="60" t="s">
        <v>10</v>
      </c>
      <c r="F166" s="61" t="s">
        <v>11</v>
      </c>
      <c r="G166" s="52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.75" customHeight="1">
      <c r="A167" s="562" t="s">
        <v>12</v>
      </c>
      <c r="B167" s="3"/>
      <c r="C167" s="568"/>
      <c r="D167" s="569"/>
      <c r="E167" s="569"/>
      <c r="F167" s="570" t="s">
        <v>13</v>
      </c>
      <c r="G167" s="52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75" customHeight="1">
      <c r="A168" s="563" t="s">
        <v>1508</v>
      </c>
      <c r="B168" s="564" t="s">
        <v>15</v>
      </c>
      <c r="C168" s="66">
        <v>935.0</v>
      </c>
      <c r="D168" s="46">
        <v>27004.21</v>
      </c>
      <c r="E168" s="46">
        <v>28188.96</v>
      </c>
      <c r="F168" s="63" t="s">
        <v>3544</v>
      </c>
      <c r="G168" s="52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75" customHeight="1">
      <c r="A169" s="563" t="s">
        <v>1679</v>
      </c>
      <c r="B169" s="571" t="s">
        <v>3613</v>
      </c>
      <c r="C169" s="66"/>
      <c r="D169" s="46"/>
      <c r="E169" s="46"/>
      <c r="F169" s="64" t="s">
        <v>3545</v>
      </c>
      <c r="G169" s="52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75" customHeight="1">
      <c r="A170" s="566"/>
      <c r="B170" s="567"/>
      <c r="C170" s="67"/>
      <c r="D170" s="57"/>
      <c r="E170" s="57"/>
      <c r="F170" s="24" t="s">
        <v>3546</v>
      </c>
      <c r="G170" s="52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75" customHeight="1">
      <c r="A171" s="561" t="s">
        <v>3547</v>
      </c>
      <c r="B171" s="27"/>
      <c r="C171" s="60" t="s">
        <v>8</v>
      </c>
      <c r="D171" s="60" t="s">
        <v>9</v>
      </c>
      <c r="E171" s="60" t="s">
        <v>10</v>
      </c>
      <c r="F171" s="61" t="s">
        <v>11</v>
      </c>
      <c r="G171" s="52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75" customHeight="1">
      <c r="A172" s="562" t="s">
        <v>12</v>
      </c>
      <c r="B172" s="3"/>
      <c r="C172" s="568"/>
      <c r="D172" s="569"/>
      <c r="E172" s="569"/>
      <c r="F172" s="570" t="s">
        <v>13</v>
      </c>
      <c r="G172" s="52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75" customHeight="1">
      <c r="A173" s="563" t="s">
        <v>1508</v>
      </c>
      <c r="B173" s="564" t="s">
        <v>15</v>
      </c>
      <c r="C173" s="66">
        <v>985.0</v>
      </c>
      <c r="D173" s="46">
        <v>27013.27</v>
      </c>
      <c r="E173" s="46">
        <v>28229.41</v>
      </c>
      <c r="F173" s="63" t="s">
        <v>3548</v>
      </c>
      <c r="G173" s="52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75" customHeight="1">
      <c r="A174" s="563" t="s">
        <v>1535</v>
      </c>
      <c r="B174" s="571" t="s">
        <v>3613</v>
      </c>
      <c r="C174" s="66"/>
      <c r="D174" s="46"/>
      <c r="E174" s="46"/>
      <c r="F174" s="64" t="s">
        <v>3549</v>
      </c>
      <c r="G174" s="52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75" customHeight="1">
      <c r="A175" s="566"/>
      <c r="B175" s="567"/>
      <c r="C175" s="67"/>
      <c r="D175" s="57"/>
      <c r="E175" s="57"/>
      <c r="F175" s="24" t="s">
        <v>3550</v>
      </c>
      <c r="G175" s="52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75" customHeight="1">
      <c r="A176" s="561" t="s">
        <v>3551</v>
      </c>
      <c r="B176" s="27"/>
      <c r="C176" s="60" t="s">
        <v>8</v>
      </c>
      <c r="D176" s="60" t="s">
        <v>9</v>
      </c>
      <c r="E176" s="60" t="s">
        <v>10</v>
      </c>
      <c r="F176" s="61" t="s">
        <v>11</v>
      </c>
      <c r="G176" s="52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75" customHeight="1">
      <c r="A177" s="562" t="s">
        <v>12</v>
      </c>
      <c r="B177" s="3"/>
      <c r="C177" s="568"/>
      <c r="D177" s="569"/>
      <c r="E177" s="569"/>
      <c r="F177" s="570" t="s">
        <v>13</v>
      </c>
      <c r="G177" s="52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75" customHeight="1">
      <c r="A178" s="563" t="s">
        <v>1508</v>
      </c>
      <c r="B178" s="564" t="s">
        <v>15</v>
      </c>
      <c r="C178" s="66">
        <v>988.0</v>
      </c>
      <c r="D178" s="46">
        <v>27001.97</v>
      </c>
      <c r="E178" s="46">
        <v>28280.96</v>
      </c>
      <c r="F178" s="63" t="s">
        <v>3552</v>
      </c>
      <c r="G178" s="52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75" customHeight="1">
      <c r="A179" s="563" t="s">
        <v>3553</v>
      </c>
      <c r="B179" s="571" t="s">
        <v>3613</v>
      </c>
      <c r="C179" s="66"/>
      <c r="D179" s="46"/>
      <c r="E179" s="46"/>
      <c r="F179" s="64" t="s">
        <v>3554</v>
      </c>
      <c r="G179" s="52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75" customHeight="1">
      <c r="A180" s="566"/>
      <c r="B180" s="567"/>
      <c r="C180" s="67"/>
      <c r="D180" s="57"/>
      <c r="E180" s="57"/>
      <c r="F180" s="24" t="s">
        <v>3555</v>
      </c>
      <c r="G180" s="52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75" customHeight="1">
      <c r="A181" s="561" t="s">
        <v>3556</v>
      </c>
      <c r="B181" s="27"/>
      <c r="C181" s="60" t="s">
        <v>8</v>
      </c>
      <c r="D181" s="60" t="s">
        <v>9</v>
      </c>
      <c r="E181" s="60" t="s">
        <v>10</v>
      </c>
      <c r="F181" s="61" t="s">
        <v>11</v>
      </c>
      <c r="G181" s="52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75" customHeight="1">
      <c r="A182" s="562" t="s">
        <v>12</v>
      </c>
      <c r="B182" s="3"/>
      <c r="C182" s="568"/>
      <c r="D182" s="569"/>
      <c r="E182" s="569"/>
      <c r="F182" s="570" t="s">
        <v>13</v>
      </c>
      <c r="G182" s="52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75" customHeight="1">
      <c r="A183" s="563" t="s">
        <v>1508</v>
      </c>
      <c r="B183" s="564" t="s">
        <v>15</v>
      </c>
      <c r="C183" s="66">
        <v>949.0</v>
      </c>
      <c r="D183" s="46">
        <v>26993.9</v>
      </c>
      <c r="E183" s="46">
        <v>28180.55</v>
      </c>
      <c r="F183" s="63" t="s">
        <v>3557</v>
      </c>
      <c r="G183" s="52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75" customHeight="1">
      <c r="A184" s="563" t="s">
        <v>249</v>
      </c>
      <c r="B184" s="571" t="s">
        <v>3613</v>
      </c>
      <c r="C184" s="66"/>
      <c r="D184" s="46"/>
      <c r="E184" s="46"/>
      <c r="F184" s="64" t="s">
        <v>3558</v>
      </c>
      <c r="G184" s="52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75" customHeight="1">
      <c r="A185" s="566"/>
      <c r="B185" s="567"/>
      <c r="C185" s="67"/>
      <c r="D185" s="57"/>
      <c r="E185" s="57"/>
      <c r="F185" s="24" t="s">
        <v>3559</v>
      </c>
      <c r="G185" s="52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75" customHeight="1">
      <c r="A186" s="561" t="s">
        <v>3560</v>
      </c>
      <c r="B186" s="27"/>
      <c r="C186" s="60" t="s">
        <v>8</v>
      </c>
      <c r="D186" s="60" t="s">
        <v>9</v>
      </c>
      <c r="E186" s="60" t="s">
        <v>10</v>
      </c>
      <c r="F186" s="61" t="s">
        <v>11</v>
      </c>
      <c r="G186" s="52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75" customHeight="1">
      <c r="A187" s="562" t="s">
        <v>12</v>
      </c>
      <c r="B187" s="3"/>
      <c r="C187" s="568"/>
      <c r="D187" s="569"/>
      <c r="E187" s="569"/>
      <c r="F187" s="570" t="s">
        <v>13</v>
      </c>
      <c r="G187" s="52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75" customHeight="1">
      <c r="A188" s="563" t="s">
        <v>1508</v>
      </c>
      <c r="B188" s="564" t="s">
        <v>15</v>
      </c>
      <c r="C188" s="66">
        <v>987.0</v>
      </c>
      <c r="D188" s="46">
        <v>27010.97</v>
      </c>
      <c r="E188" s="46">
        <v>28258.69</v>
      </c>
      <c r="F188" s="63" t="s">
        <v>3561</v>
      </c>
      <c r="G188" s="52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75" customHeight="1">
      <c r="A189" s="563" t="s">
        <v>279</v>
      </c>
      <c r="B189" s="571" t="s">
        <v>3613</v>
      </c>
      <c r="C189" s="66"/>
      <c r="D189" s="46"/>
      <c r="E189" s="46"/>
      <c r="F189" s="64" t="s">
        <v>3562</v>
      </c>
      <c r="G189" s="52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75" customHeight="1">
      <c r="A190" s="566"/>
      <c r="B190" s="567"/>
      <c r="C190" s="67"/>
      <c r="D190" s="57"/>
      <c r="E190" s="57"/>
      <c r="F190" s="24" t="s">
        <v>3563</v>
      </c>
      <c r="G190" s="52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75" customHeight="1">
      <c r="A191" s="561" t="s">
        <v>3564</v>
      </c>
      <c r="B191" s="27"/>
      <c r="C191" s="60" t="s">
        <v>8</v>
      </c>
      <c r="D191" s="60" t="s">
        <v>9</v>
      </c>
      <c r="E191" s="60" t="s">
        <v>10</v>
      </c>
      <c r="F191" s="61" t="s">
        <v>11</v>
      </c>
      <c r="G191" s="52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75" customHeight="1">
      <c r="A192" s="562" t="s">
        <v>12</v>
      </c>
      <c r="B192" s="3"/>
      <c r="C192" s="568"/>
      <c r="D192" s="569"/>
      <c r="E192" s="569"/>
      <c r="F192" s="570" t="s">
        <v>13</v>
      </c>
      <c r="G192" s="52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75" customHeight="1">
      <c r="A193" s="563" t="s">
        <v>1508</v>
      </c>
      <c r="B193" s="564" t="s">
        <v>15</v>
      </c>
      <c r="C193" s="66">
        <v>985.0</v>
      </c>
      <c r="D193" s="46">
        <v>26920.97</v>
      </c>
      <c r="E193" s="46">
        <v>28187.55</v>
      </c>
      <c r="F193" s="63" t="s">
        <v>3565</v>
      </c>
      <c r="G193" s="52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75" customHeight="1">
      <c r="A194" s="563" t="s">
        <v>284</v>
      </c>
      <c r="B194" s="571" t="s">
        <v>3613</v>
      </c>
      <c r="C194" s="66"/>
      <c r="D194" s="46"/>
      <c r="E194" s="46"/>
      <c r="F194" s="64" t="s">
        <v>3566</v>
      </c>
      <c r="G194" s="52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75" customHeight="1">
      <c r="A195" s="566"/>
      <c r="B195" s="567"/>
      <c r="C195" s="67"/>
      <c r="D195" s="57"/>
      <c r="E195" s="57"/>
      <c r="F195" s="24" t="s">
        <v>3567</v>
      </c>
      <c r="G195" s="52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75" customHeight="1">
      <c r="A196" s="561" t="s">
        <v>3568</v>
      </c>
      <c r="B196" s="27"/>
      <c r="C196" s="60" t="s">
        <v>8</v>
      </c>
      <c r="D196" s="60" t="s">
        <v>9</v>
      </c>
      <c r="E196" s="60" t="s">
        <v>10</v>
      </c>
      <c r="F196" s="61" t="s">
        <v>11</v>
      </c>
      <c r="G196" s="52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75" customHeight="1">
      <c r="A197" s="562" t="s">
        <v>12</v>
      </c>
      <c r="B197" s="3"/>
      <c r="C197" s="568"/>
      <c r="D197" s="569"/>
      <c r="E197" s="569"/>
      <c r="F197" s="570" t="s">
        <v>13</v>
      </c>
      <c r="G197" s="52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75" customHeight="1">
      <c r="A198" s="563" t="s">
        <v>1508</v>
      </c>
      <c r="B198" s="564" t="s">
        <v>15</v>
      </c>
      <c r="C198" s="66">
        <v>987.0</v>
      </c>
      <c r="D198" s="46">
        <v>26736.74</v>
      </c>
      <c r="E198" s="46">
        <v>28074.7</v>
      </c>
      <c r="F198" s="63" t="s">
        <v>3569</v>
      </c>
      <c r="G198" s="52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75" customHeight="1">
      <c r="A199" s="563" t="s">
        <v>3570</v>
      </c>
      <c r="B199" s="571" t="s">
        <v>3613</v>
      </c>
      <c r="C199" s="66"/>
      <c r="D199" s="46"/>
      <c r="E199" s="46"/>
      <c r="F199" s="64" t="s">
        <v>3571</v>
      </c>
      <c r="G199" s="52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75" customHeight="1">
      <c r="A200" s="566"/>
      <c r="B200" s="567"/>
      <c r="C200" s="67"/>
      <c r="D200" s="57"/>
      <c r="E200" s="57"/>
      <c r="F200" s="24" t="s">
        <v>3572</v>
      </c>
      <c r="G200" s="52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75" customHeight="1">
      <c r="A201" s="561" t="s">
        <v>3573</v>
      </c>
      <c r="B201" s="27"/>
      <c r="C201" s="60" t="s">
        <v>8</v>
      </c>
      <c r="D201" s="60" t="s">
        <v>9</v>
      </c>
      <c r="E201" s="60" t="s">
        <v>10</v>
      </c>
      <c r="F201" s="61" t="s">
        <v>11</v>
      </c>
      <c r="G201" s="52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.75" customHeight="1">
      <c r="A202" s="562" t="s">
        <v>12</v>
      </c>
      <c r="B202" s="3"/>
      <c r="C202" s="568"/>
      <c r="D202" s="569"/>
      <c r="E202" s="569"/>
      <c r="F202" s="570" t="s">
        <v>13</v>
      </c>
      <c r="G202" s="52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75" customHeight="1">
      <c r="A203" s="563" t="s">
        <v>1508</v>
      </c>
      <c r="B203" s="564" t="s">
        <v>15</v>
      </c>
      <c r="C203" s="66">
        <v>989.0</v>
      </c>
      <c r="D203" s="46">
        <v>26999.05</v>
      </c>
      <c r="E203" s="46">
        <v>28298.44</v>
      </c>
      <c r="F203" s="63" t="s">
        <v>3574</v>
      </c>
      <c r="G203" s="52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75" customHeight="1">
      <c r="A204" s="563" t="s">
        <v>289</v>
      </c>
      <c r="B204" s="571" t="s">
        <v>3613</v>
      </c>
      <c r="C204" s="66"/>
      <c r="D204" s="46"/>
      <c r="E204" s="46"/>
      <c r="F204" s="64" t="s">
        <v>3575</v>
      </c>
      <c r="G204" s="52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75" customHeight="1">
      <c r="A205" s="566"/>
      <c r="B205" s="567"/>
      <c r="C205" s="67"/>
      <c r="D205" s="57"/>
      <c r="E205" s="57"/>
      <c r="F205" s="24" t="s">
        <v>3576</v>
      </c>
      <c r="G205" s="52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75" customHeight="1">
      <c r="A206" s="561" t="s">
        <v>3577</v>
      </c>
      <c r="B206" s="27"/>
      <c r="C206" s="60" t="s">
        <v>8</v>
      </c>
      <c r="D206" s="60" t="s">
        <v>9</v>
      </c>
      <c r="E206" s="60" t="s">
        <v>10</v>
      </c>
      <c r="F206" s="61" t="s">
        <v>11</v>
      </c>
      <c r="G206" s="52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75" customHeight="1">
      <c r="A207" s="562" t="s">
        <v>12</v>
      </c>
      <c r="B207" s="3"/>
      <c r="C207" s="568"/>
      <c r="D207" s="569"/>
      <c r="E207" s="569"/>
      <c r="F207" s="570" t="s">
        <v>13</v>
      </c>
      <c r="G207" s="52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75" customHeight="1">
      <c r="A208" s="563" t="s">
        <v>3402</v>
      </c>
      <c r="B208" s="564" t="s">
        <v>1226</v>
      </c>
      <c r="C208" s="66">
        <v>1000.0</v>
      </c>
      <c r="D208" s="46">
        <v>26583.18</v>
      </c>
      <c r="E208" s="46">
        <v>27986.98</v>
      </c>
      <c r="F208" s="63" t="s">
        <v>3578</v>
      </c>
      <c r="G208" s="52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75" customHeight="1">
      <c r="A209" s="563" t="s">
        <v>3579</v>
      </c>
      <c r="B209" s="571" t="s">
        <v>3613</v>
      </c>
      <c r="C209" s="66"/>
      <c r="D209" s="46"/>
      <c r="E209" s="46"/>
      <c r="F209" s="64" t="s">
        <v>3580</v>
      </c>
      <c r="G209" s="52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75" customHeight="1">
      <c r="A210" s="566"/>
      <c r="B210" s="567"/>
      <c r="C210" s="67"/>
      <c r="D210" s="57"/>
      <c r="E210" s="57"/>
      <c r="F210" s="24" t="s">
        <v>3581</v>
      </c>
      <c r="G210" s="52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8.75" customHeight="1">
      <c r="A211" s="89"/>
      <c r="B211" s="90"/>
      <c r="C211" s="91" t="s">
        <v>292</v>
      </c>
      <c r="D211" s="92" t="s">
        <v>292</v>
      </c>
      <c r="E211" s="93" t="s">
        <v>292</v>
      </c>
      <c r="F211" s="9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75" customHeight="1">
      <c r="A212" s="95"/>
      <c r="B212" s="96"/>
      <c r="C212" s="97">
        <f t="shared" ref="C212:E212" si="1">SUM(C12:C210)</f>
        <v>38197</v>
      </c>
      <c r="D212" s="98">
        <f t="shared" si="1"/>
        <v>1060586.39</v>
      </c>
      <c r="E212" s="99">
        <f t="shared" si="1"/>
        <v>1110005.75</v>
      </c>
      <c r="F212" s="100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75" customHeight="1">
      <c r="A213" s="4"/>
      <c r="B213" s="101"/>
      <c r="C213" s="4"/>
      <c r="D213" s="102"/>
      <c r="E213" s="103"/>
      <c r="F213" s="10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75" customHeight="1">
      <c r="A214" s="4"/>
      <c r="B214" s="101"/>
      <c r="C214" s="4"/>
      <c r="D214" s="102"/>
      <c r="E214" s="103"/>
      <c r="F214" s="10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75" customHeight="1">
      <c r="A215" s="4"/>
      <c r="B215" s="101"/>
      <c r="C215" s="4"/>
      <c r="D215" s="102"/>
      <c r="E215" s="103"/>
      <c r="F215" s="10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75" customHeight="1">
      <c r="A216" s="4"/>
      <c r="B216" s="101"/>
      <c r="C216" s="4"/>
      <c r="D216" s="102"/>
      <c r="E216" s="103"/>
      <c r="F216" s="10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75" customHeight="1">
      <c r="A217" s="4"/>
      <c r="B217" s="101"/>
      <c r="C217" s="4"/>
      <c r="D217" s="102"/>
      <c r="E217" s="103"/>
      <c r="F217" s="10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75" customHeight="1">
      <c r="A218" s="4"/>
      <c r="B218" s="101"/>
      <c r="C218" s="4"/>
      <c r="D218" s="102"/>
      <c r="E218" s="103"/>
      <c r="F218" s="10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75" customHeight="1">
      <c r="A219" s="4"/>
      <c r="B219" s="101"/>
      <c r="C219" s="4"/>
      <c r="D219" s="102"/>
      <c r="E219" s="103"/>
      <c r="F219" s="10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75" customHeight="1">
      <c r="A220" s="4"/>
      <c r="B220" s="101"/>
      <c r="C220" s="4"/>
      <c r="D220" s="102"/>
      <c r="E220" s="103"/>
      <c r="F220" s="10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2.75" customHeight="1">
      <c r="A221" s="4"/>
      <c r="B221" s="101"/>
      <c r="C221" s="4"/>
      <c r="D221" s="102"/>
      <c r="E221" s="103"/>
      <c r="F221" s="10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2.75" customHeight="1">
      <c r="A222" s="4"/>
      <c r="B222" s="101"/>
      <c r="C222" s="4"/>
      <c r="D222" s="102"/>
      <c r="E222" s="103"/>
      <c r="F222" s="10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2.75" customHeight="1">
      <c r="A223" s="4"/>
      <c r="B223" s="101"/>
      <c r="C223" s="4"/>
      <c r="D223" s="102"/>
      <c r="E223" s="103"/>
      <c r="F223" s="10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2.75" customHeight="1">
      <c r="A224" s="4"/>
      <c r="B224" s="101"/>
      <c r="C224" s="4"/>
      <c r="D224" s="102"/>
      <c r="E224" s="103"/>
      <c r="F224" s="10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2.75" customHeight="1">
      <c r="A225" s="4"/>
      <c r="B225" s="101"/>
      <c r="C225" s="4"/>
      <c r="D225" s="102"/>
      <c r="E225" s="103"/>
      <c r="F225" s="10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2.75" customHeight="1">
      <c r="A226" s="4"/>
      <c r="B226" s="101"/>
      <c r="C226" s="4"/>
      <c r="D226" s="102"/>
      <c r="E226" s="103"/>
      <c r="F226" s="10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2.75" customHeight="1">
      <c r="A227" s="4"/>
      <c r="B227" s="101"/>
      <c r="C227" s="4"/>
      <c r="D227" s="102"/>
      <c r="E227" s="103"/>
      <c r="F227" s="10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2.75" customHeight="1">
      <c r="A228" s="4"/>
      <c r="B228" s="101"/>
      <c r="C228" s="4"/>
      <c r="D228" s="102"/>
      <c r="E228" s="103"/>
      <c r="F228" s="10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2.75" customHeight="1">
      <c r="A229" s="4"/>
      <c r="B229" s="101"/>
      <c r="C229" s="4"/>
      <c r="D229" s="102"/>
      <c r="E229" s="103"/>
      <c r="F229" s="10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2.75" customHeight="1">
      <c r="A230" s="4"/>
      <c r="B230" s="101"/>
      <c r="C230" s="4"/>
      <c r="D230" s="102"/>
      <c r="E230" s="103"/>
      <c r="F230" s="10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2.75" customHeight="1">
      <c r="A231" s="4"/>
      <c r="B231" s="101"/>
      <c r="C231" s="4"/>
      <c r="D231" s="102"/>
      <c r="E231" s="103"/>
      <c r="F231" s="10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2.75" customHeight="1">
      <c r="A232" s="4"/>
      <c r="B232" s="101"/>
      <c r="C232" s="4"/>
      <c r="D232" s="102"/>
      <c r="E232" s="103"/>
      <c r="F232" s="10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2.75" customHeight="1">
      <c r="A233" s="4"/>
      <c r="B233" s="101"/>
      <c r="C233" s="4"/>
      <c r="D233" s="102"/>
      <c r="E233" s="103"/>
      <c r="F233" s="10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2.75" customHeight="1">
      <c r="A234" s="4"/>
      <c r="B234" s="101"/>
      <c r="C234" s="4"/>
      <c r="D234" s="102"/>
      <c r="E234" s="103"/>
      <c r="F234" s="10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2.75" customHeight="1">
      <c r="A235" s="4"/>
      <c r="B235" s="101"/>
      <c r="C235" s="4"/>
      <c r="D235" s="102"/>
      <c r="E235" s="103"/>
      <c r="F235" s="10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2.75" customHeight="1">
      <c r="A236" s="4"/>
      <c r="B236" s="101"/>
      <c r="C236" s="4"/>
      <c r="D236" s="102"/>
      <c r="E236" s="103"/>
      <c r="F236" s="10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2.75" customHeight="1">
      <c r="A237" s="4"/>
      <c r="B237" s="101"/>
      <c r="C237" s="4"/>
      <c r="D237" s="102"/>
      <c r="E237" s="103"/>
      <c r="F237" s="10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2.75" customHeight="1">
      <c r="A238" s="4"/>
      <c r="B238" s="101"/>
      <c r="C238" s="4"/>
      <c r="D238" s="102"/>
      <c r="E238" s="103"/>
      <c r="F238" s="10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2.75" customHeight="1">
      <c r="A239" s="4"/>
      <c r="B239" s="101"/>
      <c r="C239" s="4"/>
      <c r="D239" s="102"/>
      <c r="E239" s="103"/>
      <c r="F239" s="10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2.75" customHeight="1">
      <c r="A240" s="4"/>
      <c r="B240" s="101"/>
      <c r="C240" s="4"/>
      <c r="D240" s="102"/>
      <c r="E240" s="103"/>
      <c r="F240" s="10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2.75" customHeight="1">
      <c r="A241" s="4"/>
      <c r="B241" s="101"/>
      <c r="C241" s="4"/>
      <c r="D241" s="102"/>
      <c r="E241" s="103"/>
      <c r="F241" s="10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2.75" customHeight="1">
      <c r="A242" s="4"/>
      <c r="B242" s="101"/>
      <c r="C242" s="4"/>
      <c r="D242" s="102"/>
      <c r="E242" s="103"/>
      <c r="F242" s="10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2.75" customHeight="1">
      <c r="A243" s="4"/>
      <c r="B243" s="101"/>
      <c r="C243" s="4"/>
      <c r="D243" s="102"/>
      <c r="E243" s="103"/>
      <c r="F243" s="10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2.75" customHeight="1">
      <c r="A244" s="4"/>
      <c r="B244" s="101"/>
      <c r="C244" s="4"/>
      <c r="D244" s="102"/>
      <c r="E244" s="103"/>
      <c r="F244" s="10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2.75" customHeight="1">
      <c r="A245" s="4"/>
      <c r="B245" s="101"/>
      <c r="C245" s="4"/>
      <c r="D245" s="102"/>
      <c r="E245" s="103"/>
      <c r="F245" s="10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2.75" customHeight="1">
      <c r="A246" s="4"/>
      <c r="B246" s="101"/>
      <c r="C246" s="4"/>
      <c r="D246" s="102"/>
      <c r="E246" s="103"/>
      <c r="F246" s="10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2.75" customHeight="1">
      <c r="A247" s="4"/>
      <c r="B247" s="101"/>
      <c r="C247" s="4"/>
      <c r="D247" s="102"/>
      <c r="E247" s="103"/>
      <c r="F247" s="10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2.75" customHeight="1">
      <c r="A248" s="4"/>
      <c r="B248" s="101"/>
      <c r="C248" s="4"/>
      <c r="D248" s="102"/>
      <c r="E248" s="103"/>
      <c r="F248" s="10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2.75" customHeight="1">
      <c r="A249" s="4"/>
      <c r="B249" s="101"/>
      <c r="C249" s="4"/>
      <c r="D249" s="102"/>
      <c r="E249" s="103"/>
      <c r="F249" s="10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2.75" customHeight="1">
      <c r="A250" s="4"/>
      <c r="B250" s="101"/>
      <c r="C250" s="4"/>
      <c r="D250" s="102"/>
      <c r="E250" s="103"/>
      <c r="F250" s="10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2.75" customHeight="1">
      <c r="A251" s="4"/>
      <c r="B251" s="101"/>
      <c r="C251" s="4"/>
      <c r="D251" s="102"/>
      <c r="E251" s="103"/>
      <c r="F251" s="10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2.75" customHeight="1">
      <c r="A252" s="4"/>
      <c r="B252" s="101"/>
      <c r="C252" s="4"/>
      <c r="D252" s="102"/>
      <c r="E252" s="103"/>
      <c r="F252" s="10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2.75" customHeight="1">
      <c r="A253" s="4"/>
      <c r="B253" s="101"/>
      <c r="C253" s="4"/>
      <c r="D253" s="102"/>
      <c r="E253" s="103"/>
      <c r="F253" s="10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2.75" customHeight="1">
      <c r="A254" s="4"/>
      <c r="B254" s="101"/>
      <c r="C254" s="4"/>
      <c r="D254" s="102"/>
      <c r="E254" s="103"/>
      <c r="F254" s="10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2.75" customHeight="1">
      <c r="A255" s="4"/>
      <c r="B255" s="101"/>
      <c r="C255" s="4"/>
      <c r="D255" s="102"/>
      <c r="E255" s="103"/>
      <c r="F255" s="10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2.75" customHeight="1">
      <c r="A256" s="4"/>
      <c r="B256" s="101"/>
      <c r="C256" s="4"/>
      <c r="D256" s="102"/>
      <c r="E256" s="103"/>
      <c r="F256" s="10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2.75" customHeight="1">
      <c r="A257" s="4"/>
      <c r="B257" s="101"/>
      <c r="C257" s="4"/>
      <c r="D257" s="102"/>
      <c r="E257" s="103"/>
      <c r="F257" s="10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2.75" customHeight="1">
      <c r="A258" s="4"/>
      <c r="B258" s="101"/>
      <c r="C258" s="4"/>
      <c r="D258" s="102"/>
      <c r="E258" s="103"/>
      <c r="F258" s="10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2.75" customHeight="1">
      <c r="A259" s="4"/>
      <c r="B259" s="101"/>
      <c r="C259" s="4"/>
      <c r="D259" s="102"/>
      <c r="E259" s="103"/>
      <c r="F259" s="10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2.75" customHeight="1">
      <c r="A260" s="4"/>
      <c r="B260" s="101"/>
      <c r="C260" s="4"/>
      <c r="D260" s="102"/>
      <c r="E260" s="103"/>
      <c r="F260" s="10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2.75" customHeight="1">
      <c r="A261" s="4"/>
      <c r="B261" s="101"/>
      <c r="C261" s="4"/>
      <c r="D261" s="102"/>
      <c r="E261" s="103"/>
      <c r="F261" s="10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2.75" customHeight="1">
      <c r="A262" s="4"/>
      <c r="B262" s="101"/>
      <c r="C262" s="4"/>
      <c r="D262" s="102"/>
      <c r="E262" s="103"/>
      <c r="F262" s="10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2.75" customHeight="1">
      <c r="A263" s="4"/>
      <c r="B263" s="101"/>
      <c r="C263" s="4"/>
      <c r="D263" s="102"/>
      <c r="E263" s="103"/>
      <c r="F263" s="10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2.75" customHeight="1">
      <c r="A264" s="4"/>
      <c r="B264" s="101"/>
      <c r="C264" s="4"/>
      <c r="D264" s="102"/>
      <c r="E264" s="103"/>
      <c r="F264" s="10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2.75" customHeight="1">
      <c r="A265" s="4"/>
      <c r="B265" s="101"/>
      <c r="C265" s="4"/>
      <c r="D265" s="102"/>
      <c r="E265" s="103"/>
      <c r="F265" s="10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2.75" customHeight="1">
      <c r="A266" s="4"/>
      <c r="B266" s="101"/>
      <c r="C266" s="4"/>
      <c r="D266" s="102"/>
      <c r="E266" s="103"/>
      <c r="F266" s="10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2.75" customHeight="1">
      <c r="A267" s="4"/>
      <c r="B267" s="101"/>
      <c r="C267" s="4"/>
      <c r="D267" s="102"/>
      <c r="E267" s="103"/>
      <c r="F267" s="10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2.75" customHeight="1">
      <c r="A268" s="4"/>
      <c r="B268" s="101"/>
      <c r="C268" s="4"/>
      <c r="D268" s="102"/>
      <c r="E268" s="103"/>
      <c r="F268" s="10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2.75" customHeight="1">
      <c r="A269" s="4"/>
      <c r="B269" s="101"/>
      <c r="C269" s="4"/>
      <c r="D269" s="102"/>
      <c r="E269" s="103"/>
      <c r="F269" s="10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2.75" customHeight="1">
      <c r="A270" s="4"/>
      <c r="B270" s="101"/>
      <c r="C270" s="4"/>
      <c r="D270" s="102"/>
      <c r="E270" s="103"/>
      <c r="F270" s="10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2.75" customHeight="1">
      <c r="A271" s="4"/>
      <c r="B271" s="101"/>
      <c r="C271" s="4"/>
      <c r="D271" s="102"/>
      <c r="E271" s="103"/>
      <c r="F271" s="10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2.75" customHeight="1">
      <c r="A272" s="4"/>
      <c r="B272" s="101"/>
      <c r="C272" s="4"/>
      <c r="D272" s="102"/>
      <c r="E272" s="103"/>
      <c r="F272" s="10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2.75" customHeight="1">
      <c r="A273" s="4"/>
      <c r="B273" s="101"/>
      <c r="C273" s="4"/>
      <c r="D273" s="102"/>
      <c r="E273" s="103"/>
      <c r="F273" s="10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2.75" customHeight="1">
      <c r="A274" s="4"/>
      <c r="B274" s="101"/>
      <c r="C274" s="4"/>
      <c r="D274" s="102"/>
      <c r="E274" s="103"/>
      <c r="F274" s="10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2.75" customHeight="1">
      <c r="A275" s="4"/>
      <c r="B275" s="101"/>
      <c r="C275" s="4"/>
      <c r="D275" s="102"/>
      <c r="E275" s="103"/>
      <c r="F275" s="10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2.75" customHeight="1">
      <c r="A276" s="4"/>
      <c r="B276" s="101"/>
      <c r="C276" s="4"/>
      <c r="D276" s="102"/>
      <c r="E276" s="103"/>
      <c r="F276" s="10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2.75" customHeight="1">
      <c r="A277" s="4"/>
      <c r="B277" s="101"/>
      <c r="C277" s="4"/>
      <c r="D277" s="102"/>
      <c r="E277" s="103"/>
      <c r="F277" s="10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2.75" customHeight="1">
      <c r="A278" s="4"/>
      <c r="B278" s="101"/>
      <c r="C278" s="4"/>
      <c r="D278" s="102"/>
      <c r="E278" s="103"/>
      <c r="F278" s="10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2.75" customHeight="1">
      <c r="A279" s="4"/>
      <c r="B279" s="101"/>
      <c r="C279" s="4"/>
      <c r="D279" s="102"/>
      <c r="E279" s="103"/>
      <c r="F279" s="10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2.75" customHeight="1">
      <c r="A280" s="4"/>
      <c r="B280" s="101"/>
      <c r="C280" s="4"/>
      <c r="D280" s="102"/>
      <c r="E280" s="103"/>
      <c r="F280" s="10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2.75" customHeight="1">
      <c r="A281" s="4"/>
      <c r="B281" s="101"/>
      <c r="C281" s="4"/>
      <c r="D281" s="102"/>
      <c r="E281" s="103"/>
      <c r="F281" s="10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2.75" customHeight="1">
      <c r="A282" s="4"/>
      <c r="B282" s="101"/>
      <c r="C282" s="4"/>
      <c r="D282" s="102"/>
      <c r="E282" s="103"/>
      <c r="F282" s="10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2.75" customHeight="1">
      <c r="A283" s="4"/>
      <c r="B283" s="101"/>
      <c r="C283" s="4"/>
      <c r="D283" s="102"/>
      <c r="E283" s="103"/>
      <c r="F283" s="10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2.75" customHeight="1">
      <c r="A284" s="4"/>
      <c r="B284" s="101"/>
      <c r="C284" s="4"/>
      <c r="D284" s="102"/>
      <c r="E284" s="103"/>
      <c r="F284" s="10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2.75" customHeight="1">
      <c r="A285" s="4"/>
      <c r="B285" s="101"/>
      <c r="C285" s="4"/>
      <c r="D285" s="102"/>
      <c r="E285" s="103"/>
      <c r="F285" s="10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2.75" customHeight="1">
      <c r="A286" s="4"/>
      <c r="B286" s="101"/>
      <c r="C286" s="4"/>
      <c r="D286" s="102"/>
      <c r="E286" s="103"/>
      <c r="F286" s="10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2.75" customHeight="1">
      <c r="A287" s="4"/>
      <c r="B287" s="101"/>
      <c r="C287" s="4"/>
      <c r="D287" s="102"/>
      <c r="E287" s="103"/>
      <c r="F287" s="10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2.75" customHeight="1">
      <c r="A288" s="4"/>
      <c r="B288" s="101"/>
      <c r="C288" s="4"/>
      <c r="D288" s="102"/>
      <c r="E288" s="103"/>
      <c r="F288" s="10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2.75" customHeight="1">
      <c r="A289" s="4"/>
      <c r="B289" s="101"/>
      <c r="C289" s="4"/>
      <c r="D289" s="102"/>
      <c r="E289" s="103"/>
      <c r="F289" s="10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2.75" customHeight="1">
      <c r="A290" s="4"/>
      <c r="B290" s="101"/>
      <c r="C290" s="4"/>
      <c r="D290" s="102"/>
      <c r="E290" s="103"/>
      <c r="F290" s="10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2.75" customHeight="1">
      <c r="A291" s="4"/>
      <c r="B291" s="101"/>
      <c r="C291" s="4"/>
      <c r="D291" s="102"/>
      <c r="E291" s="103"/>
      <c r="F291" s="10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2.75" customHeight="1">
      <c r="A292" s="4"/>
      <c r="B292" s="101"/>
      <c r="C292" s="4"/>
      <c r="D292" s="102"/>
      <c r="E292" s="103"/>
      <c r="F292" s="10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2.75" customHeight="1">
      <c r="A293" s="4"/>
      <c r="B293" s="101"/>
      <c r="C293" s="4"/>
      <c r="D293" s="102"/>
      <c r="E293" s="103"/>
      <c r="F293" s="10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2.75" customHeight="1">
      <c r="A294" s="4"/>
      <c r="B294" s="101"/>
      <c r="C294" s="4"/>
      <c r="D294" s="102"/>
      <c r="E294" s="103"/>
      <c r="F294" s="10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2.75" customHeight="1">
      <c r="A295" s="4"/>
      <c r="B295" s="101"/>
      <c r="C295" s="4"/>
      <c r="D295" s="102"/>
      <c r="E295" s="103"/>
      <c r="F295" s="10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2.75" customHeight="1">
      <c r="A296" s="4"/>
      <c r="B296" s="101"/>
      <c r="C296" s="4"/>
      <c r="D296" s="102"/>
      <c r="E296" s="103"/>
      <c r="F296" s="10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2.75" customHeight="1">
      <c r="A297" s="4"/>
      <c r="B297" s="101"/>
      <c r="C297" s="4"/>
      <c r="D297" s="102"/>
      <c r="E297" s="103"/>
      <c r="F297" s="10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2.75" customHeight="1">
      <c r="A298" s="4"/>
      <c r="B298" s="101"/>
      <c r="C298" s="4"/>
      <c r="D298" s="102"/>
      <c r="E298" s="103"/>
      <c r="F298" s="10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2.75" customHeight="1">
      <c r="A299" s="4"/>
      <c r="B299" s="101"/>
      <c r="C299" s="4"/>
      <c r="D299" s="102"/>
      <c r="E299" s="103"/>
      <c r="F299" s="10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2.75" customHeight="1">
      <c r="A300" s="4"/>
      <c r="B300" s="101"/>
      <c r="C300" s="4"/>
      <c r="D300" s="102"/>
      <c r="E300" s="103"/>
      <c r="F300" s="10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2.75" customHeight="1">
      <c r="A301" s="4"/>
      <c r="B301" s="101"/>
      <c r="C301" s="4"/>
      <c r="D301" s="102"/>
      <c r="E301" s="103"/>
      <c r="F301" s="10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2.75" customHeight="1">
      <c r="A302" s="4"/>
      <c r="B302" s="101"/>
      <c r="C302" s="4"/>
      <c r="D302" s="102"/>
      <c r="E302" s="103"/>
      <c r="F302" s="10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2.75" customHeight="1">
      <c r="A303" s="4"/>
      <c r="B303" s="101"/>
      <c r="C303" s="4"/>
      <c r="D303" s="102"/>
      <c r="E303" s="103"/>
      <c r="F303" s="10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2.75" customHeight="1">
      <c r="A304" s="4"/>
      <c r="B304" s="101"/>
      <c r="C304" s="4"/>
      <c r="D304" s="102"/>
      <c r="E304" s="103"/>
      <c r="F304" s="10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2.75" customHeight="1">
      <c r="A305" s="4"/>
      <c r="B305" s="101"/>
      <c r="C305" s="4"/>
      <c r="D305" s="102"/>
      <c r="E305" s="103"/>
      <c r="F305" s="10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2.75" customHeight="1">
      <c r="A306" s="4"/>
      <c r="B306" s="101"/>
      <c r="C306" s="4"/>
      <c r="D306" s="102"/>
      <c r="E306" s="103"/>
      <c r="F306" s="10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2.75" customHeight="1">
      <c r="A307" s="4"/>
      <c r="B307" s="101"/>
      <c r="C307" s="4"/>
      <c r="D307" s="102"/>
      <c r="E307" s="103"/>
      <c r="F307" s="10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2.75" customHeight="1">
      <c r="A308" s="4"/>
      <c r="B308" s="101"/>
      <c r="C308" s="4"/>
      <c r="D308" s="102"/>
      <c r="E308" s="103"/>
      <c r="F308" s="10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2.75" customHeight="1">
      <c r="A309" s="4"/>
      <c r="B309" s="101"/>
      <c r="C309" s="4"/>
      <c r="D309" s="102"/>
      <c r="E309" s="103"/>
      <c r="F309" s="10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2.75" customHeight="1">
      <c r="A310" s="4"/>
      <c r="B310" s="101"/>
      <c r="C310" s="4"/>
      <c r="D310" s="102"/>
      <c r="E310" s="103"/>
      <c r="F310" s="10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2.75" customHeight="1">
      <c r="A311" s="4"/>
      <c r="B311" s="101"/>
      <c r="C311" s="4"/>
      <c r="D311" s="102"/>
      <c r="E311" s="103"/>
      <c r="F311" s="10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2.75" customHeight="1">
      <c r="A312" s="4"/>
      <c r="B312" s="101"/>
      <c r="C312" s="4"/>
      <c r="D312" s="102"/>
      <c r="E312" s="103"/>
      <c r="F312" s="10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2.75" customHeight="1">
      <c r="A313" s="4"/>
      <c r="B313" s="101"/>
      <c r="C313" s="4"/>
      <c r="D313" s="102"/>
      <c r="E313" s="103"/>
      <c r="F313" s="10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2.75" customHeight="1">
      <c r="A314" s="4"/>
      <c r="B314" s="101"/>
      <c r="C314" s="4"/>
      <c r="D314" s="102"/>
      <c r="E314" s="103"/>
      <c r="F314" s="10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2.75" customHeight="1">
      <c r="A315" s="4"/>
      <c r="B315" s="101"/>
      <c r="C315" s="4"/>
      <c r="D315" s="102"/>
      <c r="E315" s="103"/>
      <c r="F315" s="10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2.75" customHeight="1">
      <c r="A316" s="4"/>
      <c r="B316" s="101"/>
      <c r="C316" s="4"/>
      <c r="D316" s="102"/>
      <c r="E316" s="103"/>
      <c r="F316" s="10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2.75" customHeight="1">
      <c r="A317" s="4"/>
      <c r="B317" s="101"/>
      <c r="C317" s="4"/>
      <c r="D317" s="102"/>
      <c r="E317" s="103"/>
      <c r="F317" s="10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2.75" customHeight="1">
      <c r="A318" s="4"/>
      <c r="B318" s="101"/>
      <c r="C318" s="4"/>
      <c r="D318" s="102"/>
      <c r="E318" s="103"/>
      <c r="F318" s="10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2.75" customHeight="1">
      <c r="A319" s="4"/>
      <c r="B319" s="101"/>
      <c r="C319" s="4"/>
      <c r="D319" s="102"/>
      <c r="E319" s="103"/>
      <c r="F319" s="10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2.75" customHeight="1">
      <c r="A320" s="4"/>
      <c r="B320" s="101"/>
      <c r="C320" s="4"/>
      <c r="D320" s="102"/>
      <c r="E320" s="103"/>
      <c r="F320" s="10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2.75" customHeight="1">
      <c r="A321" s="4"/>
      <c r="B321" s="101"/>
      <c r="C321" s="4"/>
      <c r="D321" s="102"/>
      <c r="E321" s="103"/>
      <c r="F321" s="10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2.75" customHeight="1">
      <c r="A322" s="4"/>
      <c r="B322" s="101"/>
      <c r="C322" s="4"/>
      <c r="D322" s="102"/>
      <c r="E322" s="103"/>
      <c r="F322" s="10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2.75" customHeight="1">
      <c r="A323" s="4"/>
      <c r="B323" s="101"/>
      <c r="C323" s="4"/>
      <c r="D323" s="102"/>
      <c r="E323" s="103"/>
      <c r="F323" s="10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2.75" customHeight="1">
      <c r="A324" s="4"/>
      <c r="B324" s="101"/>
      <c r="C324" s="4"/>
      <c r="D324" s="102"/>
      <c r="E324" s="103"/>
      <c r="F324" s="10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2.75" customHeight="1">
      <c r="A325" s="4"/>
      <c r="B325" s="101"/>
      <c r="C325" s="4"/>
      <c r="D325" s="102"/>
      <c r="E325" s="103"/>
      <c r="F325" s="10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2.75" customHeight="1">
      <c r="A326" s="4"/>
      <c r="B326" s="101"/>
      <c r="C326" s="4"/>
      <c r="D326" s="102"/>
      <c r="E326" s="103"/>
      <c r="F326" s="10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2.75" customHeight="1">
      <c r="A327" s="4"/>
      <c r="B327" s="101"/>
      <c r="C327" s="4"/>
      <c r="D327" s="102"/>
      <c r="E327" s="103"/>
      <c r="F327" s="10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2.75" customHeight="1">
      <c r="A328" s="4"/>
      <c r="B328" s="101"/>
      <c r="C328" s="4"/>
      <c r="D328" s="102"/>
      <c r="E328" s="103"/>
      <c r="F328" s="10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2.75" customHeight="1">
      <c r="A329" s="4"/>
      <c r="B329" s="101"/>
      <c r="C329" s="4"/>
      <c r="D329" s="102"/>
      <c r="E329" s="103"/>
      <c r="F329" s="10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2.75" customHeight="1">
      <c r="A330" s="4"/>
      <c r="B330" s="101"/>
      <c r="C330" s="4"/>
      <c r="D330" s="102"/>
      <c r="E330" s="103"/>
      <c r="F330" s="10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2.75" customHeight="1">
      <c r="A331" s="4"/>
      <c r="B331" s="101"/>
      <c r="C331" s="4"/>
      <c r="D331" s="102"/>
      <c r="E331" s="103"/>
      <c r="F331" s="10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2.75" customHeight="1">
      <c r="A332" s="4"/>
      <c r="B332" s="101"/>
      <c r="C332" s="4"/>
      <c r="D332" s="102"/>
      <c r="E332" s="103"/>
      <c r="F332" s="10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2.75" customHeight="1">
      <c r="A333" s="4"/>
      <c r="B333" s="101"/>
      <c r="C333" s="4"/>
      <c r="D333" s="102"/>
      <c r="E333" s="103"/>
      <c r="F333" s="10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2.75" customHeight="1">
      <c r="A334" s="4"/>
      <c r="B334" s="101"/>
      <c r="C334" s="4"/>
      <c r="D334" s="102"/>
      <c r="E334" s="103"/>
      <c r="F334" s="10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2.75" customHeight="1">
      <c r="A335" s="4"/>
      <c r="B335" s="101"/>
      <c r="C335" s="4"/>
      <c r="D335" s="102"/>
      <c r="E335" s="103"/>
      <c r="F335" s="10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2.75" customHeight="1">
      <c r="A336" s="4"/>
      <c r="B336" s="101"/>
      <c r="C336" s="4"/>
      <c r="D336" s="102"/>
      <c r="E336" s="103"/>
      <c r="F336" s="10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2.75" customHeight="1">
      <c r="A337" s="4"/>
      <c r="B337" s="101"/>
      <c r="C337" s="4"/>
      <c r="D337" s="102"/>
      <c r="E337" s="103"/>
      <c r="F337" s="10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2.75" customHeight="1">
      <c r="A338" s="4"/>
      <c r="B338" s="101"/>
      <c r="C338" s="4"/>
      <c r="D338" s="102"/>
      <c r="E338" s="103"/>
      <c r="F338" s="10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2.75" customHeight="1">
      <c r="A339" s="4"/>
      <c r="B339" s="101"/>
      <c r="C339" s="4"/>
      <c r="D339" s="102"/>
      <c r="E339" s="103"/>
      <c r="F339" s="10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2.75" customHeight="1">
      <c r="A340" s="4"/>
      <c r="B340" s="101"/>
      <c r="C340" s="4"/>
      <c r="D340" s="102"/>
      <c r="E340" s="103"/>
      <c r="F340" s="10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2.75" customHeight="1">
      <c r="A341" s="4"/>
      <c r="B341" s="101"/>
      <c r="C341" s="4"/>
      <c r="D341" s="102"/>
      <c r="E341" s="103"/>
      <c r="F341" s="10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2.75" customHeight="1">
      <c r="A342" s="4"/>
      <c r="B342" s="101"/>
      <c r="C342" s="4"/>
      <c r="D342" s="102"/>
      <c r="E342" s="103"/>
      <c r="F342" s="10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2.75" customHeight="1">
      <c r="A343" s="4"/>
      <c r="B343" s="101"/>
      <c r="C343" s="4"/>
      <c r="D343" s="102"/>
      <c r="E343" s="103"/>
      <c r="F343" s="10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2.75" customHeight="1">
      <c r="A344" s="4"/>
      <c r="B344" s="101"/>
      <c r="C344" s="4"/>
      <c r="D344" s="102"/>
      <c r="E344" s="103"/>
      <c r="F344" s="10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2.75" customHeight="1">
      <c r="A345" s="4"/>
      <c r="B345" s="101"/>
      <c r="C345" s="4"/>
      <c r="D345" s="102"/>
      <c r="E345" s="103"/>
      <c r="F345" s="10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2.75" customHeight="1">
      <c r="A346" s="4"/>
      <c r="B346" s="101"/>
      <c r="C346" s="4"/>
      <c r="D346" s="102"/>
      <c r="E346" s="103"/>
      <c r="F346" s="10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2.75" customHeight="1">
      <c r="A347" s="4"/>
      <c r="B347" s="101"/>
      <c r="C347" s="4"/>
      <c r="D347" s="102"/>
      <c r="E347" s="103"/>
      <c r="F347" s="10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2.75" customHeight="1">
      <c r="A348" s="4"/>
      <c r="B348" s="101"/>
      <c r="C348" s="4"/>
      <c r="D348" s="102"/>
      <c r="E348" s="103"/>
      <c r="F348" s="10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2.75" customHeight="1">
      <c r="A349" s="4"/>
      <c r="B349" s="101"/>
      <c r="C349" s="4"/>
      <c r="D349" s="102"/>
      <c r="E349" s="103"/>
      <c r="F349" s="10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2.75" customHeight="1">
      <c r="A350" s="4"/>
      <c r="B350" s="101"/>
      <c r="C350" s="4"/>
      <c r="D350" s="102"/>
      <c r="E350" s="103"/>
      <c r="F350" s="10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2.75" customHeight="1">
      <c r="A351" s="4"/>
      <c r="B351" s="101"/>
      <c r="C351" s="4"/>
      <c r="D351" s="102"/>
      <c r="E351" s="103"/>
      <c r="F351" s="10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2.75" customHeight="1">
      <c r="A352" s="4"/>
      <c r="B352" s="101"/>
      <c r="C352" s="4"/>
      <c r="D352" s="102"/>
      <c r="E352" s="103"/>
      <c r="F352" s="10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2.75" customHeight="1">
      <c r="A353" s="4"/>
      <c r="B353" s="101"/>
      <c r="C353" s="4"/>
      <c r="D353" s="102"/>
      <c r="E353" s="103"/>
      <c r="F353" s="10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2.75" customHeight="1">
      <c r="A354" s="4"/>
      <c r="B354" s="101"/>
      <c r="C354" s="4"/>
      <c r="D354" s="102"/>
      <c r="E354" s="103"/>
      <c r="F354" s="10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2.75" customHeight="1">
      <c r="A355" s="4"/>
      <c r="B355" s="101"/>
      <c r="C355" s="4"/>
      <c r="D355" s="102"/>
      <c r="E355" s="103"/>
      <c r="F355" s="10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2.75" customHeight="1">
      <c r="A356" s="4"/>
      <c r="B356" s="101"/>
      <c r="C356" s="4"/>
      <c r="D356" s="102"/>
      <c r="E356" s="103"/>
      <c r="F356" s="10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2.75" customHeight="1">
      <c r="A357" s="4"/>
      <c r="B357" s="101"/>
      <c r="C357" s="4"/>
      <c r="D357" s="102"/>
      <c r="E357" s="103"/>
      <c r="F357" s="10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2.75" customHeight="1">
      <c r="A358" s="4"/>
      <c r="B358" s="101"/>
      <c r="C358" s="4"/>
      <c r="D358" s="102"/>
      <c r="E358" s="103"/>
      <c r="F358" s="10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2.75" customHeight="1">
      <c r="A359" s="4"/>
      <c r="B359" s="101"/>
      <c r="C359" s="4"/>
      <c r="D359" s="102"/>
      <c r="E359" s="103"/>
      <c r="F359" s="10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2.75" customHeight="1">
      <c r="A360" s="4"/>
      <c r="B360" s="101"/>
      <c r="C360" s="4"/>
      <c r="D360" s="102"/>
      <c r="E360" s="103"/>
      <c r="F360" s="10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2.75" customHeight="1">
      <c r="A361" s="4"/>
      <c r="B361" s="101"/>
      <c r="C361" s="4"/>
      <c r="D361" s="102"/>
      <c r="E361" s="103"/>
      <c r="F361" s="10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2.75" customHeight="1">
      <c r="A362" s="4"/>
      <c r="B362" s="101"/>
      <c r="C362" s="4"/>
      <c r="D362" s="102"/>
      <c r="E362" s="103"/>
      <c r="F362" s="10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2.75" customHeight="1">
      <c r="A363" s="4"/>
      <c r="B363" s="101"/>
      <c r="C363" s="4"/>
      <c r="D363" s="102"/>
      <c r="E363" s="103"/>
      <c r="F363" s="10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2.75" customHeight="1">
      <c r="A364" s="4"/>
      <c r="B364" s="101"/>
      <c r="C364" s="4"/>
      <c r="D364" s="102"/>
      <c r="E364" s="103"/>
      <c r="F364" s="10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2.75" customHeight="1">
      <c r="A365" s="4"/>
      <c r="B365" s="101"/>
      <c r="C365" s="4"/>
      <c r="D365" s="102"/>
      <c r="E365" s="103"/>
      <c r="F365" s="10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2.75" customHeight="1">
      <c r="A366" s="4"/>
      <c r="B366" s="101"/>
      <c r="C366" s="4"/>
      <c r="D366" s="102"/>
      <c r="E366" s="103"/>
      <c r="F366" s="10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2.75" customHeight="1">
      <c r="A367" s="4"/>
      <c r="B367" s="101"/>
      <c r="C367" s="4"/>
      <c r="D367" s="102"/>
      <c r="E367" s="103"/>
      <c r="F367" s="10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2.75" customHeight="1">
      <c r="A368" s="4"/>
      <c r="B368" s="101"/>
      <c r="C368" s="4"/>
      <c r="D368" s="102"/>
      <c r="E368" s="103"/>
      <c r="F368" s="10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2.75" customHeight="1">
      <c r="A369" s="4"/>
      <c r="B369" s="101"/>
      <c r="C369" s="4"/>
      <c r="D369" s="102"/>
      <c r="E369" s="103"/>
      <c r="F369" s="10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2.75" customHeight="1">
      <c r="A370" s="4"/>
      <c r="B370" s="101"/>
      <c r="C370" s="4"/>
      <c r="D370" s="102"/>
      <c r="E370" s="103"/>
      <c r="F370" s="10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2.75" customHeight="1">
      <c r="A371" s="4"/>
      <c r="B371" s="101"/>
      <c r="C371" s="4"/>
      <c r="D371" s="102"/>
      <c r="E371" s="103"/>
      <c r="F371" s="10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2.75" customHeight="1">
      <c r="A372" s="4"/>
      <c r="B372" s="101"/>
      <c r="C372" s="4"/>
      <c r="D372" s="102"/>
      <c r="E372" s="103"/>
      <c r="F372" s="10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2.75" customHeight="1">
      <c r="A373" s="4"/>
      <c r="B373" s="101"/>
      <c r="C373" s="4"/>
      <c r="D373" s="102"/>
      <c r="E373" s="103"/>
      <c r="F373" s="10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2.75" customHeight="1">
      <c r="A374" s="4"/>
      <c r="B374" s="101"/>
      <c r="C374" s="4"/>
      <c r="D374" s="102"/>
      <c r="E374" s="103"/>
      <c r="F374" s="10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2.75" customHeight="1">
      <c r="A375" s="4"/>
      <c r="B375" s="101"/>
      <c r="C375" s="4"/>
      <c r="D375" s="102"/>
      <c r="E375" s="103"/>
      <c r="F375" s="10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2.75" customHeight="1">
      <c r="A376" s="4"/>
      <c r="B376" s="101"/>
      <c r="C376" s="4"/>
      <c r="D376" s="102"/>
      <c r="E376" s="103"/>
      <c r="F376" s="10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2.75" customHeight="1">
      <c r="A377" s="4"/>
      <c r="B377" s="101"/>
      <c r="C377" s="4"/>
      <c r="D377" s="102"/>
      <c r="E377" s="103"/>
      <c r="F377" s="10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2.75" customHeight="1">
      <c r="A378" s="4"/>
      <c r="B378" s="101"/>
      <c r="C378" s="4"/>
      <c r="D378" s="102"/>
      <c r="E378" s="103"/>
      <c r="F378" s="10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2.75" customHeight="1">
      <c r="A379" s="4"/>
      <c r="B379" s="101"/>
      <c r="C379" s="4"/>
      <c r="D379" s="102"/>
      <c r="E379" s="103"/>
      <c r="F379" s="10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2.75" customHeight="1">
      <c r="A380" s="4"/>
      <c r="B380" s="101"/>
      <c r="C380" s="4"/>
      <c r="D380" s="102"/>
      <c r="E380" s="103"/>
      <c r="F380" s="10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2.75" customHeight="1">
      <c r="A381" s="4"/>
      <c r="B381" s="101"/>
      <c r="C381" s="4"/>
      <c r="D381" s="102"/>
      <c r="E381" s="103"/>
      <c r="F381" s="10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2.75" customHeight="1">
      <c r="A382" s="4"/>
      <c r="B382" s="101"/>
      <c r="C382" s="4"/>
      <c r="D382" s="102"/>
      <c r="E382" s="103"/>
      <c r="F382" s="10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2.75" customHeight="1">
      <c r="A383" s="4"/>
      <c r="B383" s="101"/>
      <c r="C383" s="4"/>
      <c r="D383" s="102"/>
      <c r="E383" s="103"/>
      <c r="F383" s="10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2.75" customHeight="1">
      <c r="A384" s="4"/>
      <c r="B384" s="101"/>
      <c r="C384" s="4"/>
      <c r="D384" s="102"/>
      <c r="E384" s="103"/>
      <c r="F384" s="10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2.75" customHeight="1">
      <c r="A385" s="4"/>
      <c r="B385" s="101"/>
      <c r="C385" s="4"/>
      <c r="D385" s="102"/>
      <c r="E385" s="103"/>
      <c r="F385" s="10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2.75" customHeight="1">
      <c r="A386" s="4"/>
      <c r="B386" s="101"/>
      <c r="C386" s="4"/>
      <c r="D386" s="102"/>
      <c r="E386" s="103"/>
      <c r="F386" s="10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2.75" customHeight="1">
      <c r="A387" s="4"/>
      <c r="B387" s="101"/>
      <c r="C387" s="4"/>
      <c r="D387" s="102"/>
      <c r="E387" s="103"/>
      <c r="F387" s="10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2.75" customHeight="1">
      <c r="A388" s="4"/>
      <c r="B388" s="101"/>
      <c r="C388" s="4"/>
      <c r="D388" s="102"/>
      <c r="E388" s="103"/>
      <c r="F388" s="10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2.75" customHeight="1">
      <c r="A389" s="4"/>
      <c r="B389" s="101"/>
      <c r="C389" s="4"/>
      <c r="D389" s="102"/>
      <c r="E389" s="103"/>
      <c r="F389" s="10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2.75" customHeight="1">
      <c r="A390" s="4"/>
      <c r="B390" s="101"/>
      <c r="C390" s="4"/>
      <c r="D390" s="102"/>
      <c r="E390" s="103"/>
      <c r="F390" s="10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2.75" customHeight="1">
      <c r="A391" s="4"/>
      <c r="B391" s="101"/>
      <c r="C391" s="4"/>
      <c r="D391" s="102"/>
      <c r="E391" s="103"/>
      <c r="F391" s="10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2.75" customHeight="1">
      <c r="A392" s="4"/>
      <c r="B392" s="101"/>
      <c r="C392" s="4"/>
      <c r="D392" s="102"/>
      <c r="E392" s="103"/>
      <c r="F392" s="10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2.75" customHeight="1">
      <c r="A393" s="4"/>
      <c r="B393" s="101"/>
      <c r="C393" s="4"/>
      <c r="D393" s="102"/>
      <c r="E393" s="103"/>
      <c r="F393" s="10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2.75" customHeight="1">
      <c r="A394" s="4"/>
      <c r="B394" s="101"/>
      <c r="C394" s="4"/>
      <c r="D394" s="102"/>
      <c r="E394" s="103"/>
      <c r="F394" s="10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2.75" customHeight="1">
      <c r="A395" s="4"/>
      <c r="B395" s="101"/>
      <c r="C395" s="4"/>
      <c r="D395" s="102"/>
      <c r="E395" s="103"/>
      <c r="F395" s="10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2.75" customHeight="1">
      <c r="A396" s="4"/>
      <c r="B396" s="101"/>
      <c r="C396" s="4"/>
      <c r="D396" s="102"/>
      <c r="E396" s="103"/>
      <c r="F396" s="10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2.75" customHeight="1">
      <c r="A397" s="4"/>
      <c r="B397" s="101"/>
      <c r="C397" s="4"/>
      <c r="D397" s="102"/>
      <c r="E397" s="103"/>
      <c r="F397" s="10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2.75" customHeight="1">
      <c r="A398" s="4"/>
      <c r="B398" s="101"/>
      <c r="C398" s="4"/>
      <c r="D398" s="102"/>
      <c r="E398" s="103"/>
      <c r="F398" s="10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2.75" customHeight="1">
      <c r="A399" s="4"/>
      <c r="B399" s="101"/>
      <c r="C399" s="4"/>
      <c r="D399" s="102"/>
      <c r="E399" s="103"/>
      <c r="F399" s="10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2.75" customHeight="1">
      <c r="A400" s="4"/>
      <c r="B400" s="101"/>
      <c r="C400" s="4"/>
      <c r="D400" s="102"/>
      <c r="E400" s="103"/>
      <c r="F400" s="10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2.75" customHeight="1">
      <c r="A401" s="4"/>
      <c r="B401" s="101"/>
      <c r="C401" s="4"/>
      <c r="D401" s="102"/>
      <c r="E401" s="103"/>
      <c r="F401" s="10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2.75" customHeight="1">
      <c r="A402" s="4"/>
      <c r="B402" s="101"/>
      <c r="C402" s="4"/>
      <c r="D402" s="102"/>
      <c r="E402" s="103"/>
      <c r="F402" s="10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2.75" customHeight="1">
      <c r="A403" s="4"/>
      <c r="B403" s="101"/>
      <c r="C403" s="4"/>
      <c r="D403" s="102"/>
      <c r="E403" s="103"/>
      <c r="F403" s="10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2.75" customHeight="1">
      <c r="A404" s="4"/>
      <c r="B404" s="101"/>
      <c r="C404" s="4"/>
      <c r="D404" s="102"/>
      <c r="E404" s="103"/>
      <c r="F404" s="10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2.75" customHeight="1">
      <c r="A405" s="4"/>
      <c r="B405" s="101"/>
      <c r="C405" s="4"/>
      <c r="D405" s="102"/>
      <c r="E405" s="103"/>
      <c r="F405" s="10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2.75" customHeight="1">
      <c r="A406" s="4"/>
      <c r="B406" s="101"/>
      <c r="C406" s="4"/>
      <c r="D406" s="102"/>
      <c r="E406" s="103"/>
      <c r="F406" s="10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2.75" customHeight="1">
      <c r="A407" s="4"/>
      <c r="B407" s="101"/>
      <c r="C407" s="4"/>
      <c r="D407" s="102"/>
      <c r="E407" s="103"/>
      <c r="F407" s="10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2.75" customHeight="1">
      <c r="A408" s="4"/>
      <c r="B408" s="101"/>
      <c r="C408" s="4"/>
      <c r="D408" s="102"/>
      <c r="E408" s="103"/>
      <c r="F408" s="10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2.75" customHeight="1">
      <c r="A409" s="4"/>
      <c r="B409" s="101"/>
      <c r="C409" s="4"/>
      <c r="D409" s="102"/>
      <c r="E409" s="103"/>
      <c r="F409" s="10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2.75" customHeight="1">
      <c r="A410" s="4"/>
      <c r="B410" s="101"/>
      <c r="C410" s="4"/>
      <c r="D410" s="102"/>
      <c r="E410" s="103"/>
      <c r="F410" s="10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2.75" customHeight="1">
      <c r="A411" s="4"/>
      <c r="B411" s="101"/>
      <c r="C411" s="4"/>
      <c r="D411" s="102"/>
      <c r="E411" s="103"/>
      <c r="F411" s="10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2.75" customHeight="1">
      <c r="A412" s="4"/>
      <c r="B412" s="101"/>
      <c r="C412" s="4"/>
      <c r="D412" s="102"/>
      <c r="E412" s="103"/>
      <c r="F412" s="10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6">
    <mergeCell ref="A101:B101"/>
    <mergeCell ref="A102:B102"/>
    <mergeCell ref="A106:B106"/>
    <mergeCell ref="A107:B107"/>
    <mergeCell ref="A111:B111"/>
    <mergeCell ref="A112:B112"/>
    <mergeCell ref="A116:B116"/>
    <mergeCell ref="A117:B117"/>
    <mergeCell ref="A121:B121"/>
    <mergeCell ref="A122:B122"/>
    <mergeCell ref="A126:B126"/>
    <mergeCell ref="A127:B127"/>
    <mergeCell ref="A131:B131"/>
    <mergeCell ref="A132:B132"/>
    <mergeCell ref="A141:B141"/>
    <mergeCell ref="A142:B142"/>
    <mergeCell ref="A146:B146"/>
    <mergeCell ref="A147:B147"/>
    <mergeCell ref="A151:B151"/>
    <mergeCell ref="A152:B152"/>
    <mergeCell ref="A156:B156"/>
    <mergeCell ref="A157:B157"/>
    <mergeCell ref="A161:B161"/>
    <mergeCell ref="A162:B162"/>
    <mergeCell ref="A166:B166"/>
    <mergeCell ref="A167:B167"/>
    <mergeCell ref="A171:B171"/>
    <mergeCell ref="A172:B172"/>
    <mergeCell ref="A192:B192"/>
    <mergeCell ref="A196:B196"/>
    <mergeCell ref="A197:B197"/>
    <mergeCell ref="A201:B201"/>
    <mergeCell ref="A202:B202"/>
    <mergeCell ref="A206:B206"/>
    <mergeCell ref="A207:B207"/>
    <mergeCell ref="A176:B176"/>
    <mergeCell ref="A177:B177"/>
    <mergeCell ref="A181:B181"/>
    <mergeCell ref="A182:B182"/>
    <mergeCell ref="A186:B186"/>
    <mergeCell ref="A187:B187"/>
    <mergeCell ref="A191:B191"/>
    <mergeCell ref="A1:F1"/>
    <mergeCell ref="A2:F2"/>
    <mergeCell ref="A3:F3"/>
    <mergeCell ref="A4:F4"/>
    <mergeCell ref="D7:E7"/>
    <mergeCell ref="A9:F9"/>
    <mergeCell ref="A11:B11"/>
    <mergeCell ref="A12:B12"/>
    <mergeCell ref="A16:B16"/>
    <mergeCell ref="A17:B17"/>
    <mergeCell ref="A21:B21"/>
    <mergeCell ref="A22:B22"/>
    <mergeCell ref="A26:B26"/>
    <mergeCell ref="A27:B27"/>
    <mergeCell ref="A31:B31"/>
    <mergeCell ref="A32:B32"/>
    <mergeCell ref="A36:B36"/>
    <mergeCell ref="A37:B37"/>
    <mergeCell ref="A41:B41"/>
    <mergeCell ref="A42:B42"/>
    <mergeCell ref="A46:B46"/>
    <mergeCell ref="A47:B47"/>
    <mergeCell ref="A51:B51"/>
    <mergeCell ref="A52:B52"/>
    <mergeCell ref="A56:B56"/>
    <mergeCell ref="A57:B57"/>
    <mergeCell ref="A61:B61"/>
    <mergeCell ref="A62:B62"/>
    <mergeCell ref="A66:B66"/>
    <mergeCell ref="A67:B67"/>
    <mergeCell ref="A71:B71"/>
    <mergeCell ref="A72:B72"/>
    <mergeCell ref="A76:B76"/>
    <mergeCell ref="A77:B77"/>
    <mergeCell ref="A81:B81"/>
    <mergeCell ref="A82:B82"/>
    <mergeCell ref="A86:B86"/>
    <mergeCell ref="A87:B87"/>
    <mergeCell ref="A91:B91"/>
    <mergeCell ref="A92:B92"/>
    <mergeCell ref="A96:B96"/>
    <mergeCell ref="A97:B97"/>
    <mergeCell ref="A136:B136"/>
    <mergeCell ref="A137:B137"/>
  </mergeCells>
  <printOptions/>
  <pageMargins bottom="0.75" footer="0.0" header="0.0" left="0.7" right="0.7" top="0.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2.63" defaultRowHeight="15.0"/>
  <cols>
    <col customWidth="1" min="1" max="1" width="72.13"/>
    <col customWidth="1" min="2" max="2" width="57.13"/>
    <col customWidth="1" min="3" max="3" width="21.88"/>
    <col customWidth="1" min="4" max="4" width="20.5"/>
    <col customWidth="1" min="5" max="6" width="22.88"/>
    <col customWidth="1" min="7" max="7" width="53.13"/>
    <col customWidth="1" min="8" max="8" width="50.13"/>
    <col customWidth="1" min="9" max="27" width="8.0"/>
  </cols>
  <sheetData>
    <row r="1" ht="12.75" customHeight="1">
      <c r="A1" s="1" t="s">
        <v>293</v>
      </c>
      <c r="B1" s="2"/>
      <c r="C1" s="2"/>
      <c r="D1" s="2"/>
      <c r="E1" s="2"/>
      <c r="F1" s="2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ht="12.75" customHeight="1">
      <c r="A2" s="5" t="s">
        <v>294</v>
      </c>
      <c r="B2" s="6"/>
      <c r="C2" s="6"/>
      <c r="D2" s="6"/>
      <c r="E2" s="6"/>
      <c r="F2" s="6"/>
      <c r="G2" s="7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ht="12.75" customHeight="1">
      <c r="A3" s="5" t="s">
        <v>2</v>
      </c>
      <c r="B3" s="6"/>
      <c r="C3" s="6"/>
      <c r="D3" s="6"/>
      <c r="E3" s="6"/>
      <c r="F3" s="6"/>
      <c r="G3" s="7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ht="12.75" customHeight="1">
      <c r="A4" s="5" t="s">
        <v>3</v>
      </c>
      <c r="B4" s="6"/>
      <c r="C4" s="6"/>
      <c r="D4" s="6"/>
      <c r="E4" s="6"/>
      <c r="F4" s="6"/>
      <c r="G4" s="7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ht="12.75" customHeight="1">
      <c r="A5" s="8"/>
      <c r="B5" s="9"/>
      <c r="C5" s="10"/>
      <c r="D5" s="11"/>
      <c r="E5" s="11"/>
      <c r="F5" s="11"/>
      <c r="G5" s="12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ht="12.75" customHeight="1">
      <c r="A6" s="13"/>
      <c r="B6" s="9"/>
      <c r="C6" s="10"/>
      <c r="D6" s="14"/>
      <c r="E6" s="14"/>
      <c r="F6" s="14"/>
      <c r="G6" s="15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ht="30.0" customHeight="1">
      <c r="A7" s="16"/>
      <c r="B7" s="9"/>
      <c r="C7" s="17"/>
      <c r="D7" s="18"/>
      <c r="E7" s="19"/>
      <c r="F7" s="278"/>
      <c r="G7" s="15" t="s">
        <v>3614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ht="30.0" customHeight="1">
      <c r="A8" s="20" t="s">
        <v>296</v>
      </c>
      <c r="B8" s="21"/>
      <c r="C8" s="22"/>
      <c r="D8" s="23"/>
      <c r="E8" s="23"/>
      <c r="F8" s="23"/>
      <c r="G8" s="2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ht="27.75" customHeight="1">
      <c r="A9" s="25" t="s">
        <v>3615</v>
      </c>
      <c r="B9" s="26"/>
      <c r="C9" s="26"/>
      <c r="D9" s="26"/>
      <c r="E9" s="26"/>
      <c r="F9" s="26"/>
      <c r="G9" s="27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ht="28.5" customHeight="1">
      <c r="A10" s="105"/>
      <c r="B10" s="106"/>
      <c r="C10" s="107"/>
      <c r="D10" s="108"/>
      <c r="E10" s="108"/>
      <c r="F10" s="108"/>
      <c r="G10" s="109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</row>
    <row r="11" ht="39.0" customHeight="1">
      <c r="A11" s="400" t="s">
        <v>3616</v>
      </c>
      <c r="B11" s="573"/>
      <c r="C11" s="574" t="s">
        <v>299</v>
      </c>
      <c r="D11" s="575" t="s">
        <v>9</v>
      </c>
      <c r="E11" s="576" t="s">
        <v>3617</v>
      </c>
      <c r="F11" s="576" t="s">
        <v>3618</v>
      </c>
      <c r="G11" s="577" t="s">
        <v>11</v>
      </c>
      <c r="H11" s="52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ht="15.75" customHeight="1">
      <c r="A12" s="197" t="s">
        <v>385</v>
      </c>
      <c r="B12" s="106"/>
      <c r="C12" s="578"/>
      <c r="D12" s="125"/>
      <c r="E12" s="126"/>
      <c r="F12" s="243"/>
      <c r="G12" s="579" t="s">
        <v>13</v>
      </c>
      <c r="H12" s="52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ht="15.75" customHeight="1">
      <c r="A13" s="153" t="s">
        <v>303</v>
      </c>
      <c r="B13" s="106" t="s">
        <v>304</v>
      </c>
      <c r="C13" s="580"/>
      <c r="D13" s="125"/>
      <c r="E13" s="126"/>
      <c r="F13" s="243"/>
      <c r="G13" s="581" t="s">
        <v>3619</v>
      </c>
      <c r="H13" s="52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ht="12.75" customHeight="1">
      <c r="A14" s="173" t="s">
        <v>3620</v>
      </c>
      <c r="B14" s="296" t="s">
        <v>361</v>
      </c>
      <c r="C14" s="582">
        <v>1036.0</v>
      </c>
      <c r="D14" s="131">
        <v>27707.69</v>
      </c>
      <c r="E14" s="132">
        <v>28677.19</v>
      </c>
      <c r="F14" s="246">
        <v>29202.19</v>
      </c>
      <c r="G14" s="583" t="s">
        <v>3621</v>
      </c>
      <c r="H14" s="52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ht="12.75" customHeight="1">
      <c r="A15" s="42"/>
      <c r="B15" s="9"/>
      <c r="C15" s="582"/>
      <c r="D15" s="131"/>
      <c r="E15" s="132"/>
      <c r="F15" s="246"/>
      <c r="G15" s="583" t="s">
        <v>3622</v>
      </c>
      <c r="H15" s="52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ht="12.75" customHeight="1">
      <c r="A16" s="42" t="s">
        <v>3623</v>
      </c>
      <c r="B16" s="135"/>
      <c r="C16" s="582"/>
      <c r="D16" s="131"/>
      <c r="E16" s="132"/>
      <c r="F16" s="246"/>
      <c r="G16" s="583" t="s">
        <v>3624</v>
      </c>
      <c r="H16" s="52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ht="12.75" customHeight="1">
      <c r="A17" s="42"/>
      <c r="B17" s="584"/>
      <c r="C17" s="582"/>
      <c r="D17" s="131"/>
      <c r="E17" s="132"/>
      <c r="F17" s="246"/>
      <c r="G17" s="581" t="s">
        <v>407</v>
      </c>
      <c r="H17" s="52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ht="12.75" customHeight="1">
      <c r="A18" s="42" t="s">
        <v>316</v>
      </c>
      <c r="B18" s="291"/>
      <c r="C18" s="582"/>
      <c r="D18" s="131"/>
      <c r="E18" s="132"/>
      <c r="F18" s="246"/>
      <c r="G18" s="581" t="s">
        <v>3625</v>
      </c>
      <c r="H18" s="52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ht="18.0" customHeight="1">
      <c r="A19" s="42"/>
      <c r="B19" s="106"/>
      <c r="C19" s="585">
        <f t="shared" ref="C19:D19" si="1">SUM(C12:C17)</f>
        <v>1036</v>
      </c>
      <c r="D19" s="145">
        <f t="shared" si="1"/>
        <v>27707.69</v>
      </c>
      <c r="E19" s="146">
        <f t="shared" ref="E19:F19" si="2">SUM(E12:E18)</f>
        <v>28677.19</v>
      </c>
      <c r="F19" s="146">
        <f t="shared" si="2"/>
        <v>29202.19</v>
      </c>
      <c r="G19" s="586" t="s">
        <v>3626</v>
      </c>
      <c r="H19" s="52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ht="41.25" customHeight="1">
      <c r="A20" s="587" t="s">
        <v>3627</v>
      </c>
      <c r="B20" s="588"/>
      <c r="C20" s="575" t="s">
        <v>299</v>
      </c>
      <c r="D20" s="575" t="s">
        <v>9</v>
      </c>
      <c r="E20" s="576" t="s">
        <v>3617</v>
      </c>
      <c r="F20" s="576" t="s">
        <v>3618</v>
      </c>
      <c r="G20" s="577" t="s">
        <v>11</v>
      </c>
      <c r="H20" s="52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ht="15.75" customHeight="1">
      <c r="A21" s="589" t="s">
        <v>572</v>
      </c>
      <c r="B21" s="590"/>
      <c r="C21" s="152"/>
      <c r="D21" s="119"/>
      <c r="E21" s="120"/>
      <c r="F21" s="120"/>
      <c r="G21" s="579" t="s">
        <v>13</v>
      </c>
      <c r="H21" s="52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ht="15.75" customHeight="1">
      <c r="A22" s="228" t="s">
        <v>303</v>
      </c>
      <c r="B22" s="229" t="s">
        <v>304</v>
      </c>
      <c r="C22" s="154"/>
      <c r="D22" s="125"/>
      <c r="E22" s="126"/>
      <c r="F22" s="126"/>
      <c r="G22" s="581" t="s">
        <v>3628</v>
      </c>
      <c r="H22" s="52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ht="12.75" customHeight="1">
      <c r="A23" s="591" t="s">
        <v>3620</v>
      </c>
      <c r="B23" s="592" t="s">
        <v>361</v>
      </c>
      <c r="C23" s="156">
        <v>2098.0</v>
      </c>
      <c r="D23" s="131">
        <v>53882.51</v>
      </c>
      <c r="E23" s="132">
        <v>55560.91</v>
      </c>
      <c r="F23" s="132">
        <v>56610.91</v>
      </c>
      <c r="G23" s="583" t="s">
        <v>3629</v>
      </c>
      <c r="H23" s="52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ht="12.75" customHeight="1">
      <c r="A24" s="593"/>
      <c r="B24" s="594"/>
      <c r="C24" s="156"/>
      <c r="D24" s="131"/>
      <c r="E24" s="132"/>
      <c r="F24" s="132"/>
      <c r="G24" s="583" t="s">
        <v>3630</v>
      </c>
      <c r="H24" s="52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ht="12.75" customHeight="1">
      <c r="A25" s="230" t="s">
        <v>3631</v>
      </c>
      <c r="B25" s="233" t="s">
        <v>3632</v>
      </c>
      <c r="C25" s="156"/>
      <c r="D25" s="131"/>
      <c r="E25" s="132"/>
      <c r="F25" s="246"/>
      <c r="G25" s="583" t="s">
        <v>3633</v>
      </c>
      <c r="H25" s="52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ht="12.75" customHeight="1">
      <c r="A26" s="232"/>
      <c r="B26" s="233"/>
      <c r="C26" s="156"/>
      <c r="D26" s="131"/>
      <c r="E26" s="132"/>
      <c r="F26" s="132"/>
      <c r="G26" s="581" t="s">
        <v>436</v>
      </c>
      <c r="H26" s="52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ht="12.75" customHeight="1">
      <c r="A27" s="232" t="s">
        <v>316</v>
      </c>
      <c r="B27" s="233"/>
      <c r="C27" s="156"/>
      <c r="D27" s="131"/>
      <c r="E27" s="132"/>
      <c r="F27" s="132"/>
      <c r="G27" s="581" t="s">
        <v>3634</v>
      </c>
      <c r="H27" s="52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ht="18.75" customHeight="1">
      <c r="A28" s="234"/>
      <c r="B28" s="235"/>
      <c r="C28" s="172">
        <f t="shared" ref="C28:F28" si="3">SUM(C21:C27)</f>
        <v>2098</v>
      </c>
      <c r="D28" s="145">
        <f t="shared" si="3"/>
        <v>53882.51</v>
      </c>
      <c r="E28" s="146">
        <f t="shared" si="3"/>
        <v>55560.91</v>
      </c>
      <c r="F28" s="146">
        <f t="shared" si="3"/>
        <v>56610.91</v>
      </c>
      <c r="G28" s="586" t="s">
        <v>3635</v>
      </c>
      <c r="H28" s="52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ht="43.5" customHeight="1">
      <c r="A29" s="587" t="s">
        <v>3636</v>
      </c>
      <c r="B29" s="595"/>
      <c r="C29" s="575" t="s">
        <v>299</v>
      </c>
      <c r="D29" s="575" t="s">
        <v>9</v>
      </c>
      <c r="E29" s="576" t="s">
        <v>3617</v>
      </c>
      <c r="F29" s="576" t="s">
        <v>3618</v>
      </c>
      <c r="G29" s="150" t="s">
        <v>11</v>
      </c>
      <c r="H29" s="52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ht="15.75" customHeight="1">
      <c r="A30" s="226" t="s">
        <v>572</v>
      </c>
      <c r="B30" s="227"/>
      <c r="C30" s="152"/>
      <c r="D30" s="119"/>
      <c r="E30" s="120"/>
      <c r="F30" s="120"/>
      <c r="G30" s="579" t="s">
        <v>13</v>
      </c>
      <c r="H30" s="52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ht="15.75" customHeight="1">
      <c r="A31" s="228" t="s">
        <v>303</v>
      </c>
      <c r="B31" s="229" t="s">
        <v>304</v>
      </c>
      <c r="C31" s="154"/>
      <c r="D31" s="125"/>
      <c r="E31" s="126"/>
      <c r="F31" s="126"/>
      <c r="G31" s="581" t="s">
        <v>3637</v>
      </c>
      <c r="H31" s="52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ht="12.75" customHeight="1">
      <c r="A32" s="591" t="s">
        <v>3638</v>
      </c>
      <c r="B32" s="592" t="s">
        <v>361</v>
      </c>
      <c r="C32" s="156">
        <v>1090.0</v>
      </c>
      <c r="D32" s="131">
        <v>27776.57</v>
      </c>
      <c r="E32" s="132">
        <v>28648.57</v>
      </c>
      <c r="F32" s="132">
        <v>29198.57</v>
      </c>
      <c r="G32" s="583" t="s">
        <v>3639</v>
      </c>
      <c r="H32" s="52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ht="12.75" customHeight="1">
      <c r="A33" s="593"/>
      <c r="B33" s="594"/>
      <c r="C33" s="156"/>
      <c r="D33" s="131"/>
      <c r="E33" s="132"/>
      <c r="F33" s="132"/>
      <c r="G33" s="583" t="s">
        <v>3640</v>
      </c>
      <c r="H33" s="52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ht="12.75" customHeight="1">
      <c r="A34" s="230" t="s">
        <v>3641</v>
      </c>
      <c r="B34" s="596"/>
      <c r="C34" s="156"/>
      <c r="D34" s="131"/>
      <c r="E34" s="132"/>
      <c r="F34" s="246"/>
      <c r="G34" s="583" t="s">
        <v>3642</v>
      </c>
      <c r="H34" s="52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ht="12.75" customHeight="1">
      <c r="A35" s="232"/>
      <c r="B35" s="597"/>
      <c r="C35" s="156"/>
      <c r="D35" s="131"/>
      <c r="E35" s="132"/>
      <c r="F35" s="132"/>
      <c r="G35" s="581" t="s">
        <v>3643</v>
      </c>
      <c r="H35" s="52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ht="15.0" customHeight="1">
      <c r="A36" s="232" t="s">
        <v>316</v>
      </c>
      <c r="B36" s="598"/>
      <c r="C36" s="156"/>
      <c r="D36" s="131"/>
      <c r="E36" s="132"/>
      <c r="F36" s="132"/>
      <c r="G36" s="581" t="s">
        <v>3644</v>
      </c>
      <c r="H36" s="52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ht="18.75" customHeight="1">
      <c r="A37" s="234"/>
      <c r="B37" s="235"/>
      <c r="C37" s="193">
        <f t="shared" ref="C37:D37" si="4">SUM(C32:C36)</f>
        <v>1090</v>
      </c>
      <c r="D37" s="139">
        <f t="shared" si="4"/>
        <v>27776.57</v>
      </c>
      <c r="E37" s="140">
        <f t="shared" ref="E37:F37" si="5">SUM(E30:E36)</f>
        <v>28648.57</v>
      </c>
      <c r="F37" s="140">
        <f t="shared" si="5"/>
        <v>29198.57</v>
      </c>
      <c r="G37" s="586" t="s">
        <v>3645</v>
      </c>
      <c r="H37" s="52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ht="43.5" customHeight="1">
      <c r="A38" s="400" t="s">
        <v>3646</v>
      </c>
      <c r="B38" s="573"/>
      <c r="C38" s="575" t="s">
        <v>299</v>
      </c>
      <c r="D38" s="575" t="s">
        <v>9</v>
      </c>
      <c r="E38" s="576" t="s">
        <v>3617</v>
      </c>
      <c r="F38" s="576" t="s">
        <v>3618</v>
      </c>
      <c r="G38" s="599" t="s">
        <v>11</v>
      </c>
      <c r="H38" s="52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ht="12.75" customHeight="1">
      <c r="A39" s="226" t="s">
        <v>319</v>
      </c>
      <c r="B39" s="227"/>
      <c r="C39" s="205"/>
      <c r="D39" s="185"/>
      <c r="E39" s="186"/>
      <c r="F39" s="186"/>
      <c r="G39" s="579" t="s">
        <v>13</v>
      </c>
      <c r="H39" s="52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ht="12.75" customHeight="1">
      <c r="A40" s="228" t="s">
        <v>303</v>
      </c>
      <c r="B40" s="229" t="s">
        <v>304</v>
      </c>
      <c r="C40" s="184"/>
      <c r="D40" s="185"/>
      <c r="E40" s="186"/>
      <c r="F40" s="186"/>
      <c r="G40" s="581" t="s">
        <v>3647</v>
      </c>
      <c r="H40" s="52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ht="12.75" customHeight="1">
      <c r="A41" s="591" t="s">
        <v>3620</v>
      </c>
      <c r="B41" s="592" t="s">
        <v>361</v>
      </c>
      <c r="C41" s="156">
        <v>6447.0</v>
      </c>
      <c r="D41" s="131">
        <v>169540.63</v>
      </c>
      <c r="E41" s="132">
        <v>174662.88</v>
      </c>
      <c r="F41" s="132">
        <v>177862.88</v>
      </c>
      <c r="G41" s="583" t="s">
        <v>3648</v>
      </c>
      <c r="H41" s="52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ht="12.75" customHeight="1">
      <c r="A42" s="230"/>
      <c r="B42" s="229"/>
      <c r="C42" s="156"/>
      <c r="D42" s="131"/>
      <c r="E42" s="132"/>
      <c r="F42" s="132"/>
      <c r="G42" s="583" t="s">
        <v>3649</v>
      </c>
      <c r="H42" s="52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ht="12.75" customHeight="1">
      <c r="A43" s="232" t="s">
        <v>3650</v>
      </c>
      <c r="B43" s="596" t="s">
        <v>3651</v>
      </c>
      <c r="C43" s="156"/>
      <c r="D43" s="131"/>
      <c r="E43" s="132"/>
      <c r="F43" s="246"/>
      <c r="G43" s="583" t="s">
        <v>3652</v>
      </c>
      <c r="H43" s="52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ht="12.75" customHeight="1">
      <c r="A44" s="232" t="s">
        <v>3653</v>
      </c>
      <c r="B44" s="596" t="s">
        <v>3654</v>
      </c>
      <c r="C44" s="156"/>
      <c r="D44" s="131"/>
      <c r="E44" s="132"/>
      <c r="F44" s="132"/>
      <c r="G44" s="581" t="s">
        <v>3655</v>
      </c>
      <c r="H44" s="52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ht="12.75" customHeight="1">
      <c r="A45" s="232" t="s">
        <v>3656</v>
      </c>
      <c r="B45" s="596" t="s">
        <v>3657</v>
      </c>
      <c r="C45" s="156"/>
      <c r="D45" s="131"/>
      <c r="E45" s="132"/>
      <c r="F45" s="132"/>
      <c r="G45" s="581" t="s">
        <v>3658</v>
      </c>
      <c r="H45" s="52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ht="12.75" customHeight="1">
      <c r="A46" s="232" t="s">
        <v>3659</v>
      </c>
      <c r="B46" s="596"/>
      <c r="C46" s="156"/>
      <c r="D46" s="131"/>
      <c r="E46" s="132"/>
      <c r="F46" s="132"/>
      <c r="G46" s="600" t="s">
        <v>3660</v>
      </c>
      <c r="H46" s="52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ht="12.75" customHeight="1">
      <c r="A47" s="232"/>
      <c r="B47" s="598"/>
      <c r="C47" s="156"/>
      <c r="D47" s="131"/>
      <c r="E47" s="132"/>
      <c r="F47" s="132"/>
      <c r="G47" s="141"/>
      <c r="H47" s="52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ht="12.75" customHeight="1">
      <c r="A48" s="232" t="s">
        <v>316</v>
      </c>
      <c r="B48" s="598"/>
      <c r="C48" s="156"/>
      <c r="D48" s="131"/>
      <c r="E48" s="132"/>
      <c r="F48" s="132"/>
      <c r="G48" s="141"/>
      <c r="H48" s="52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ht="18.75" customHeight="1">
      <c r="A49" s="601"/>
      <c r="B49" s="602"/>
      <c r="C49" s="163">
        <f t="shared" ref="C49:F49" si="6">SUM(C39:C48)</f>
        <v>6447</v>
      </c>
      <c r="D49" s="139">
        <f t="shared" si="6"/>
        <v>169540.63</v>
      </c>
      <c r="E49" s="140">
        <f t="shared" si="6"/>
        <v>174662.88</v>
      </c>
      <c r="F49" s="140">
        <f t="shared" si="6"/>
        <v>177862.88</v>
      </c>
      <c r="G49" s="141"/>
      <c r="H49" s="52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ht="42.0" customHeight="1">
      <c r="A50" s="400" t="s">
        <v>3661</v>
      </c>
      <c r="B50" s="573"/>
      <c r="C50" s="575" t="s">
        <v>299</v>
      </c>
      <c r="D50" s="575" t="s">
        <v>9</v>
      </c>
      <c r="E50" s="576" t="s">
        <v>3617</v>
      </c>
      <c r="F50" s="576" t="s">
        <v>3618</v>
      </c>
      <c r="G50" s="599" t="s">
        <v>11</v>
      </c>
      <c r="H50" s="52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ht="12.75" customHeight="1">
      <c r="A51" s="226" t="s">
        <v>319</v>
      </c>
      <c r="B51" s="227"/>
      <c r="C51" s="603"/>
      <c r="D51" s="207"/>
      <c r="E51" s="604"/>
      <c r="F51" s="218"/>
      <c r="G51" s="579" t="s">
        <v>13</v>
      </c>
      <c r="H51" s="52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ht="12.75" customHeight="1">
      <c r="A52" s="228" t="s">
        <v>303</v>
      </c>
      <c r="B52" s="229" t="s">
        <v>304</v>
      </c>
      <c r="C52" s="605"/>
      <c r="D52" s="209"/>
      <c r="E52" s="261"/>
      <c r="F52" s="220"/>
      <c r="G52" s="581" t="s">
        <v>3662</v>
      </c>
      <c r="H52" s="52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ht="12.75" customHeight="1">
      <c r="A53" s="591" t="s">
        <v>3638</v>
      </c>
      <c r="B53" s="592" t="s">
        <v>361</v>
      </c>
      <c r="C53" s="606">
        <v>7534.0</v>
      </c>
      <c r="D53" s="213">
        <v>195945.64</v>
      </c>
      <c r="E53" s="246">
        <v>202008.19</v>
      </c>
      <c r="F53" s="211">
        <v>205783.19</v>
      </c>
      <c r="G53" s="583" t="s">
        <v>3663</v>
      </c>
      <c r="H53" s="52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ht="12.75" customHeight="1">
      <c r="A54" s="230"/>
      <c r="B54" s="229"/>
      <c r="C54" s="606"/>
      <c r="D54" s="213"/>
      <c r="E54" s="261"/>
      <c r="F54" s="220"/>
      <c r="G54" s="583" t="s">
        <v>3664</v>
      </c>
      <c r="H54" s="52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ht="12.75" customHeight="1">
      <c r="A55" s="232" t="s">
        <v>3665</v>
      </c>
      <c r="B55" s="596" t="s">
        <v>3666</v>
      </c>
      <c r="C55" s="606"/>
      <c r="D55" s="213"/>
      <c r="E55" s="261"/>
      <c r="F55" s="220"/>
      <c r="G55" s="583" t="s">
        <v>3667</v>
      </c>
      <c r="H55" s="52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ht="12.75" customHeight="1">
      <c r="A56" s="232" t="s">
        <v>3668</v>
      </c>
      <c r="B56" s="596" t="s">
        <v>3669</v>
      </c>
      <c r="C56" s="606"/>
      <c r="D56" s="213"/>
      <c r="E56" s="246"/>
      <c r="F56" s="211"/>
      <c r="G56" s="581" t="s">
        <v>3670</v>
      </c>
      <c r="H56" s="52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ht="12.75" customHeight="1">
      <c r="A57" s="232" t="s">
        <v>3671</v>
      </c>
      <c r="B57" s="596" t="s">
        <v>3672</v>
      </c>
      <c r="C57" s="607"/>
      <c r="D57" s="213"/>
      <c r="E57" s="246"/>
      <c r="F57" s="211"/>
      <c r="G57" s="581" t="s">
        <v>3673</v>
      </c>
      <c r="H57" s="52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ht="12.75" customHeight="1">
      <c r="A58" s="232" t="s">
        <v>3674</v>
      </c>
      <c r="B58" s="596" t="s">
        <v>3675</v>
      </c>
      <c r="C58" s="607"/>
      <c r="D58" s="213"/>
      <c r="E58" s="246"/>
      <c r="F58" s="211"/>
      <c r="G58" s="600" t="s">
        <v>3676</v>
      </c>
      <c r="H58" s="52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ht="12.75" customHeight="1">
      <c r="A59" s="232"/>
      <c r="B59" s="598"/>
      <c r="C59" s="607"/>
      <c r="D59" s="213"/>
      <c r="E59" s="246"/>
      <c r="F59" s="211"/>
      <c r="G59" s="600"/>
      <c r="H59" s="52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ht="18.75" customHeight="1">
      <c r="A60" s="232" t="s">
        <v>316</v>
      </c>
      <c r="B60" s="598"/>
      <c r="C60" s="608"/>
      <c r="D60" s="609"/>
      <c r="E60" s="253"/>
      <c r="F60" s="610"/>
      <c r="G60" s="600"/>
      <c r="H60" s="52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ht="18.75" customHeight="1">
      <c r="A61" s="106"/>
      <c r="B61" s="135"/>
      <c r="C61" s="608">
        <f t="shared" ref="C61:D61" si="7">SUM(C51:C59)</f>
        <v>7534</v>
      </c>
      <c r="D61" s="609">
        <f t="shared" si="7"/>
        <v>195945.64</v>
      </c>
      <c r="E61" s="253">
        <f t="shared" ref="E61:F61" si="8">SUM(E51:E60)</f>
        <v>202008.19</v>
      </c>
      <c r="F61" s="610">
        <f t="shared" si="8"/>
        <v>205783.19</v>
      </c>
      <c r="G61" s="600"/>
      <c r="H61" s="52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ht="18.75" customHeight="1">
      <c r="A62" s="203"/>
      <c r="B62" s="382"/>
      <c r="C62" s="611"/>
      <c r="D62" s="215"/>
      <c r="E62" s="612"/>
      <c r="F62" s="224"/>
      <c r="G62" s="613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ht="18.0" customHeight="1">
      <c r="A63" s="266"/>
      <c r="B63" s="267"/>
      <c r="C63" s="494" t="s">
        <v>292</v>
      </c>
      <c r="D63" s="495" t="s">
        <v>292</v>
      </c>
      <c r="E63" s="614" t="s">
        <v>292</v>
      </c>
      <c r="F63" s="614" t="s">
        <v>292</v>
      </c>
      <c r="G63" s="615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ht="18.75" customHeight="1">
      <c r="A64" s="272"/>
      <c r="B64" s="273"/>
      <c r="C64" s="274">
        <f t="shared" ref="C64:F64" si="9">SUM(C19+C28+C37+C49+C61)</f>
        <v>18205</v>
      </c>
      <c r="D64" s="275">
        <f t="shared" si="9"/>
        <v>474853.04</v>
      </c>
      <c r="E64" s="276">
        <f t="shared" si="9"/>
        <v>489557.74</v>
      </c>
      <c r="F64" s="276">
        <f t="shared" si="9"/>
        <v>498657.74</v>
      </c>
      <c r="G64" s="277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ht="12.75" customHeight="1">
      <c r="A65" s="4"/>
      <c r="B65" s="101"/>
      <c r="C65" s="4"/>
      <c r="D65" s="102"/>
      <c r="E65" s="103"/>
      <c r="F65" s="103"/>
      <c r="G65" s="10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ht="12.75" customHeight="1">
      <c r="A66" s="4"/>
      <c r="B66" s="101"/>
      <c r="C66" s="4"/>
      <c r="D66" s="102"/>
      <c r="E66" s="103"/>
      <c r="F66" s="103"/>
      <c r="G66" s="10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ht="12.75" customHeight="1">
      <c r="A67" s="4"/>
      <c r="B67" s="101"/>
      <c r="C67" s="4"/>
      <c r="D67" s="102"/>
      <c r="E67" s="103"/>
      <c r="F67" s="103"/>
      <c r="G67" s="10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ht="12.75" customHeight="1">
      <c r="A68" s="4"/>
      <c r="B68" s="101"/>
      <c r="C68" s="4"/>
      <c r="D68" s="102"/>
      <c r="E68" s="103"/>
      <c r="F68" s="103"/>
      <c r="G68" s="10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ht="12.75" customHeight="1">
      <c r="A69" s="4"/>
      <c r="B69" s="101"/>
      <c r="C69" s="4"/>
      <c r="D69" s="102"/>
      <c r="E69" s="103"/>
      <c r="F69" s="103"/>
      <c r="G69" s="10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ht="12.75" customHeight="1">
      <c r="A70" s="4"/>
      <c r="B70" s="101"/>
      <c r="C70" s="4"/>
      <c r="D70" s="102"/>
      <c r="E70" s="103"/>
      <c r="F70" s="103"/>
      <c r="G70" s="10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ht="12.75" customHeight="1">
      <c r="A71" s="4"/>
      <c r="B71" s="101"/>
      <c r="C71" s="4"/>
      <c r="D71" s="102"/>
      <c r="E71" s="103"/>
      <c r="F71" s="103"/>
      <c r="G71" s="10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ht="12.75" customHeight="1">
      <c r="A72" s="4"/>
      <c r="B72" s="101"/>
      <c r="C72" s="4"/>
      <c r="D72" s="102"/>
      <c r="E72" s="103"/>
      <c r="F72" s="103"/>
      <c r="G72" s="10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ht="12.75" customHeight="1">
      <c r="A73" s="4"/>
      <c r="B73" s="101"/>
      <c r="C73" s="4"/>
      <c r="D73" s="102"/>
      <c r="E73" s="103"/>
      <c r="F73" s="103"/>
      <c r="G73" s="10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ht="12.75" customHeight="1">
      <c r="A74" s="4"/>
      <c r="B74" s="101"/>
      <c r="C74" s="4"/>
      <c r="D74" s="102"/>
      <c r="E74" s="103"/>
      <c r="F74" s="103"/>
      <c r="G74" s="10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ht="12.75" customHeight="1">
      <c r="A75" s="4"/>
      <c r="B75" s="101"/>
      <c r="C75" s="4"/>
      <c r="D75" s="102"/>
      <c r="E75" s="103"/>
      <c r="F75" s="103"/>
      <c r="G75" s="10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ht="12.75" customHeight="1">
      <c r="A76" s="4"/>
      <c r="B76" s="101"/>
      <c r="C76" s="4"/>
      <c r="D76" s="102"/>
      <c r="E76" s="103"/>
      <c r="F76" s="103"/>
      <c r="G76" s="10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ht="12.75" customHeight="1">
      <c r="A77" s="4"/>
      <c r="B77" s="101"/>
      <c r="C77" s="4"/>
      <c r="D77" s="102"/>
      <c r="E77" s="103"/>
      <c r="F77" s="103"/>
      <c r="G77" s="10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ht="12.75" customHeight="1">
      <c r="A78" s="4"/>
      <c r="B78" s="101"/>
      <c r="C78" s="4"/>
      <c r="D78" s="102"/>
      <c r="E78" s="103"/>
      <c r="F78" s="103"/>
      <c r="G78" s="10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ht="12.75" customHeight="1">
      <c r="A79" s="4"/>
      <c r="B79" s="101"/>
      <c r="C79" s="4"/>
      <c r="D79" s="102"/>
      <c r="E79" s="103"/>
      <c r="F79" s="103"/>
      <c r="G79" s="10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ht="12.75" customHeight="1">
      <c r="A80" s="4"/>
      <c r="B80" s="101"/>
      <c r="C80" s="4"/>
      <c r="D80" s="102"/>
      <c r="E80" s="103"/>
      <c r="F80" s="103"/>
      <c r="G80" s="10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ht="12.75" customHeight="1">
      <c r="A81" s="4"/>
      <c r="B81" s="101"/>
      <c r="C81" s="4"/>
      <c r="D81" s="102"/>
      <c r="E81" s="103"/>
      <c r="F81" s="103"/>
      <c r="G81" s="10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ht="12.75" customHeight="1">
      <c r="A82" s="4"/>
      <c r="B82" s="101"/>
      <c r="C82" s="4"/>
      <c r="D82" s="102"/>
      <c r="E82" s="103"/>
      <c r="F82" s="103"/>
      <c r="G82" s="10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ht="12.75" customHeight="1">
      <c r="A83" s="4"/>
      <c r="B83" s="101"/>
      <c r="C83" s="4"/>
      <c r="D83" s="102"/>
      <c r="E83" s="103"/>
      <c r="F83" s="103"/>
      <c r="G83" s="10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ht="12.75" customHeight="1">
      <c r="A84" s="4"/>
      <c r="B84" s="101"/>
      <c r="C84" s="4"/>
      <c r="D84" s="102"/>
      <c r="E84" s="103"/>
      <c r="F84" s="103"/>
      <c r="G84" s="10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ht="12.75" customHeight="1">
      <c r="A85" s="4"/>
      <c r="B85" s="101"/>
      <c r="C85" s="4"/>
      <c r="D85" s="102"/>
      <c r="E85" s="103"/>
      <c r="F85" s="103"/>
      <c r="G85" s="10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ht="12.75" customHeight="1">
      <c r="A86" s="4"/>
      <c r="B86" s="101"/>
      <c r="C86" s="4"/>
      <c r="D86" s="102"/>
      <c r="E86" s="103"/>
      <c r="F86" s="103"/>
      <c r="G86" s="10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ht="12.75" customHeight="1">
      <c r="A87" s="4"/>
      <c r="B87" s="101"/>
      <c r="C87" s="4"/>
      <c r="D87" s="102"/>
      <c r="E87" s="103"/>
      <c r="F87" s="103"/>
      <c r="G87" s="10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ht="12.75" customHeight="1">
      <c r="A88" s="4"/>
      <c r="B88" s="101"/>
      <c r="C88" s="4"/>
      <c r="D88" s="102"/>
      <c r="E88" s="103"/>
      <c r="F88" s="103"/>
      <c r="G88" s="10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ht="12.75" customHeight="1">
      <c r="A89" s="4"/>
      <c r="B89" s="101"/>
      <c r="C89" s="4"/>
      <c r="D89" s="102"/>
      <c r="E89" s="103"/>
      <c r="F89" s="103"/>
      <c r="G89" s="10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ht="12.75" customHeight="1">
      <c r="A90" s="4"/>
      <c r="B90" s="101"/>
      <c r="C90" s="4"/>
      <c r="D90" s="102"/>
      <c r="E90" s="103"/>
      <c r="F90" s="103"/>
      <c r="G90" s="10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ht="12.75" customHeight="1">
      <c r="A91" s="4"/>
      <c r="B91" s="101"/>
      <c r="C91" s="4"/>
      <c r="D91" s="102"/>
      <c r="E91" s="103"/>
      <c r="F91" s="103"/>
      <c r="G91" s="10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ht="12.75" customHeight="1">
      <c r="A92" s="4"/>
      <c r="B92" s="101"/>
      <c r="C92" s="4"/>
      <c r="D92" s="102"/>
      <c r="E92" s="103"/>
      <c r="F92" s="103"/>
      <c r="G92" s="10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ht="12.75" customHeight="1">
      <c r="A93" s="4"/>
      <c r="B93" s="101"/>
      <c r="C93" s="4"/>
      <c r="D93" s="102"/>
      <c r="E93" s="103"/>
      <c r="F93" s="103"/>
      <c r="G93" s="10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ht="12.75" customHeight="1">
      <c r="A94" s="4"/>
      <c r="B94" s="101"/>
      <c r="C94" s="4"/>
      <c r="D94" s="102"/>
      <c r="E94" s="103"/>
      <c r="F94" s="103"/>
      <c r="G94" s="10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ht="12.75" customHeight="1">
      <c r="A95" s="4"/>
      <c r="B95" s="101"/>
      <c r="C95" s="4"/>
      <c r="D95" s="102"/>
      <c r="E95" s="103"/>
      <c r="F95" s="103"/>
      <c r="G95" s="10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ht="12.75" customHeight="1">
      <c r="A96" s="4"/>
      <c r="B96" s="101"/>
      <c r="C96" s="4"/>
      <c r="D96" s="102"/>
      <c r="E96" s="103"/>
      <c r="F96" s="103"/>
      <c r="G96" s="10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ht="12.75" customHeight="1">
      <c r="A97" s="4"/>
      <c r="B97" s="101"/>
      <c r="C97" s="4"/>
      <c r="D97" s="102"/>
      <c r="E97" s="103"/>
      <c r="F97" s="103"/>
      <c r="G97" s="10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ht="12.75" customHeight="1">
      <c r="A98" s="4"/>
      <c r="B98" s="101"/>
      <c r="C98" s="4"/>
      <c r="D98" s="102"/>
      <c r="E98" s="103"/>
      <c r="F98" s="103"/>
      <c r="G98" s="10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ht="12.75" customHeight="1">
      <c r="A99" s="4"/>
      <c r="B99" s="101"/>
      <c r="C99" s="4"/>
      <c r="D99" s="102"/>
      <c r="E99" s="103"/>
      <c r="F99" s="103"/>
      <c r="G99" s="10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ht="12.75" customHeight="1">
      <c r="A100" s="4"/>
      <c r="B100" s="101"/>
      <c r="C100" s="4"/>
      <c r="D100" s="102"/>
      <c r="E100" s="103"/>
      <c r="F100" s="103"/>
      <c r="G100" s="10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ht="12.75" customHeight="1">
      <c r="A101" s="4"/>
      <c r="B101" s="101"/>
      <c r="C101" s="4"/>
      <c r="D101" s="102"/>
      <c r="E101" s="103"/>
      <c r="F101" s="103"/>
      <c r="G101" s="10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ht="12.75" customHeight="1">
      <c r="A102" s="4"/>
      <c r="B102" s="101"/>
      <c r="C102" s="4"/>
      <c r="D102" s="102"/>
      <c r="E102" s="103"/>
      <c r="F102" s="103"/>
      <c r="G102" s="10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ht="12.75" customHeight="1">
      <c r="A103" s="4"/>
      <c r="B103" s="101"/>
      <c r="C103" s="4"/>
      <c r="D103" s="102"/>
      <c r="E103" s="103"/>
      <c r="F103" s="103"/>
      <c r="G103" s="10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ht="12.75" customHeight="1">
      <c r="A104" s="4"/>
      <c r="B104" s="101"/>
      <c r="C104" s="4"/>
      <c r="D104" s="102"/>
      <c r="E104" s="103"/>
      <c r="F104" s="103"/>
      <c r="G104" s="10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ht="12.75" customHeight="1">
      <c r="A105" s="4"/>
      <c r="B105" s="101"/>
      <c r="C105" s="4"/>
      <c r="D105" s="102"/>
      <c r="E105" s="103"/>
      <c r="F105" s="103"/>
      <c r="G105" s="10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ht="12.75" customHeight="1">
      <c r="A106" s="4"/>
      <c r="B106" s="101"/>
      <c r="C106" s="4"/>
      <c r="D106" s="102"/>
      <c r="E106" s="103"/>
      <c r="F106" s="103"/>
      <c r="G106" s="10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ht="12.75" customHeight="1">
      <c r="A107" s="4"/>
      <c r="B107" s="101"/>
      <c r="C107" s="4"/>
      <c r="D107" s="102"/>
      <c r="E107" s="103"/>
      <c r="F107" s="103"/>
      <c r="G107" s="10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ht="12.75" customHeight="1">
      <c r="A108" s="4"/>
      <c r="B108" s="101"/>
      <c r="C108" s="4"/>
      <c r="D108" s="102"/>
      <c r="E108" s="103"/>
      <c r="F108" s="103"/>
      <c r="G108" s="10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ht="12.75" customHeight="1">
      <c r="A109" s="4"/>
      <c r="B109" s="101"/>
      <c r="C109" s="4"/>
      <c r="D109" s="102"/>
      <c r="E109" s="103"/>
      <c r="F109" s="103"/>
      <c r="G109" s="10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ht="12.75" customHeight="1">
      <c r="A110" s="4"/>
      <c r="B110" s="101"/>
      <c r="C110" s="4"/>
      <c r="D110" s="102"/>
      <c r="E110" s="103"/>
      <c r="F110" s="103"/>
      <c r="G110" s="10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ht="12.75" customHeight="1">
      <c r="A111" s="4"/>
      <c r="B111" s="101"/>
      <c r="C111" s="4"/>
      <c r="D111" s="102"/>
      <c r="E111" s="103"/>
      <c r="F111" s="103"/>
      <c r="G111" s="10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ht="12.75" customHeight="1">
      <c r="A112" s="4"/>
      <c r="B112" s="101"/>
      <c r="C112" s="4"/>
      <c r="D112" s="102"/>
      <c r="E112" s="103"/>
      <c r="F112" s="103"/>
      <c r="G112" s="10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ht="12.75" customHeight="1">
      <c r="A113" s="4"/>
      <c r="B113" s="101"/>
      <c r="C113" s="4"/>
      <c r="D113" s="102"/>
      <c r="E113" s="103"/>
      <c r="F113" s="103"/>
      <c r="G113" s="10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ht="12.75" customHeight="1">
      <c r="A114" s="4"/>
      <c r="B114" s="101"/>
      <c r="C114" s="4"/>
      <c r="D114" s="102"/>
      <c r="E114" s="103"/>
      <c r="F114" s="103"/>
      <c r="G114" s="10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ht="12.75" customHeight="1">
      <c r="A115" s="4"/>
      <c r="B115" s="101"/>
      <c r="C115" s="4"/>
      <c r="D115" s="102"/>
      <c r="E115" s="103"/>
      <c r="F115" s="103"/>
      <c r="G115" s="10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ht="12.75" customHeight="1">
      <c r="A116" s="4"/>
      <c r="B116" s="101"/>
      <c r="C116" s="4"/>
      <c r="D116" s="102"/>
      <c r="E116" s="103"/>
      <c r="F116" s="103"/>
      <c r="G116" s="10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ht="12.75" customHeight="1">
      <c r="A117" s="4"/>
      <c r="B117" s="101"/>
      <c r="C117" s="4"/>
      <c r="D117" s="102"/>
      <c r="E117" s="103"/>
      <c r="F117" s="103"/>
      <c r="G117" s="10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ht="12.75" customHeight="1">
      <c r="A118" s="4"/>
      <c r="B118" s="101"/>
      <c r="C118" s="4"/>
      <c r="D118" s="102"/>
      <c r="E118" s="103"/>
      <c r="F118" s="103"/>
      <c r="G118" s="10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ht="12.75" customHeight="1">
      <c r="A119" s="4"/>
      <c r="B119" s="101"/>
      <c r="C119" s="4"/>
      <c r="D119" s="102"/>
      <c r="E119" s="103"/>
      <c r="F119" s="103"/>
      <c r="G119" s="10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ht="12.75" customHeight="1">
      <c r="A120" s="4"/>
      <c r="B120" s="101"/>
      <c r="C120" s="4"/>
      <c r="D120" s="102"/>
      <c r="E120" s="103"/>
      <c r="F120" s="103"/>
      <c r="G120" s="10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ht="12.75" customHeight="1">
      <c r="A121" s="4"/>
      <c r="B121" s="101"/>
      <c r="C121" s="4"/>
      <c r="D121" s="102"/>
      <c r="E121" s="103"/>
      <c r="F121" s="103"/>
      <c r="G121" s="10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ht="12.75" customHeight="1">
      <c r="A122" s="4"/>
      <c r="B122" s="101"/>
      <c r="C122" s="4"/>
      <c r="D122" s="102"/>
      <c r="E122" s="103"/>
      <c r="F122" s="103"/>
      <c r="G122" s="10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ht="12.75" customHeight="1">
      <c r="A123" s="4"/>
      <c r="B123" s="101"/>
      <c r="C123" s="4"/>
      <c r="D123" s="102"/>
      <c r="E123" s="103"/>
      <c r="F123" s="103"/>
      <c r="G123" s="10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ht="12.75" customHeight="1">
      <c r="A124" s="4"/>
      <c r="B124" s="101"/>
      <c r="C124" s="4"/>
      <c r="D124" s="102"/>
      <c r="E124" s="103"/>
      <c r="F124" s="103"/>
      <c r="G124" s="10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ht="12.75" customHeight="1">
      <c r="A125" s="4"/>
      <c r="B125" s="101"/>
      <c r="C125" s="4"/>
      <c r="D125" s="102"/>
      <c r="E125" s="103"/>
      <c r="F125" s="103"/>
      <c r="G125" s="10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ht="12.75" customHeight="1">
      <c r="A126" s="4"/>
      <c r="B126" s="101"/>
      <c r="C126" s="4"/>
      <c r="D126" s="102"/>
      <c r="E126" s="103"/>
      <c r="F126" s="103"/>
      <c r="G126" s="10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ht="12.75" customHeight="1">
      <c r="A127" s="4"/>
      <c r="B127" s="101"/>
      <c r="C127" s="4"/>
      <c r="D127" s="102"/>
      <c r="E127" s="103"/>
      <c r="F127" s="103"/>
      <c r="G127" s="10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ht="12.75" customHeight="1">
      <c r="A128" s="4"/>
      <c r="B128" s="101"/>
      <c r="C128" s="4"/>
      <c r="D128" s="102"/>
      <c r="E128" s="103"/>
      <c r="F128" s="103"/>
      <c r="G128" s="10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ht="12.75" customHeight="1">
      <c r="A129" s="4"/>
      <c r="B129" s="101"/>
      <c r="C129" s="4"/>
      <c r="D129" s="102"/>
      <c r="E129" s="103"/>
      <c r="F129" s="103"/>
      <c r="G129" s="10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ht="12.75" customHeight="1">
      <c r="A130" s="4"/>
      <c r="B130" s="101"/>
      <c r="C130" s="4"/>
      <c r="D130" s="102"/>
      <c r="E130" s="103"/>
      <c r="F130" s="103"/>
      <c r="G130" s="10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ht="12.75" customHeight="1">
      <c r="A131" s="4"/>
      <c r="B131" s="101"/>
      <c r="C131" s="4"/>
      <c r="D131" s="102"/>
      <c r="E131" s="103"/>
      <c r="F131" s="103"/>
      <c r="G131" s="10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ht="12.75" customHeight="1">
      <c r="A132" s="4"/>
      <c r="B132" s="101"/>
      <c r="C132" s="4"/>
      <c r="D132" s="102"/>
      <c r="E132" s="103"/>
      <c r="F132" s="103"/>
      <c r="G132" s="10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ht="12.75" customHeight="1">
      <c r="A133" s="4"/>
      <c r="B133" s="101"/>
      <c r="C133" s="4"/>
      <c r="D133" s="102"/>
      <c r="E133" s="103"/>
      <c r="F133" s="103"/>
      <c r="G133" s="10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ht="12.75" customHeight="1">
      <c r="A134" s="4"/>
      <c r="B134" s="101"/>
      <c r="C134" s="4"/>
      <c r="D134" s="102"/>
      <c r="E134" s="103"/>
      <c r="F134" s="103"/>
      <c r="G134" s="10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ht="12.75" customHeight="1">
      <c r="A135" s="4"/>
      <c r="B135" s="101"/>
      <c r="C135" s="4"/>
      <c r="D135" s="102"/>
      <c r="E135" s="103"/>
      <c r="F135" s="103"/>
      <c r="G135" s="10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ht="12.75" customHeight="1">
      <c r="A136" s="4"/>
      <c r="B136" s="101"/>
      <c r="C136" s="4"/>
      <c r="D136" s="102"/>
      <c r="E136" s="103"/>
      <c r="F136" s="103"/>
      <c r="G136" s="10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ht="12.75" customHeight="1">
      <c r="A137" s="4"/>
      <c r="B137" s="101"/>
      <c r="C137" s="4"/>
      <c r="D137" s="102"/>
      <c r="E137" s="103"/>
      <c r="F137" s="103"/>
      <c r="G137" s="10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ht="12.75" customHeight="1">
      <c r="A138" s="4"/>
      <c r="B138" s="101"/>
      <c r="C138" s="4"/>
      <c r="D138" s="102"/>
      <c r="E138" s="103"/>
      <c r="F138" s="103"/>
      <c r="G138" s="10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ht="12.75" customHeight="1">
      <c r="A139" s="4"/>
      <c r="B139" s="101"/>
      <c r="C139" s="4"/>
      <c r="D139" s="102"/>
      <c r="E139" s="103"/>
      <c r="F139" s="103"/>
      <c r="G139" s="10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ht="12.75" customHeight="1">
      <c r="A140" s="4"/>
      <c r="B140" s="101"/>
      <c r="C140" s="4"/>
      <c r="D140" s="102"/>
      <c r="E140" s="103"/>
      <c r="F140" s="103"/>
      <c r="G140" s="10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ht="12.75" customHeight="1">
      <c r="A141" s="4"/>
      <c r="B141" s="101"/>
      <c r="C141" s="4"/>
      <c r="D141" s="102"/>
      <c r="E141" s="103"/>
      <c r="F141" s="103"/>
      <c r="G141" s="10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ht="12.75" customHeight="1">
      <c r="A142" s="4"/>
      <c r="B142" s="101"/>
      <c r="C142" s="4"/>
      <c r="D142" s="102"/>
      <c r="E142" s="103"/>
      <c r="F142" s="103"/>
      <c r="G142" s="10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ht="12.75" customHeight="1">
      <c r="A143" s="4"/>
      <c r="B143" s="101"/>
      <c r="C143" s="4"/>
      <c r="D143" s="102"/>
      <c r="E143" s="103"/>
      <c r="F143" s="103"/>
      <c r="G143" s="10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ht="12.75" customHeight="1">
      <c r="A144" s="4"/>
      <c r="B144" s="101"/>
      <c r="C144" s="4"/>
      <c r="D144" s="102"/>
      <c r="E144" s="103"/>
      <c r="F144" s="103"/>
      <c r="G144" s="10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ht="12.75" customHeight="1">
      <c r="A145" s="4"/>
      <c r="B145" s="101"/>
      <c r="C145" s="4"/>
      <c r="D145" s="102"/>
      <c r="E145" s="103"/>
      <c r="F145" s="103"/>
      <c r="G145" s="10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ht="12.75" customHeight="1">
      <c r="A146" s="4"/>
      <c r="B146" s="101"/>
      <c r="C146" s="4"/>
      <c r="D146" s="102"/>
      <c r="E146" s="103"/>
      <c r="F146" s="103"/>
      <c r="G146" s="10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ht="12.75" customHeight="1">
      <c r="A147" s="4"/>
      <c r="B147" s="101"/>
      <c r="C147" s="4"/>
      <c r="D147" s="102"/>
      <c r="E147" s="103"/>
      <c r="F147" s="103"/>
      <c r="G147" s="10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ht="12.75" customHeight="1">
      <c r="A148" s="4"/>
      <c r="B148" s="101"/>
      <c r="C148" s="4"/>
      <c r="D148" s="102"/>
      <c r="E148" s="103"/>
      <c r="F148" s="103"/>
      <c r="G148" s="10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ht="12.75" customHeight="1">
      <c r="A149" s="4"/>
      <c r="B149" s="101"/>
      <c r="C149" s="4"/>
      <c r="D149" s="102"/>
      <c r="E149" s="103"/>
      <c r="F149" s="103"/>
      <c r="G149" s="10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ht="12.75" customHeight="1">
      <c r="A150" s="4"/>
      <c r="B150" s="101"/>
      <c r="C150" s="4"/>
      <c r="D150" s="102"/>
      <c r="E150" s="103"/>
      <c r="F150" s="103"/>
      <c r="G150" s="10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ht="12.75" customHeight="1">
      <c r="A151" s="4"/>
      <c r="B151" s="101"/>
      <c r="C151" s="4"/>
      <c r="D151" s="102"/>
      <c r="E151" s="103"/>
      <c r="F151" s="103"/>
      <c r="G151" s="10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ht="12.75" customHeight="1">
      <c r="A152" s="4"/>
      <c r="B152" s="101"/>
      <c r="C152" s="4"/>
      <c r="D152" s="102"/>
      <c r="E152" s="103"/>
      <c r="F152" s="103"/>
      <c r="G152" s="10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ht="12.75" customHeight="1">
      <c r="A153" s="4"/>
      <c r="B153" s="101"/>
      <c r="C153" s="4"/>
      <c r="D153" s="102"/>
      <c r="E153" s="103"/>
      <c r="F153" s="103"/>
      <c r="G153" s="10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ht="12.75" customHeight="1">
      <c r="A154" s="4"/>
      <c r="B154" s="101"/>
      <c r="C154" s="4"/>
      <c r="D154" s="102"/>
      <c r="E154" s="103"/>
      <c r="F154" s="103"/>
      <c r="G154" s="10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ht="12.75" customHeight="1">
      <c r="A155" s="4"/>
      <c r="B155" s="101"/>
      <c r="C155" s="4"/>
      <c r="D155" s="102"/>
      <c r="E155" s="103"/>
      <c r="F155" s="103"/>
      <c r="G155" s="10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ht="12.75" customHeight="1">
      <c r="A156" s="4"/>
      <c r="B156" s="101"/>
      <c r="C156" s="4"/>
      <c r="D156" s="102"/>
      <c r="E156" s="103"/>
      <c r="F156" s="103"/>
      <c r="G156" s="10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ht="12.75" customHeight="1">
      <c r="A157" s="4"/>
      <c r="B157" s="101"/>
      <c r="C157" s="4"/>
      <c r="D157" s="102"/>
      <c r="E157" s="103"/>
      <c r="F157" s="103"/>
      <c r="G157" s="10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ht="12.75" customHeight="1">
      <c r="A158" s="4"/>
      <c r="B158" s="101"/>
      <c r="C158" s="4"/>
      <c r="D158" s="102"/>
      <c r="E158" s="103"/>
      <c r="F158" s="103"/>
      <c r="G158" s="10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ht="12.75" customHeight="1">
      <c r="A159" s="4"/>
      <c r="B159" s="101"/>
      <c r="C159" s="4"/>
      <c r="D159" s="102"/>
      <c r="E159" s="103"/>
      <c r="F159" s="103"/>
      <c r="G159" s="10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ht="12.75" customHeight="1">
      <c r="A160" s="4"/>
      <c r="B160" s="101"/>
      <c r="C160" s="4"/>
      <c r="D160" s="102"/>
      <c r="E160" s="103"/>
      <c r="F160" s="103"/>
      <c r="G160" s="10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ht="12.75" customHeight="1">
      <c r="A161" s="4"/>
      <c r="B161" s="101"/>
      <c r="C161" s="4"/>
      <c r="D161" s="102"/>
      <c r="E161" s="103"/>
      <c r="F161" s="103"/>
      <c r="G161" s="10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ht="12.75" customHeight="1">
      <c r="A162" s="4"/>
      <c r="B162" s="101"/>
      <c r="C162" s="4"/>
      <c r="D162" s="102"/>
      <c r="E162" s="103"/>
      <c r="F162" s="103"/>
      <c r="G162" s="10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ht="12.75" customHeight="1">
      <c r="A163" s="4"/>
      <c r="B163" s="101"/>
      <c r="C163" s="4"/>
      <c r="D163" s="102"/>
      <c r="E163" s="103"/>
      <c r="F163" s="103"/>
      <c r="G163" s="10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ht="12.75" customHeight="1">
      <c r="A164" s="4"/>
      <c r="B164" s="101"/>
      <c r="C164" s="4"/>
      <c r="D164" s="102"/>
      <c r="E164" s="103"/>
      <c r="F164" s="103"/>
      <c r="G164" s="10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ht="12.75" customHeight="1">
      <c r="A165" s="4"/>
      <c r="B165" s="101"/>
      <c r="C165" s="4"/>
      <c r="D165" s="102"/>
      <c r="E165" s="103"/>
      <c r="F165" s="103"/>
      <c r="G165" s="10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ht="12.75" customHeight="1">
      <c r="A166" s="4"/>
      <c r="B166" s="101"/>
      <c r="C166" s="4"/>
      <c r="D166" s="102"/>
      <c r="E166" s="103"/>
      <c r="F166" s="103"/>
      <c r="G166" s="10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ht="12.75" customHeight="1">
      <c r="A167" s="4"/>
      <c r="B167" s="101"/>
      <c r="C167" s="4"/>
      <c r="D167" s="102"/>
      <c r="E167" s="103"/>
      <c r="F167" s="103"/>
      <c r="G167" s="10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ht="12.75" customHeight="1">
      <c r="A168" s="4"/>
      <c r="B168" s="101"/>
      <c r="C168" s="4"/>
      <c r="D168" s="102"/>
      <c r="E168" s="103"/>
      <c r="F168" s="103"/>
      <c r="G168" s="10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ht="12.75" customHeight="1">
      <c r="A169" s="4"/>
      <c r="B169" s="101"/>
      <c r="C169" s="4"/>
      <c r="D169" s="102"/>
      <c r="E169" s="103"/>
      <c r="F169" s="103"/>
      <c r="G169" s="10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ht="12.75" customHeight="1">
      <c r="A170" s="4"/>
      <c r="B170" s="101"/>
      <c r="C170" s="4"/>
      <c r="D170" s="102"/>
      <c r="E170" s="103"/>
      <c r="F170" s="103"/>
      <c r="G170" s="10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ht="12.75" customHeight="1">
      <c r="A171" s="4"/>
      <c r="B171" s="101"/>
      <c r="C171" s="4"/>
      <c r="D171" s="102"/>
      <c r="E171" s="103"/>
      <c r="F171" s="103"/>
      <c r="G171" s="10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ht="12.75" customHeight="1">
      <c r="A172" s="4"/>
      <c r="B172" s="101"/>
      <c r="C172" s="4"/>
      <c r="D172" s="102"/>
      <c r="E172" s="103"/>
      <c r="F172" s="103"/>
      <c r="G172" s="10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ht="12.75" customHeight="1">
      <c r="A173" s="4"/>
      <c r="B173" s="101"/>
      <c r="C173" s="4"/>
      <c r="D173" s="102"/>
      <c r="E173" s="103"/>
      <c r="F173" s="103"/>
      <c r="G173" s="10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ht="12.75" customHeight="1">
      <c r="A174" s="4"/>
      <c r="B174" s="101"/>
      <c r="C174" s="4"/>
      <c r="D174" s="102"/>
      <c r="E174" s="103"/>
      <c r="F174" s="103"/>
      <c r="G174" s="10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ht="12.75" customHeight="1">
      <c r="A175" s="4"/>
      <c r="B175" s="101"/>
      <c r="C175" s="4"/>
      <c r="D175" s="102"/>
      <c r="E175" s="103"/>
      <c r="F175" s="103"/>
      <c r="G175" s="10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ht="12.75" customHeight="1">
      <c r="A176" s="4"/>
      <c r="B176" s="101"/>
      <c r="C176" s="4"/>
      <c r="D176" s="102"/>
      <c r="E176" s="103"/>
      <c r="F176" s="103"/>
      <c r="G176" s="10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ht="12.75" customHeight="1">
      <c r="A177" s="4"/>
      <c r="B177" s="101"/>
      <c r="C177" s="4"/>
      <c r="D177" s="102"/>
      <c r="E177" s="103"/>
      <c r="F177" s="103"/>
      <c r="G177" s="10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ht="12.75" customHeight="1">
      <c r="A178" s="4"/>
      <c r="B178" s="101"/>
      <c r="C178" s="4"/>
      <c r="D178" s="102"/>
      <c r="E178" s="103"/>
      <c r="F178" s="103"/>
      <c r="G178" s="10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ht="12.75" customHeight="1">
      <c r="A179" s="4"/>
      <c r="B179" s="101"/>
      <c r="C179" s="4"/>
      <c r="D179" s="102"/>
      <c r="E179" s="103"/>
      <c r="F179" s="103"/>
      <c r="G179" s="10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ht="12.75" customHeight="1">
      <c r="A180" s="4"/>
      <c r="B180" s="101"/>
      <c r="C180" s="4"/>
      <c r="D180" s="102"/>
      <c r="E180" s="103"/>
      <c r="F180" s="103"/>
      <c r="G180" s="10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ht="12.75" customHeight="1">
      <c r="A181" s="4"/>
      <c r="B181" s="101"/>
      <c r="C181" s="4"/>
      <c r="D181" s="102"/>
      <c r="E181" s="103"/>
      <c r="F181" s="103"/>
      <c r="G181" s="10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ht="12.75" customHeight="1">
      <c r="A182" s="4"/>
      <c r="B182" s="101"/>
      <c r="C182" s="4"/>
      <c r="D182" s="102"/>
      <c r="E182" s="103"/>
      <c r="F182" s="103"/>
      <c r="G182" s="10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ht="12.75" customHeight="1">
      <c r="A183" s="4"/>
      <c r="B183" s="101"/>
      <c r="C183" s="4"/>
      <c r="D183" s="102"/>
      <c r="E183" s="103"/>
      <c r="F183" s="103"/>
      <c r="G183" s="10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ht="12.75" customHeight="1">
      <c r="A184" s="4"/>
      <c r="B184" s="101"/>
      <c r="C184" s="4"/>
      <c r="D184" s="102"/>
      <c r="E184" s="103"/>
      <c r="F184" s="103"/>
      <c r="G184" s="10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ht="12.75" customHeight="1">
      <c r="A185" s="4"/>
      <c r="B185" s="101"/>
      <c r="C185" s="4"/>
      <c r="D185" s="102"/>
      <c r="E185" s="103"/>
      <c r="F185" s="103"/>
      <c r="G185" s="10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ht="12.75" customHeight="1">
      <c r="A186" s="4"/>
      <c r="B186" s="101"/>
      <c r="C186" s="4"/>
      <c r="D186" s="102"/>
      <c r="E186" s="103"/>
      <c r="F186" s="103"/>
      <c r="G186" s="10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ht="12.75" customHeight="1">
      <c r="A187" s="4"/>
      <c r="B187" s="101"/>
      <c r="C187" s="4"/>
      <c r="D187" s="102"/>
      <c r="E187" s="103"/>
      <c r="F187" s="103"/>
      <c r="G187" s="10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ht="12.75" customHeight="1">
      <c r="A188" s="4"/>
      <c r="B188" s="101"/>
      <c r="C188" s="4"/>
      <c r="D188" s="102"/>
      <c r="E188" s="103"/>
      <c r="F188" s="103"/>
      <c r="G188" s="10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ht="12.75" customHeight="1">
      <c r="A189" s="4"/>
      <c r="B189" s="101"/>
      <c r="C189" s="4"/>
      <c r="D189" s="102"/>
      <c r="E189" s="103"/>
      <c r="F189" s="103"/>
      <c r="G189" s="10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ht="12.75" customHeight="1">
      <c r="A190" s="4"/>
      <c r="B190" s="101"/>
      <c r="C190" s="4"/>
      <c r="D190" s="102"/>
      <c r="E190" s="103"/>
      <c r="F190" s="103"/>
      <c r="G190" s="10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ht="12.75" customHeight="1">
      <c r="A191" s="4"/>
      <c r="B191" s="101"/>
      <c r="C191" s="4"/>
      <c r="D191" s="102"/>
      <c r="E191" s="103"/>
      <c r="F191" s="103"/>
      <c r="G191" s="10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ht="12.75" customHeight="1">
      <c r="A192" s="4"/>
      <c r="B192" s="101"/>
      <c r="C192" s="4"/>
      <c r="D192" s="102"/>
      <c r="E192" s="103"/>
      <c r="F192" s="103"/>
      <c r="G192" s="10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ht="12.75" customHeight="1">
      <c r="A193" s="4"/>
      <c r="B193" s="101"/>
      <c r="C193" s="4"/>
      <c r="D193" s="102"/>
      <c r="E193" s="103"/>
      <c r="F193" s="103"/>
      <c r="G193" s="10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ht="12.75" customHeight="1">
      <c r="A194" s="4"/>
      <c r="B194" s="101"/>
      <c r="C194" s="4"/>
      <c r="D194" s="102"/>
      <c r="E194" s="103"/>
      <c r="F194" s="103"/>
      <c r="G194" s="10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ht="12.75" customHeight="1">
      <c r="A195" s="4"/>
      <c r="B195" s="101"/>
      <c r="C195" s="4"/>
      <c r="D195" s="102"/>
      <c r="E195" s="103"/>
      <c r="F195" s="103"/>
      <c r="G195" s="10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ht="12.75" customHeight="1">
      <c r="A196" s="4"/>
      <c r="B196" s="101"/>
      <c r="C196" s="4"/>
      <c r="D196" s="102"/>
      <c r="E196" s="103"/>
      <c r="F196" s="103"/>
      <c r="G196" s="10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ht="12.75" customHeight="1">
      <c r="A197" s="4"/>
      <c r="B197" s="101"/>
      <c r="C197" s="4"/>
      <c r="D197" s="102"/>
      <c r="E197" s="103"/>
      <c r="F197" s="103"/>
      <c r="G197" s="10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ht="12.75" customHeight="1">
      <c r="A198" s="4"/>
      <c r="B198" s="101"/>
      <c r="C198" s="4"/>
      <c r="D198" s="102"/>
      <c r="E198" s="103"/>
      <c r="F198" s="103"/>
      <c r="G198" s="10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ht="12.75" customHeight="1">
      <c r="A199" s="4"/>
      <c r="B199" s="101"/>
      <c r="C199" s="4"/>
      <c r="D199" s="102"/>
      <c r="E199" s="103"/>
      <c r="F199" s="103"/>
      <c r="G199" s="10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ht="12.75" customHeight="1">
      <c r="A200" s="4"/>
      <c r="B200" s="101"/>
      <c r="C200" s="4"/>
      <c r="D200" s="102"/>
      <c r="E200" s="103"/>
      <c r="F200" s="103"/>
      <c r="G200" s="10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ht="12.75" customHeight="1">
      <c r="A201" s="4"/>
      <c r="B201" s="101"/>
      <c r="C201" s="4"/>
      <c r="D201" s="102"/>
      <c r="E201" s="103"/>
      <c r="F201" s="103"/>
      <c r="G201" s="10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ht="12.75" customHeight="1">
      <c r="A202" s="4"/>
      <c r="B202" s="101"/>
      <c r="C202" s="4"/>
      <c r="D202" s="102"/>
      <c r="E202" s="103"/>
      <c r="F202" s="103"/>
      <c r="G202" s="10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ht="12.75" customHeight="1">
      <c r="A203" s="4"/>
      <c r="B203" s="101"/>
      <c r="C203" s="4"/>
      <c r="D203" s="102"/>
      <c r="E203" s="103"/>
      <c r="F203" s="103"/>
      <c r="G203" s="10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ht="12.75" customHeight="1">
      <c r="A204" s="4"/>
      <c r="B204" s="101"/>
      <c r="C204" s="4"/>
      <c r="D204" s="102"/>
      <c r="E204" s="103"/>
      <c r="F204" s="103"/>
      <c r="G204" s="10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ht="12.75" customHeight="1">
      <c r="A205" s="4"/>
      <c r="B205" s="101"/>
      <c r="C205" s="4"/>
      <c r="D205" s="102"/>
      <c r="E205" s="103"/>
      <c r="F205" s="103"/>
      <c r="G205" s="10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ht="12.75" customHeight="1">
      <c r="A206" s="4"/>
      <c r="B206" s="101"/>
      <c r="C206" s="4"/>
      <c r="D206" s="102"/>
      <c r="E206" s="103"/>
      <c r="F206" s="103"/>
      <c r="G206" s="10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ht="12.75" customHeight="1">
      <c r="A207" s="4"/>
      <c r="B207" s="101"/>
      <c r="C207" s="4"/>
      <c r="D207" s="102"/>
      <c r="E207" s="103"/>
      <c r="F207" s="103"/>
      <c r="G207" s="10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ht="12.75" customHeight="1">
      <c r="A208" s="4"/>
      <c r="B208" s="101"/>
      <c r="C208" s="4"/>
      <c r="D208" s="102"/>
      <c r="E208" s="103"/>
      <c r="F208" s="103"/>
      <c r="G208" s="10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ht="12.75" customHeight="1">
      <c r="A209" s="4"/>
      <c r="B209" s="101"/>
      <c r="C209" s="4"/>
      <c r="D209" s="102"/>
      <c r="E209" s="103"/>
      <c r="F209" s="103"/>
      <c r="G209" s="10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ht="12.75" customHeight="1">
      <c r="A210" s="4"/>
      <c r="B210" s="101"/>
      <c r="C210" s="4"/>
      <c r="D210" s="102"/>
      <c r="E210" s="103"/>
      <c r="F210" s="103"/>
      <c r="G210" s="10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ht="12.75" customHeight="1">
      <c r="A211" s="4"/>
      <c r="B211" s="101"/>
      <c r="C211" s="4"/>
      <c r="D211" s="102"/>
      <c r="E211" s="103"/>
      <c r="F211" s="103"/>
      <c r="G211" s="10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ht="12.75" customHeight="1">
      <c r="A212" s="4"/>
      <c r="B212" s="101"/>
      <c r="C212" s="4"/>
      <c r="D212" s="102"/>
      <c r="E212" s="103"/>
      <c r="F212" s="103"/>
      <c r="G212" s="10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ht="12.75" customHeight="1">
      <c r="A213" s="4"/>
      <c r="B213" s="101"/>
      <c r="C213" s="4"/>
      <c r="D213" s="102"/>
      <c r="E213" s="103"/>
      <c r="F213" s="103"/>
      <c r="G213" s="10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ht="12.75" customHeight="1">
      <c r="A214" s="4"/>
      <c r="B214" s="101"/>
      <c r="C214" s="4"/>
      <c r="D214" s="102"/>
      <c r="E214" s="103"/>
      <c r="F214" s="103"/>
      <c r="G214" s="10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ht="12.75" customHeight="1">
      <c r="A215" s="4"/>
      <c r="B215" s="101"/>
      <c r="C215" s="4"/>
      <c r="D215" s="102"/>
      <c r="E215" s="103"/>
      <c r="F215" s="103"/>
      <c r="G215" s="10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ht="12.75" customHeight="1">
      <c r="A216" s="4"/>
      <c r="B216" s="101"/>
      <c r="C216" s="4"/>
      <c r="D216" s="102"/>
      <c r="E216" s="103"/>
      <c r="F216" s="103"/>
      <c r="G216" s="10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ht="12.75" customHeight="1">
      <c r="A217" s="4"/>
      <c r="B217" s="101"/>
      <c r="C217" s="4"/>
      <c r="D217" s="102"/>
      <c r="E217" s="103"/>
      <c r="F217" s="103"/>
      <c r="G217" s="10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ht="12.75" customHeight="1">
      <c r="A218" s="4"/>
      <c r="B218" s="101"/>
      <c r="C218" s="4"/>
      <c r="D218" s="102"/>
      <c r="E218" s="103"/>
      <c r="F218" s="103"/>
      <c r="G218" s="10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ht="12.75" customHeight="1">
      <c r="A219" s="4"/>
      <c r="B219" s="101"/>
      <c r="C219" s="4"/>
      <c r="D219" s="102"/>
      <c r="E219" s="103"/>
      <c r="F219" s="103"/>
      <c r="G219" s="10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ht="12.75" customHeight="1">
      <c r="A220" s="4"/>
      <c r="B220" s="101"/>
      <c r="C220" s="4"/>
      <c r="D220" s="102"/>
      <c r="E220" s="103"/>
      <c r="F220" s="103"/>
      <c r="G220" s="10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ht="12.75" customHeight="1">
      <c r="A221" s="4"/>
      <c r="B221" s="101"/>
      <c r="C221" s="4"/>
      <c r="D221" s="102"/>
      <c r="E221" s="103"/>
      <c r="F221" s="103"/>
      <c r="G221" s="10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ht="12.75" customHeight="1">
      <c r="A222" s="4"/>
      <c r="B222" s="101"/>
      <c r="C222" s="4"/>
      <c r="D222" s="102"/>
      <c r="E222" s="103"/>
      <c r="F222" s="103"/>
      <c r="G222" s="10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ht="12.75" customHeight="1">
      <c r="A223" s="4"/>
      <c r="B223" s="101"/>
      <c r="C223" s="4"/>
      <c r="D223" s="102"/>
      <c r="E223" s="103"/>
      <c r="F223" s="103"/>
      <c r="G223" s="10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ht="12.75" customHeight="1">
      <c r="A224" s="4"/>
      <c r="B224" s="101"/>
      <c r="C224" s="4"/>
      <c r="D224" s="102"/>
      <c r="E224" s="103"/>
      <c r="F224" s="103"/>
      <c r="G224" s="10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ht="12.75" customHeight="1">
      <c r="A225" s="4"/>
      <c r="B225" s="101"/>
      <c r="C225" s="4"/>
      <c r="D225" s="102"/>
      <c r="E225" s="103"/>
      <c r="F225" s="103"/>
      <c r="G225" s="10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ht="12.75" customHeight="1">
      <c r="A226" s="4"/>
      <c r="B226" s="101"/>
      <c r="C226" s="4"/>
      <c r="D226" s="102"/>
      <c r="E226" s="103"/>
      <c r="F226" s="103"/>
      <c r="G226" s="10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ht="12.75" customHeight="1">
      <c r="A227" s="4"/>
      <c r="B227" s="101"/>
      <c r="C227" s="4"/>
      <c r="D227" s="102"/>
      <c r="E227" s="103"/>
      <c r="F227" s="103"/>
      <c r="G227" s="10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ht="12.75" customHeight="1">
      <c r="A228" s="4"/>
      <c r="B228" s="101"/>
      <c r="C228" s="4"/>
      <c r="D228" s="102"/>
      <c r="E228" s="103"/>
      <c r="F228" s="103"/>
      <c r="G228" s="10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ht="12.75" customHeight="1">
      <c r="A229" s="4"/>
      <c r="B229" s="101"/>
      <c r="C229" s="4"/>
      <c r="D229" s="102"/>
      <c r="E229" s="103"/>
      <c r="F229" s="103"/>
      <c r="G229" s="10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ht="12.75" customHeight="1">
      <c r="A230" s="4"/>
      <c r="B230" s="101"/>
      <c r="C230" s="4"/>
      <c r="D230" s="102"/>
      <c r="E230" s="103"/>
      <c r="F230" s="103"/>
      <c r="G230" s="10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ht="12.75" customHeight="1">
      <c r="A231" s="4"/>
      <c r="B231" s="101"/>
      <c r="C231" s="4"/>
      <c r="D231" s="102"/>
      <c r="E231" s="103"/>
      <c r="F231" s="103"/>
      <c r="G231" s="10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ht="12.75" customHeight="1">
      <c r="A232" s="4"/>
      <c r="B232" s="101"/>
      <c r="C232" s="4"/>
      <c r="D232" s="102"/>
      <c r="E232" s="103"/>
      <c r="F232" s="103"/>
      <c r="G232" s="10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ht="12.75" customHeight="1">
      <c r="A233" s="4"/>
      <c r="B233" s="101"/>
      <c r="C233" s="4"/>
      <c r="D233" s="102"/>
      <c r="E233" s="103"/>
      <c r="F233" s="103"/>
      <c r="G233" s="10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ht="12.75" customHeight="1">
      <c r="A234" s="4"/>
      <c r="B234" s="101"/>
      <c r="C234" s="4"/>
      <c r="D234" s="102"/>
      <c r="E234" s="103"/>
      <c r="F234" s="103"/>
      <c r="G234" s="10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ht="12.75" customHeight="1">
      <c r="A235" s="4"/>
      <c r="B235" s="101"/>
      <c r="C235" s="4"/>
      <c r="D235" s="102"/>
      <c r="E235" s="103"/>
      <c r="F235" s="103"/>
      <c r="G235" s="10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ht="12.75" customHeight="1">
      <c r="A236" s="4"/>
      <c r="B236" s="101"/>
      <c r="C236" s="4"/>
      <c r="D236" s="102"/>
      <c r="E236" s="103"/>
      <c r="F236" s="103"/>
      <c r="G236" s="10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ht="12.75" customHeight="1">
      <c r="A237" s="4"/>
      <c r="B237" s="101"/>
      <c r="C237" s="4"/>
      <c r="D237" s="102"/>
      <c r="E237" s="103"/>
      <c r="F237" s="103"/>
      <c r="G237" s="10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ht="12.75" customHeight="1">
      <c r="A238" s="4"/>
      <c r="B238" s="101"/>
      <c r="C238" s="4"/>
      <c r="D238" s="102"/>
      <c r="E238" s="103"/>
      <c r="F238" s="103"/>
      <c r="G238" s="10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ht="12.75" customHeight="1">
      <c r="A239" s="4"/>
      <c r="B239" s="101"/>
      <c r="C239" s="4"/>
      <c r="D239" s="102"/>
      <c r="E239" s="103"/>
      <c r="F239" s="103"/>
      <c r="G239" s="10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ht="12.75" customHeight="1">
      <c r="A240" s="4"/>
      <c r="B240" s="101"/>
      <c r="C240" s="4"/>
      <c r="D240" s="102"/>
      <c r="E240" s="103"/>
      <c r="F240" s="103"/>
      <c r="G240" s="10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ht="12.75" customHeight="1">
      <c r="A241" s="4"/>
      <c r="B241" s="101"/>
      <c r="C241" s="4"/>
      <c r="D241" s="102"/>
      <c r="E241" s="103"/>
      <c r="F241" s="103"/>
      <c r="G241" s="10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ht="12.75" customHeight="1">
      <c r="A242" s="4"/>
      <c r="B242" s="101"/>
      <c r="C242" s="4"/>
      <c r="D242" s="102"/>
      <c r="E242" s="103"/>
      <c r="F242" s="103"/>
      <c r="G242" s="10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ht="12.75" customHeight="1">
      <c r="A243" s="4"/>
      <c r="B243" s="101"/>
      <c r="C243" s="4"/>
      <c r="D243" s="102"/>
      <c r="E243" s="103"/>
      <c r="F243" s="103"/>
      <c r="G243" s="10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ht="12.75" customHeight="1">
      <c r="A244" s="4"/>
      <c r="B244" s="101"/>
      <c r="C244" s="4"/>
      <c r="D244" s="102"/>
      <c r="E244" s="103"/>
      <c r="F244" s="103"/>
      <c r="G244" s="10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ht="12.75" customHeight="1">
      <c r="A245" s="4"/>
      <c r="B245" s="101"/>
      <c r="C245" s="4"/>
      <c r="D245" s="102"/>
      <c r="E245" s="103"/>
      <c r="F245" s="103"/>
      <c r="G245" s="10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ht="12.75" customHeight="1">
      <c r="A246" s="4"/>
      <c r="B246" s="101"/>
      <c r="C246" s="4"/>
      <c r="D246" s="102"/>
      <c r="E246" s="103"/>
      <c r="F246" s="103"/>
      <c r="G246" s="10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ht="12.75" customHeight="1">
      <c r="A247" s="4"/>
      <c r="B247" s="101"/>
      <c r="C247" s="4"/>
      <c r="D247" s="102"/>
      <c r="E247" s="103"/>
      <c r="F247" s="103"/>
      <c r="G247" s="10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ht="12.75" customHeight="1">
      <c r="A248" s="4"/>
      <c r="B248" s="101"/>
      <c r="C248" s="4"/>
      <c r="D248" s="102"/>
      <c r="E248" s="103"/>
      <c r="F248" s="103"/>
      <c r="G248" s="10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ht="12.75" customHeight="1">
      <c r="A249" s="4"/>
      <c r="B249" s="101"/>
      <c r="C249" s="4"/>
      <c r="D249" s="102"/>
      <c r="E249" s="103"/>
      <c r="F249" s="103"/>
      <c r="G249" s="10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ht="12.75" customHeight="1">
      <c r="A250" s="4"/>
      <c r="B250" s="101"/>
      <c r="C250" s="4"/>
      <c r="D250" s="102"/>
      <c r="E250" s="103"/>
      <c r="F250" s="103"/>
      <c r="G250" s="10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ht="12.75" customHeight="1">
      <c r="A251" s="4"/>
      <c r="B251" s="101"/>
      <c r="C251" s="4"/>
      <c r="D251" s="102"/>
      <c r="E251" s="103"/>
      <c r="F251" s="103"/>
      <c r="G251" s="10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ht="12.75" customHeight="1">
      <c r="A252" s="4"/>
      <c r="B252" s="101"/>
      <c r="C252" s="4"/>
      <c r="D252" s="102"/>
      <c r="E252" s="103"/>
      <c r="F252" s="103"/>
      <c r="G252" s="10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ht="12.75" customHeight="1">
      <c r="A253" s="4"/>
      <c r="B253" s="101"/>
      <c r="C253" s="4"/>
      <c r="D253" s="102"/>
      <c r="E253" s="103"/>
      <c r="F253" s="103"/>
      <c r="G253" s="10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ht="12.75" customHeight="1">
      <c r="A254" s="4"/>
      <c r="B254" s="101"/>
      <c r="C254" s="4"/>
      <c r="D254" s="102"/>
      <c r="E254" s="103"/>
      <c r="F254" s="103"/>
      <c r="G254" s="10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ht="12.75" customHeight="1">
      <c r="A255" s="4"/>
      <c r="B255" s="101"/>
      <c r="C255" s="4"/>
      <c r="D255" s="102"/>
      <c r="E255" s="103"/>
      <c r="F255" s="103"/>
      <c r="G255" s="10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ht="12.75" customHeight="1">
      <c r="A256" s="4"/>
      <c r="B256" s="101"/>
      <c r="C256" s="4"/>
      <c r="D256" s="102"/>
      <c r="E256" s="103"/>
      <c r="F256" s="103"/>
      <c r="G256" s="10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ht="12.75" customHeight="1">
      <c r="A257" s="4"/>
      <c r="B257" s="101"/>
      <c r="C257" s="4"/>
      <c r="D257" s="102"/>
      <c r="E257" s="103"/>
      <c r="F257" s="103"/>
      <c r="G257" s="10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ht="12.75" customHeight="1">
      <c r="A258" s="4"/>
      <c r="B258" s="101"/>
      <c r="C258" s="4"/>
      <c r="D258" s="102"/>
      <c r="E258" s="103"/>
      <c r="F258" s="103"/>
      <c r="G258" s="10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ht="12.75" customHeight="1">
      <c r="A259" s="4"/>
      <c r="B259" s="101"/>
      <c r="C259" s="4"/>
      <c r="D259" s="102"/>
      <c r="E259" s="103"/>
      <c r="F259" s="103"/>
      <c r="G259" s="10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ht="12.75" customHeight="1">
      <c r="A260" s="4"/>
      <c r="B260" s="101"/>
      <c r="C260" s="4"/>
      <c r="D260" s="102"/>
      <c r="E260" s="103"/>
      <c r="F260" s="103"/>
      <c r="G260" s="10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ht="12.75" customHeight="1">
      <c r="A261" s="4"/>
      <c r="B261" s="101"/>
      <c r="C261" s="4"/>
      <c r="D261" s="102"/>
      <c r="E261" s="103"/>
      <c r="F261" s="103"/>
      <c r="G261" s="10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ht="12.75" customHeight="1">
      <c r="A262" s="4"/>
      <c r="B262" s="101"/>
      <c r="C262" s="4"/>
      <c r="D262" s="102"/>
      <c r="E262" s="103"/>
      <c r="F262" s="103"/>
      <c r="G262" s="10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ht="12.75" customHeight="1">
      <c r="A263" s="4"/>
      <c r="B263" s="101"/>
      <c r="C263" s="4"/>
      <c r="D263" s="102"/>
      <c r="E263" s="103"/>
      <c r="F263" s="103"/>
      <c r="G263" s="10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ht="12.75" customHeight="1">
      <c r="A264" s="4"/>
      <c r="B264" s="101"/>
      <c r="C264" s="4"/>
      <c r="D264" s="102"/>
      <c r="E264" s="103"/>
      <c r="F264" s="103"/>
      <c r="G264" s="10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G1"/>
    <mergeCell ref="A2:G2"/>
    <mergeCell ref="A3:G3"/>
    <mergeCell ref="A4:G4"/>
    <mergeCell ref="D7:E7"/>
    <mergeCell ref="A9:G9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2025-11-14T12:14:57Z</dcterms:created>
  <dc:creator>User</dc:creator>
</cp:coreProperties>
</file>